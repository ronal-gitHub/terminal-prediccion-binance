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Dashboard" sheetId="1" state="visible" r:id="rId3"/>
    <sheet name="2_Live_Precios" sheetId="2" state="visible" r:id="rId4"/>
    <sheet name="3_Live_Derivados" sheetId="3" state="visible" r:id="rId5"/>
    <sheet name="4_Live_Macro" sheetId="4" state="visible" r:id="rId6"/>
    <sheet name="5_Liquidaciones" sheetId="5" state="visible" r:id="rId7"/>
    <sheet name="13_Mapa_Liq" sheetId="6" state="visible" r:id="rId8"/>
    <sheet name="15_Liq_Reales" sheetId="7" state="visible" r:id="rId9"/>
    <sheet name="16_Fase_Cascada" sheetId="8" state="visible" r:id="rId10"/>
    <sheet name="6_Wyckoff_Niveles" sheetId="9" state="visible" r:id="rId11"/>
    <sheet name="7_Arbitraje_Sizing" sheetId="10" state="visible" r:id="rId12"/>
    <sheet name="8_API_Catalogo" sheetId="11" state="visible" r:id="rId13"/>
    <sheet name="9_PowerQuery_M" sheetId="12" state="visible" r:id="rId14"/>
    <sheet name="10_Bitacora" sheetId="13" state="visible" r:id="rId15"/>
    <sheet name="11_Fuentes_Supuestos" sheetId="14" state="visible" r:id="rId16"/>
    <sheet name="12_Datos_5m" sheetId="15" state="visible" r:id="rId17"/>
    <sheet name="14_Motor_Liq" sheetId="16" state="visible" r:id="rId18"/>
  </sheets>
  <definedNames>
    <definedName function="false" hidden="false" name="RutaCSV" vbProcedure="false">'15_Liq_Reales'!$B$6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Respaldo manual. Se usa solo si la API no responde.
Valor congelado: 77,477 USD (28-ago-2026).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Este es el gatillo real de toda la estrategia.
Abre coinglass.com/liquidations, mira el total de 1h y escribelo aqui.
Por debajo de 800 M el rebote no paga el riesgo.</t>
        </r>
      </text>
    </comment>
  </commentList>
</comments>
</file>

<file path=xl/sharedStrings.xml><?xml version="1.0" encoding="utf-8"?>
<sst xmlns="http://schemas.openxmlformats.org/spreadsheetml/2006/main" count="1799" uniqueCount="1372">
  <si>
    <t xml:space="preserve">TABLERO INSTITUCIONAL BTC / ETH  —  DASHBOARD OPERATIVO v3</t>
  </si>
  <si>
    <t xml:space="preserve">v3: motor de liquidaciones ampliado. Valores de respaldo del 28-ago-2026: se sustituyen al refrescar (Datos &gt; Actualizar todo).</t>
  </si>
  <si>
    <t xml:space="preserve">A. ESTADO EN VIVO</t>
  </si>
  <si>
    <t xml:space="preserve">Metrica</t>
  </si>
  <si>
    <t xml:space="preserve">Valor en vivo</t>
  </si>
  <si>
    <t xml:space="preserve">Fuente</t>
  </si>
  <si>
    <t xml:space="preserve">Manual (respaldo)</t>
  </si>
  <si>
    <t xml:space="preserve">EN USO</t>
  </si>
  <si>
    <t xml:space="preserve">Unidad</t>
  </si>
  <si>
    <t xml:space="preserve">Lectura</t>
  </si>
  <si>
    <t xml:space="preserve">Comentario</t>
  </si>
  <si>
    <t xml:space="preserve">Precio BTC (spot)</t>
  </si>
  <si>
    <t xml:space="preserve">Binance / 5m</t>
  </si>
  <si>
    <t xml:space="preserve">USD</t>
  </si>
  <si>
    <t xml:space="preserve">Ultimo dato citado 28-ago: 77,477</t>
  </si>
  <si>
    <t xml:space="preserve">Precio ETH (spot)</t>
  </si>
  <si>
    <t xml:space="preserve">Binance</t>
  </si>
  <si>
    <t xml:space="preserve">EMA200(3D) ~2,534 / pivote 2,503</t>
  </si>
  <si>
    <t xml:space="preserve">Funding BTC perp (8h)</t>
  </si>
  <si>
    <t xml:space="preserve">Binance F.</t>
  </si>
  <si>
    <t xml:space="preserve">frac</t>
  </si>
  <si>
    <t xml:space="preserve">Neutro = combustible alcista limpio</t>
  </si>
  <si>
    <t xml:space="preserve">Open Interest BTC (USD)</t>
  </si>
  <si>
    <t xml:space="preserve">Solo Binance en vivo; manual = agregado 56.48B</t>
  </si>
  <si>
    <t xml:space="preserve">Long/Short cuentas BTC</t>
  </si>
  <si>
    <t xml:space="preserve">ratio</t>
  </si>
  <si>
    <t xml:space="preserve">Retail. &gt;2 = combustible bajista</t>
  </si>
  <si>
    <t xml:space="preserve">Long/Short top traders</t>
  </si>
  <si>
    <t xml:space="preserve">Divergencia retail vs pro = seccion 2.5</t>
  </si>
  <si>
    <t xml:space="preserve">Fear &amp; Greed</t>
  </si>
  <si>
    <t xml:space="preserve">alternative.me</t>
  </si>
  <si>
    <t xml:space="preserve">0-100</t>
  </si>
  <si>
    <t xml:space="preserve">Sentimiento agregado</t>
  </si>
  <si>
    <t xml:space="preserve">Rend. Tesoro 2A (%)</t>
  </si>
  <si>
    <t xml:space="preserve">Tesoro EEUU</t>
  </si>
  <si>
    <t xml:space="preserve">%</t>
  </si>
  <si>
    <t xml:space="preserve">28-ago: +12pb a 4.35%</t>
  </si>
  <si>
    <t xml:space="preserve">B. VEREDICTO — PROBABILIDADES (motor en hoja 6)</t>
  </si>
  <si>
    <t xml:space="preserve">Escenario</t>
  </si>
  <si>
    <t xml:space="preserve">Prob. base</t>
  </si>
  <si>
    <t xml:space="preserve">Ajuste en vivo</t>
  </si>
  <si>
    <t xml:space="preserve">PROB. FINAL</t>
  </si>
  <si>
    <t xml:space="preserve">Disparador</t>
  </si>
  <si>
    <t xml:space="preserve">Objetivo BTC</t>
  </si>
  <si>
    <t xml:space="preserve">Objetivo ETH</t>
  </si>
  <si>
    <t xml:space="preserve">Accion</t>
  </si>
  <si>
    <t xml:space="preserve">FALSA CAIDA (barrida y vuelta)</t>
  </si>
  <si>
    <t xml:space="preserve">Perder 76,900 con volumen</t>
  </si>
  <si>
    <t xml:space="preserve">74,000–76,500</t>
  </si>
  <si>
    <t xml:space="preserve">2,400–2,463</t>
  </si>
  <si>
    <t xml:space="preserve">Esperar cascada &gt;800M/h y comprar</t>
  </si>
  <si>
    <t xml:space="preserve">ABURRIMIENTO (rango)</t>
  </si>
  <si>
    <t xml:space="preserve">Cierre semanal 77.25K–79K</t>
  </si>
  <si>
    <t xml:space="preserve">76,900–80,000</t>
  </si>
  <si>
    <t xml:space="preserve">2,463–2,528</t>
  </si>
  <si>
    <t xml:space="preserve">No operar; esperar ETF del lunes</t>
  </si>
  <si>
    <t xml:space="preserve">SUBIDA VIOLENTA (squeeze)</t>
  </si>
  <si>
    <t xml:space="preserve">Cierre 4H &gt;79,000 con OI al alza</t>
  </si>
  <si>
    <t xml:space="preserve">81,033 → 82,400</t>
  </si>
  <si>
    <t xml:space="preserve">2,528 → 2,600</t>
  </si>
  <si>
    <t xml:space="preserve">Perseguir largo con stop bajo 79,000</t>
  </si>
  <si>
    <t xml:space="preserve">ESCENARIO DOMINANTE</t>
  </si>
  <si>
    <t xml:space="preserve">confianza</t>
  </si>
  <si>
    <t xml:space="preserve">C. SEMAFORO DE ENTRADA — 5 FILTROS DE ARBITRAJE POST-LIQUIDACION</t>
  </si>
  <si>
    <t xml:space="preserve">Filtro</t>
  </si>
  <si>
    <t xml:space="preserve">Umbral</t>
  </si>
  <si>
    <t xml:space="preserve">Valor actual</t>
  </si>
  <si>
    <t xml:space="preserve">Cumple</t>
  </si>
  <si>
    <t xml:space="preserve">Peso</t>
  </si>
  <si>
    <t xml:space="preserve">Puntos</t>
  </si>
  <si>
    <t xml:space="preserve">Fuente del dato</t>
  </si>
  <si>
    <t xml:space="preserve">Nota</t>
  </si>
  <si>
    <t xml:space="preserve">1. Liquidaciones 1h</t>
  </si>
  <si>
    <t xml:space="preserve">&gt;= 800 M USD</t>
  </si>
  <si>
    <t xml:space="preserve">Coinglass manual &gt; reales</t>
  </si>
  <si>
    <t xml:space="preserve">El tamano del rebote escala con esto</t>
  </si>
  <si>
    <t xml:space="preserve">2. % del OI purgado</t>
  </si>
  <si>
    <t xml:space="preserve">&gt;= 2.5%</t>
  </si>
  <si>
    <t xml:space="preserve">Hoja 16 &gt; manual</t>
  </si>
  <si>
    <t xml:space="preserve">0.86% hoy = purga incompleta</t>
  </si>
  <si>
    <t xml:space="preserve">3. Dominancia de longs</t>
  </si>
  <si>
    <t xml:space="preserve">&gt;= 75%</t>
  </si>
  <si>
    <t xml:space="preserve">Hoja 15 &gt; manual</t>
  </si>
  <si>
    <t xml:space="preserve">74% hoy</t>
  </si>
  <si>
    <t xml:space="preserve">4. Funding pre-caida</t>
  </si>
  <si>
    <t xml:space="preserve">&lt;= 0.0100%</t>
  </si>
  <si>
    <t xml:space="preserve">Binance API</t>
  </si>
  <si>
    <t xml:space="preserve">Neutro o negativo</t>
  </si>
  <si>
    <t xml:space="preserve">5. Bid spot (ETF)</t>
  </si>
  <si>
    <t xml:space="preserve">Flujos positivos</t>
  </si>
  <si>
    <t xml:space="preserve">Farside / manual</t>
  </si>
  <si>
    <t xml:space="preserve">1 = si, 0 = no</t>
  </si>
  <si>
    <t xml:space="preserve">PUNTUACION TOTAL</t>
  </si>
  <si>
    <t xml:space="preserve">de 5.0</t>
  </si>
  <si>
    <t xml:space="preserve">Regla: 4 de 5 filtros minimo</t>
  </si>
  <si>
    <t xml:space="preserve">D. MAPA DE NIVELES — DISTANCIA AL PRECIO EN VIVO</t>
  </si>
  <si>
    <t xml:space="preserve">Nivel BTC</t>
  </si>
  <si>
    <t xml:space="preserve">Precio</t>
  </si>
  <si>
    <t xml:space="preserve">Distancia %</t>
  </si>
  <si>
    <t xml:space="preserve">Tipo</t>
  </si>
  <si>
    <t xml:space="preserve">Significado</t>
  </si>
  <si>
    <t xml:space="preserve">Nivel ETH</t>
  </si>
  <si>
    <t xml:space="preserve">MA 50 semanas</t>
  </si>
  <si>
    <t xml:space="preserve">Resistencia mayor</t>
  </si>
  <si>
    <t xml:space="preserve">Sobre esto muere la tesis bajista</t>
  </si>
  <si>
    <t xml:space="preserve">EMA 200 (3D)</t>
  </si>
  <si>
    <t xml:space="preserve">Techo del rally</t>
  </si>
  <si>
    <t xml:space="preserve">Gatillo squeeze</t>
  </si>
  <si>
    <t xml:space="preserve">Disparador alcista</t>
  </si>
  <si>
    <t xml:space="preserve">Cierre 4H encima = plan B</t>
  </si>
  <si>
    <t xml:space="preserve">Pivote diario</t>
  </si>
  <si>
    <t xml:space="preserve">El arbitro</t>
  </si>
  <si>
    <t xml:space="preserve">EMA 50 semanas</t>
  </si>
  <si>
    <t xml:space="preserve">BISAGRA DEL CICLO</t>
  </si>
  <si>
    <t xml:space="preserve">Define tendencia mayor</t>
  </si>
  <si>
    <t xml:space="preserve">Soporte diario</t>
  </si>
  <si>
    <t xml:space="preserve">Perderlo gira bajista</t>
  </si>
  <si>
    <t xml:space="preserve">Minimo 28-ago</t>
  </si>
  <si>
    <t xml:space="preserve">Soporte probado</t>
  </si>
  <si>
    <t xml:space="preserve">Separa falsa caida de caida real</t>
  </si>
  <si>
    <t xml:space="preserve">Zona Spring</t>
  </si>
  <si>
    <t xml:space="preserve">Soporte 5-10 dias</t>
  </si>
  <si>
    <t xml:space="preserve">Bolsa de liquidez</t>
  </si>
  <si>
    <t xml:space="preserve">Objetivo de barrida</t>
  </si>
  <si>
    <t xml:space="preserve">Ultima red</t>
  </si>
  <si>
    <t xml:space="preserve">Debajo: vacio a 2,250</t>
  </si>
  <si>
    <t xml:space="preserve">Quiebre estructural</t>
  </si>
  <si>
    <t xml:space="preserve">Invalidacion</t>
  </si>
  <si>
    <t xml:space="preserve">Debajo = distribucion confirmada</t>
  </si>
  <si>
    <t xml:space="preserve">Cluster mayor</t>
  </si>
  <si>
    <t xml:space="preserve">Siguiente liquidez</t>
  </si>
  <si>
    <t xml:space="preserve">F. LIQUIDACIONES EN VIVO — mapa estimado, prints reales y fase del ciclo</t>
  </si>
  <si>
    <t xml:space="preserve">Indicador</t>
  </si>
  <si>
    <t xml:space="preserve">Valor</t>
  </si>
  <si>
    <t xml:space="preserve">Lectura / contexto</t>
  </si>
  <si>
    <t xml:space="preserve">Hoja</t>
  </si>
  <si>
    <t xml:space="preserve">FASE DEL CICLO DE LIQUIDACION</t>
  </si>
  <si>
    <t xml:space="preserve">16</t>
  </si>
  <si>
    <t xml:space="preserve">Cuadrante precio/OI 1h</t>
  </si>
  <si>
    <t xml:space="preserve">Purga de OI desde maximo 24h</t>
  </si>
  <si>
    <t xml:space="preserve">Primer cluster LONG (precio)</t>
  </si>
  <si>
    <t xml:space="preserve">13</t>
  </si>
  <si>
    <t xml:space="preserve">Primer cluster SHORT (precio)</t>
  </si>
  <si>
    <t xml:space="preserve">Asimetria de combustible</t>
  </si>
  <si>
    <t xml:space="preserve">Combustible / volumen 5m</t>
  </si>
  <si>
    <t xml:space="preserve">Liquidaciones reales 1h (mercado est.)</t>
  </si>
  <si>
    <t xml:space="preserve">15</t>
  </si>
  <si>
    <t xml:space="preserve">Detector de cascada 5m</t>
  </si>
  <si>
    <t xml:space="preserve">Donde se disparo la cascada (VWAP longs 1h)</t>
  </si>
  <si>
    <t xml:space="preserve">G. GUIA RAPIDA</t>
  </si>
  <si>
    <t xml:space="preserve">Amarillo</t>
  </si>
  <si>
    <t xml:space="preserve">Entrada manual o supuesto editable.</t>
  </si>
  <si>
    <t xml:space="preserve">Verde</t>
  </si>
  <si>
    <t xml:space="preserve">Valor calculado o traido en vivo desde una API publica.</t>
  </si>
  <si>
    <t xml:space="preserve">Refresh</t>
  </si>
  <si>
    <t xml:space="preserve">Datos &gt; Actualizar todo (consultas Power Query de la hoja 9). En Excel Windows, F9 recalcula tambien WEBSERVICE.</t>
  </si>
  <si>
    <t xml:space="preserve">Arranque minimo</t>
  </si>
  <si>
    <t xml:space="preserve">Instala 3 consultas: qBase5m (mapa y fase), qLiqOKX (liquidaciones reales) y qDerivados. Con eso el tablero funciona.</t>
  </si>
  <si>
    <t xml:space="preserve">Regla de oro</t>
  </si>
  <si>
    <t xml:space="preserve">Solo se compra la caida con fase AGOTAMIENTO POST-CASCADA y 4 de 5 filtros. Cualquier otra combinacion es esperar.</t>
  </si>
  <si>
    <t xml:space="preserve">PRECIOS EN VIVO — APIs PUBLICAS SIN CLAVE</t>
  </si>
  <si>
    <t xml:space="preserve">Redundancia deliberada: cuatro fuentes independientes para el mismo precio. Si divergen mas de 0.3%, hay estres de liquidez.</t>
  </si>
  <si>
    <t xml:space="preserve">La columna E llama a la API. La F aisla el fragmento. La G convierte a numero. Si ves SIN CONEXION, habilita el acceso a datos externos o usa Power Query (hoja 9).</t>
  </si>
  <si>
    <t xml:space="preserve">URL del endpoint (publico, sin clave)</t>
  </si>
  <si>
    <t xml:space="preserve">Clave JSON</t>
  </si>
  <si>
    <t xml:space="preserve">Respuesta cruda (WEBSERVICE)</t>
  </si>
  <si>
    <t xml:space="preserve">Fragmento aislado</t>
  </si>
  <si>
    <t xml:space="preserve">VALOR</t>
  </si>
  <si>
    <t xml:space="preserve">Como se usa en el modelo</t>
  </si>
  <si>
    <t xml:space="preserve">BTC spot (Binance)</t>
  </si>
  <si>
    <t xml:space="preserve">https://api.binance.com/api/v3/ticker/price?symbol=BTCUSDT</t>
  </si>
  <si>
    <t xml:space="preserve">price</t>
  </si>
  <si>
    <t xml:space="preserve">Precio principal del modelo. Alimenta E6 del dashboard.</t>
  </si>
  <si>
    <t xml:space="preserve">ETH spot (Binance)</t>
  </si>
  <si>
    <t xml:space="preserve">https://api.binance.com/api/v3/ticker/price?symbol=ETHUSDT</t>
  </si>
  <si>
    <t xml:space="preserve">Precio ETH. Alimenta E7 del dashboard.</t>
  </si>
  <si>
    <t xml:space="preserve">BTC var. 24h</t>
  </si>
  <si>
    <t xml:space="preserve">https://api.binance.com/api/v3/ticker/24hr?symbol=BTCUSDT</t>
  </si>
  <si>
    <t xml:space="preserve">priceChangePercent</t>
  </si>
  <si>
    <t xml:space="preserve">Magnitud del movimiento diario. -4% hoy.</t>
  </si>
  <si>
    <t xml:space="preserve">BTC minimo 24h</t>
  </si>
  <si>
    <t xml:space="preserve">lowPrice</t>
  </si>
  <si>
    <t xml:space="preserve">Cola de la mecha. Compara con la zona de captura.</t>
  </si>
  <si>
    <t xml:space="preserve">BTC maximo 24h</t>
  </si>
  <si>
    <t xml:space="preserve">highPrice</t>
  </si>
  <si>
    <t xml:space="preserve">Rango del dia = ATR intradia aproximado.</t>
  </si>
  <si>
    <t xml:space="preserve">BTC volumen 24h (quote)</t>
  </si>
  <si>
    <t xml:space="preserve">quoteVolume</t>
  </si>
  <si>
    <t xml:space="preserve">Volumen spot. Si sube en la caida, la venta es real.</t>
  </si>
  <si>
    <t xml:space="preserve">ETH var. 24h</t>
  </si>
  <si>
    <t xml:space="preserve">https://api.binance.com/api/v3/ticker/24hr?symbol=ETHUSDT</t>
  </si>
  <si>
    <t xml:space="preserve">Beta de ETH vs BTC = fila 3 dividida por esta.</t>
  </si>
  <si>
    <t xml:space="preserve">ETH minimo 24h</t>
  </si>
  <si>
    <t xml:space="preserve">Compara con 2,426 y 2,400.</t>
  </si>
  <si>
    <t xml:space="preserve">BTC spot (Coinbase)</t>
  </si>
  <si>
    <t xml:space="preserve">Coinbase</t>
  </si>
  <si>
    <t xml:space="preserve">https://api.coinbase.com/v2/prices/BTC-USD/spot</t>
  </si>
  <si>
    <t xml:space="preserve">amount</t>
  </si>
  <si>
    <t xml:space="preserve">Referencia institucional EEUU. Prima vs Binance = flujo local.</t>
  </si>
  <si>
    <t xml:space="preserve">ETH spot (Coinbase)</t>
  </si>
  <si>
    <t xml:space="preserve">https://api.coinbase.com/v2/prices/ETH-USD/spot</t>
  </si>
  <si>
    <t xml:space="preserve">Idem para ETH.</t>
  </si>
  <si>
    <t xml:space="preserve">BTC spot (Kraken)</t>
  </si>
  <si>
    <t xml:space="preserve">Kraken</t>
  </si>
  <si>
    <t xml:space="preserve">https://api.kraken.com/0/public/Ticker?pair=XBTUSD</t>
  </si>
  <si>
    <t xml:space="preserve">c</t>
  </si>
  <si>
    <t xml:space="preserve">Tercera referencia. Clave 'c' = ultimo cierre.</t>
  </si>
  <si>
    <t xml:space="preserve">BTC indice (Deribit)</t>
  </si>
  <si>
    <t xml:space="preserve">Deribit</t>
  </si>
  <si>
    <t xml:space="preserve">https://www.deribit.com/api/v2/public/get_index_price?index_name=btc_usd</t>
  </si>
  <si>
    <t xml:space="preserve">index_price</t>
  </si>
  <si>
    <t xml:space="preserve">Indice de liquidacion de opciones. El que decide el max pain.</t>
  </si>
  <si>
    <t xml:space="preserve">ETH indice (Deribit)</t>
  </si>
  <si>
    <t xml:space="preserve">https://www.deribit.com/api/v2/public/get_index_price?index_name=eth_usd</t>
  </si>
  <si>
    <t xml:space="preserve">Idem ETH.</t>
  </si>
  <si>
    <t xml:space="preserve">BTC (CoinGecko)</t>
  </si>
  <si>
    <t xml:space="preserve">CoinGecko</t>
  </si>
  <si>
    <t xml:space="preserve">https://api.coingecko.com/api/v3/simple/price?ids=bitcoin&amp;vs_currencies=usd&amp;include_24hr_change=true</t>
  </si>
  <si>
    <t xml:space="preserve">usd</t>
  </si>
  <si>
    <t xml:space="preserve">Precio agregado ponderado por volumen global.</t>
  </si>
  <si>
    <t xml:space="preserve">Dominancia BTC</t>
  </si>
  <si>
    <t xml:space="preserve">https://api.coingecko.com/api/v3/global</t>
  </si>
  <si>
    <t xml:space="preserve">market_cap_change_percentage_24h_usd</t>
  </si>
  <si>
    <t xml:space="preserve">Cambio de capitalizacion total 24h. Contagio de mercado.</t>
  </si>
  <si>
    <t xml:space="preserve">BTC spot (Bitstamp)</t>
  </si>
  <si>
    <t xml:space="preserve">Bitstamp</t>
  </si>
  <si>
    <t xml:space="preserve">https://www.bitstamp.net/api/v2/ticker/btcusd/</t>
  </si>
  <si>
    <t xml:space="preserve">last</t>
  </si>
  <si>
    <t xml:space="preserve">Referencia citada en el analisis del 28-ago (minimo 78,442).</t>
  </si>
  <si>
    <t xml:space="preserve">DERIVADOS EN VIVO — FUNDING, OPEN INTEREST, POSICIONAMIENTO</t>
  </si>
  <si>
    <t xml:space="preserve">El corazon del modelo. Aqui se ve el combustible de liquidacion antes de que se queme.</t>
  </si>
  <si>
    <t xml:space="preserve">Funding BTC (actual)</t>
  </si>
  <si>
    <t xml:space="preserve">https://fapi.binance.com/fapi/v1/premiumIndex?symbol=BTCUSDT</t>
  </si>
  <si>
    <t xml:space="preserve">lastFundingRate</t>
  </si>
  <si>
    <t xml:space="preserve">frac/8h</t>
  </si>
  <si>
    <t xml:space="preserve">FILTRO 4. Neutro o negativo = setup limpio. &gt;0.0003 = sobrecalentado.</t>
  </si>
  <si>
    <t xml:space="preserve">Funding ETH (actual)</t>
  </si>
  <si>
    <t xml:space="preserve">https://fapi.binance.com/fapi/v1/premiumIndex?symbol=ETHUSDT</t>
  </si>
  <si>
    <t xml:space="preserve">Divergencia con BTC senala rotacion.</t>
  </si>
  <si>
    <t xml:space="preserve">Open Interest BTC (contratos)</t>
  </si>
  <si>
    <t xml:space="preserve">https://fapi.binance.com/fapi/v1/openInterest?symbol=BTCUSDT</t>
  </si>
  <si>
    <t xml:space="preserve">openInterest</t>
  </si>
  <si>
    <t xml:space="preserve">BTC</t>
  </si>
  <si>
    <t xml:space="preserve">Multiplicar por precio = OI en USD. Base del % purgado.</t>
  </si>
  <si>
    <t xml:space="preserve">Open Interest ETH (contratos)</t>
  </si>
  <si>
    <t xml:space="preserve">https://fapi.binance.com/fapi/v1/openInterest?symbol=ETHUSDT</t>
  </si>
  <si>
    <t xml:space="preserve">ETH</t>
  </si>
  <si>
    <t xml:space="preserve">L/S cuentas BTC (retail)</t>
  </si>
  <si>
    <t xml:space="preserve">https://fapi.binance.com/futures/data/globalLongShortAccountRatio?symbol=BTCUSDT&amp;period=1h&amp;limit=1</t>
  </si>
  <si>
    <t xml:space="preserve">longShortRatio</t>
  </si>
  <si>
    <t xml:space="preserve">La multitud. 70.3% largo el 28-ago. &gt;2 = combustible bajista.</t>
  </si>
  <si>
    <t xml:space="preserve">L/S posiciones top BTC (pro)</t>
  </si>
  <si>
    <t xml:space="preserve">https://fapi.binance.com/futures/data/topLongShortPositionRatio?symbol=BTCUSDT&amp;period=1h&amp;limit=1</t>
  </si>
  <si>
    <t xml:space="preserve">El dinero inteligente. 57.4% largo. La BRECHA es la senal.</t>
  </si>
  <si>
    <t xml:space="preserve">L/S cuentas ETH</t>
  </si>
  <si>
    <t xml:space="preserve">https://fapi.binance.com/futures/data/globalLongShortAccountRatio?symbol=ETHUSDT&amp;period=1h&amp;limit=1</t>
  </si>
  <si>
    <t xml:space="preserve">ETH tiene beta de liquidacion &gt;2x.</t>
  </si>
  <si>
    <t xml:space="preserve">L/S posiciones top ETH</t>
  </si>
  <si>
    <t xml:space="preserve">https://fapi.binance.com/futures/data/topLongShortPositionRatio?symbol=ETHUSDT&amp;period=1h&amp;limit=1</t>
  </si>
  <si>
    <t xml:space="preserve">Taker buy/sell BTC</t>
  </si>
  <si>
    <t xml:space="preserve">https://fapi.binance.com/futures/data/takerlongshortRatio?symbol=BTCUSDT&amp;period=1h&amp;limit=1</t>
  </si>
  <si>
    <t xml:space="preserve">buySellRatio</t>
  </si>
  <si>
    <t xml:space="preserve">Agresion real. &lt;0.9 sostenido en la caida = venta informada, NO comprar.</t>
  </si>
  <si>
    <t xml:space="preserve">OI historico BTC (5m)</t>
  </si>
  <si>
    <t xml:space="preserve">https://fapi.binance.com/futures/data/openInterestHist?symbol=BTCUSDT&amp;period=5m&amp;limit=1</t>
  </si>
  <si>
    <t xml:space="preserve">sumOpenInterestValue</t>
  </si>
  <si>
    <t xml:space="preserve">OI en USD directo. Compara contra el valor de hace 1h para medir la purga.</t>
  </si>
  <si>
    <t xml:space="preserve">Funding BTC (OKX)</t>
  </si>
  <si>
    <t xml:space="preserve">OKX</t>
  </si>
  <si>
    <t xml:space="preserve">https://www.okx.com/api/v5/public/funding-rate?instId=BTC-USDT-SWAP</t>
  </si>
  <si>
    <t xml:space="preserve">fundingRate</t>
  </si>
  <si>
    <t xml:space="preserve">Segunda venue. Divergencia entre venues = arbitraje de base.</t>
  </si>
  <si>
    <t xml:space="preserve">Ticker BTC perp (Bybit)</t>
  </si>
  <si>
    <t xml:space="preserve">Bybit</t>
  </si>
  <si>
    <t xml:space="preserve">https://api.bybit.com/v5/market/tickers?category=linear&amp;symbol=BTCUSDT</t>
  </si>
  <si>
    <t xml:space="preserve">Tercera venue.</t>
  </si>
  <si>
    <t xml:space="preserve">OI Bybit BTC</t>
  </si>
  <si>
    <t xml:space="preserve">OI de Bybit para agregar.</t>
  </si>
  <si>
    <t xml:space="preserve">Base futuro trimestral</t>
  </si>
  <si>
    <t xml:space="preserve">https://fapi.binance.com/fapi/v1/ticker/price?symbol=BTCUSDT_250926</t>
  </si>
  <si>
    <t xml:space="preserve">Prima/descuento vs spot = apetito institucional. Ajusta el simbolo al trimestre vigente.</t>
  </si>
  <si>
    <t xml:space="preserve">Volatilidad implicita BTC (DVOL)</t>
  </si>
  <si>
    <t xml:space="preserve">https://www.deribit.com/api/v2/public/get_volatility_index_data?currency=BTC&amp;start_timestamp=0&amp;end_timestamp=9999999999999&amp;resolution=3600</t>
  </si>
  <si>
    <t xml:space="preserve">data</t>
  </si>
  <si>
    <t xml:space="preserve">IV</t>
  </si>
  <si>
    <t xml:space="preserve">DVOL. IV subiendo con precio cayendo = miedo real, no barrida.</t>
  </si>
  <si>
    <t xml:space="preserve">Ticker opciones BTC</t>
  </si>
  <si>
    <t xml:space="preserve">https://www.deribit.com/api/v2/public/get_book_summary_by_currency?currency=BTC&amp;kind=option</t>
  </si>
  <si>
    <t xml:space="preserve">open_interest</t>
  </si>
  <si>
    <t xml:space="preserve">contratos</t>
  </si>
  <si>
    <t xml:space="preserve">OI de opciones. Base del calculo de max pain (hoja 9 lo hace bien con Power Query).</t>
  </si>
  <si>
    <t xml:space="preserve">Interes abierto futuros Deribit</t>
  </si>
  <si>
    <t xml:space="preserve">https://www.deribit.com/api/v2/public/get_book_summary_by_currency?currency=BTC&amp;kind=future</t>
  </si>
  <si>
    <t xml:space="preserve">OI de futuros Deribit.</t>
  </si>
  <si>
    <t xml:space="preserve">MACRO, SENTIMIENTO Y FLUJOS — APIs PUBLICAS</t>
  </si>
  <si>
    <t xml:space="preserve">El bloque que decide si la venta es FORZADA (rebota) o INFORMADA (no rebota). Warsh cambio este bloque el 28-ago.</t>
  </si>
  <si>
    <t xml:space="preserve">Fear &amp; Greed cripto</t>
  </si>
  <si>
    <t xml:space="preserve">https://api.alternative.me/fng/?limit=1</t>
  </si>
  <si>
    <t xml:space="preserve">value</t>
  </si>
  <si>
    <t xml:space="preserve">Sentimiento. En el squeeze del 20-ago estuvo en 54 neutro: rally forzado, no euforico.</t>
  </si>
  <si>
    <t xml:space="preserve">Fear &amp; Greed (ayer)</t>
  </si>
  <si>
    <t xml:space="preserve">https://api.alternative.me/fng/?limit=2</t>
  </si>
  <si>
    <t xml:space="preserve">Comparar contra hoy para ver la velocidad del cambio de sentimiento.</t>
  </si>
  <si>
    <t xml:space="preserve">Cap. total mercado cripto</t>
  </si>
  <si>
    <t xml:space="preserve">active_cryptocurrencies</t>
  </si>
  <si>
    <t xml:space="preserve">n</t>
  </si>
  <si>
    <t xml:space="preserve">Sustituye la clave por 'total_market_cap' con Power Query para el valor real (~2.7T).</t>
  </si>
  <si>
    <t xml:space="preserve">BTC vs oro (proxy)</t>
  </si>
  <si>
    <t xml:space="preserve">https://api.coingecko.com/api/v3/simple/price?ids=bitcoin&amp;vs_currencies=xau</t>
  </si>
  <si>
    <t xml:space="preserve">xau</t>
  </si>
  <si>
    <t xml:space="preserve">oz</t>
  </si>
  <si>
    <t xml:space="preserve">El 28-ago oro y plata perdieron valor tras Warsh. Ratio BTC/oro = apetito de riesgo real.</t>
  </si>
  <si>
    <t xml:space="preserve">DXY proxy (EUR/USD)</t>
  </si>
  <si>
    <t xml:space="preserve">Frankfurter/BCE</t>
  </si>
  <si>
    <t xml:space="preserve">https://api.frankfurter.app/latest?from=USD&amp;to=EUR</t>
  </si>
  <si>
    <t xml:space="preserve">EUR</t>
  </si>
  <si>
    <t xml:space="preserve">Sube = dolar fuerte = presion sobre cripto. DXY estaba en 99.5 el 28-ago.</t>
  </si>
  <si>
    <t xml:space="preserve">USD/JPY</t>
  </si>
  <si>
    <t xml:space="preserve">https://api.frankfurter.app/latest?from=USD&amp;to=JPY</t>
  </si>
  <si>
    <t xml:space="preserve">JPY</t>
  </si>
  <si>
    <t xml:space="preserve">Proxy de carry trade. Rupturas aqui preceden liquidaciones cripto.</t>
  </si>
  <si>
    <t xml:space="preserve">Rend. Tesoro 2A</t>
  </si>
  <si>
    <t xml:space="preserve">https://home.treasury.gov/resource-center/data-chart-center/interest-rates/daily-treasury-rates.csv/2026/all?type=daily_treasury_yield_curve&amp;field_tdr_date_value=2026</t>
  </si>
  <si>
    <t xml:space="preserve">2 Yr</t>
  </si>
  <si>
    <t xml:space="preserve">CSV: usar Power Query (hoja 9). 28-ago: +12pb a 4.35%, maximo de un mes.</t>
  </si>
  <si>
    <t xml:space="preserve">Rend. Tesoro 30A</t>
  </si>
  <si>
    <t xml:space="preserve">30 Yr</t>
  </si>
  <si>
    <t xml:space="preserve">28-ago: 5.15%. La parte larga BAJO mientras la corta SUBIO: aplanamiento hawkish.</t>
  </si>
  <si>
    <t xml:space="preserve">Fed Funds efectiva (FRED)</t>
  </si>
  <si>
    <t xml:space="preserve">FRED</t>
  </si>
  <si>
    <t xml:space="preserve">https://fred.stlouisfed.org/graph/fredgraph.csv?id=DFF</t>
  </si>
  <si>
    <t xml:space="preserve">DFF</t>
  </si>
  <si>
    <t xml:space="preserve">CSV sin clave. Rango objetivo 3.50-3.75% desde julio.</t>
  </si>
  <si>
    <t xml:space="preserve">PCE subyacente (FRED)</t>
  </si>
  <si>
    <t xml:space="preserve">https://fred.stlouisfed.org/graph/fredgraph.csv?id=PCEPILFE</t>
  </si>
  <si>
    <t xml:space="preserve">PCEPILFE</t>
  </si>
  <si>
    <t xml:space="preserve">indice</t>
  </si>
  <si>
    <t xml:space="preserve">Warsh cito PCE 12m en 3.7% y 6m en 4.1%. Objetivo firme del 2%.</t>
  </si>
  <si>
    <t xml:space="preserve">Flujos ETF BTC spot</t>
  </si>
  <si>
    <t xml:space="preserve">Farside</t>
  </si>
  <si>
    <t xml:space="preserve">https://farside.co.uk/bitcoin-etf-flow-all-data/</t>
  </si>
  <si>
    <t xml:space="preserve">flow</t>
  </si>
  <si>
    <t xml:space="preserve">M USD</t>
  </si>
  <si>
    <t xml:space="preserve">FILTRO 5. Tabla HTML: usar Power Query. 8 sesiones positivas al 28-ago; 1.92B semanal.</t>
  </si>
  <si>
    <t xml:space="preserve">Flujos ETF ETH spot</t>
  </si>
  <si>
    <t xml:space="preserve">https://farside.co.uk/ethereum-etf-flow-all-data/</t>
  </si>
  <si>
    <t xml:space="preserve">697M semanales en la semana del squeeze.</t>
  </si>
  <si>
    <t xml:space="preserve">Hashrate / dificultad</t>
  </si>
  <si>
    <t xml:space="preserve">mempool.space</t>
  </si>
  <si>
    <t xml:space="preserve">https://mempool.space/api/v1/mining/hashrate/3d</t>
  </si>
  <si>
    <t xml:space="preserve">currentDifficulty</t>
  </si>
  <si>
    <t xml:space="preserve">Salud de red. Caidas fuertes preceden presion de venta de mineros.</t>
  </si>
  <si>
    <t xml:space="preserve">Comisiones mempool</t>
  </si>
  <si>
    <t xml:space="preserve">https://mempool.space/api/v1/fees/recommended</t>
  </si>
  <si>
    <t xml:space="preserve">fastestFee</t>
  </si>
  <si>
    <t xml:space="preserve">sat/vB</t>
  </si>
  <si>
    <t xml:space="preserve">Picos = movimiento urgente de monedas = a menudo hacia exchanges.</t>
  </si>
  <si>
    <t xml:space="preserve">Saldo BTC en exchanges</t>
  </si>
  <si>
    <t xml:space="preserve">Blockchain.com</t>
  </si>
  <si>
    <t xml:space="preserve">https://api.blockchain.info/charts/n-transactions?timespan=5days&amp;format=json</t>
  </si>
  <si>
    <t xml:space="preserve">y</t>
  </si>
  <si>
    <t xml:space="preserve">Proxy de actividad. Para flujos a exchanges usar Glassnode/CryptoQuant (requieren clave).</t>
  </si>
  <si>
    <t xml:space="preserve">Probabilidad subida Fed</t>
  </si>
  <si>
    <t xml:space="preserve">Polymarket</t>
  </si>
  <si>
    <t xml:space="preserve">https://gamma-api.polymarket.com/events?slug=fed-decision-in-september</t>
  </si>
  <si>
    <t xml:space="preserve">bestBid</t>
  </si>
  <si>
    <t xml:space="preserve">prob</t>
  </si>
  <si>
    <t xml:space="preserve">Mercado de prediccion. Paso de ~35% a ~60% tras Warsh el 28-ago.</t>
  </si>
  <si>
    <t xml:space="preserve">Precio BTC fin de mes</t>
  </si>
  <si>
    <t xml:space="preserve">https://gamma-api.polymarket.com/markets?closed=false&amp;limit=5</t>
  </si>
  <si>
    <t xml:space="preserve">Distribucion implicita del mercado de prediccion.</t>
  </si>
  <si>
    <t xml:space="preserve">MOTOR FORENSE DE LIQUIDACIONES</t>
  </si>
  <si>
    <t xml:space="preserve">Coinglass no ofrece endpoint gratuito sin clave: las celdas amarillas se llenan a mano desde coinglass.com/liquidations (30 segundos). Todo lo demas se calcula solo.</t>
  </si>
  <si>
    <t xml:space="preserve">A. ENTRADAS (amarillo = escribir a mano) / VERDE = calculado</t>
  </si>
  <si>
    <t xml:space="preserve">Variable</t>
  </si>
  <si>
    <t xml:space="preserve">Estado</t>
  </si>
  <si>
    <t xml:space="preserve">Referencia 28-ago-2026</t>
  </si>
  <si>
    <t xml:space="preserve">Liquidaciones totales 24h</t>
  </si>
  <si>
    <t xml:space="preserve">—</t>
  </si>
  <si>
    <t xml:space="preserve">487.68 M</t>
  </si>
  <si>
    <t xml:space="preserve">Coinglass / CryptoSlate 28-ago-2026</t>
  </si>
  <si>
    <t xml:space="preserve">Liquidaciones ultima 1 hora</t>
  </si>
  <si>
    <t xml:space="preserve">FILTRO 1 del dashboard. Es el gatillo real de entrada.</t>
  </si>
  <si>
    <t xml:space="preserve">Traders liquidados 24h</t>
  </si>
  <si>
    <t xml:space="preserve">97,691</t>
  </si>
  <si>
    <t xml:space="preserve">Para calcular perdida media por cuenta.</t>
  </si>
  <si>
    <t xml:space="preserve">Longs liquidados 24h</t>
  </si>
  <si>
    <t xml:space="preserve">360 M</t>
  </si>
  <si>
    <t xml:space="preserve">FILTRO 3 usa la dominancia derivada de aqui.</t>
  </si>
  <si>
    <t xml:space="preserve">Shorts liquidados 24h</t>
  </si>
  <si>
    <t xml:space="preserve">127.68 M</t>
  </si>
  <si>
    <t xml:space="preserve">Complemento.</t>
  </si>
  <si>
    <t xml:space="preserve">Open Interest agregado (USD)</t>
  </si>
  <si>
    <t xml:space="preserve">56.48 B</t>
  </si>
  <si>
    <t xml:space="preserve">Denominador del % purgado.</t>
  </si>
  <si>
    <t xml:space="preserve">Flujos ETF positivos hoy (1/0)</t>
  </si>
  <si>
    <t xml:space="preserve">0/1</t>
  </si>
  <si>
    <t xml:space="preserve">1 (8 sesiones)</t>
  </si>
  <si>
    <t xml:space="preserve">FILTRO 5. Escribe 1 si los flujos ETF del dia son positivos, 0 si no.</t>
  </si>
  <si>
    <t xml:space="preserve">B. METRICAS DERIVADAS — EL ANALISIS QUE NADIE HACE</t>
  </si>
  <si>
    <t xml:space="preserve">Metrica derivada</t>
  </si>
  <si>
    <t xml:space="preserve">Formato</t>
  </si>
  <si>
    <t xml:space="preserve">Umbral critico</t>
  </si>
  <si>
    <t xml:space="preserve">Diagnostico</t>
  </si>
  <si>
    <t xml:space="preserve">Valor del 28-ago</t>
  </si>
  <si>
    <t xml:space="preserve">Interpretacion</t>
  </si>
  <si>
    <t xml:space="preserve">Perdida media por trader</t>
  </si>
  <si>
    <t xml:space="preserve">#,##0</t>
  </si>
  <si>
    <t xml:space="preserve">≈ 4,992 USD</t>
  </si>
  <si>
    <t xml:space="preserve">Perfil retail apalancado medio-alto, no ballenas.</t>
  </si>
  <si>
    <t xml:space="preserve">Dominancia de longs</t>
  </si>
  <si>
    <t xml:space="preserve">0.0%</t>
  </si>
  <si>
    <t xml:space="preserve">74%</t>
  </si>
  <si>
    <t xml:space="preserve">FILTRO 3. &gt;75% confirma purga unilateral.</t>
  </si>
  <si>
    <t xml:space="preserve">% del OI purgado (24h)</t>
  </si>
  <si>
    <t xml:space="preserve">0.00%</t>
  </si>
  <si>
    <t xml:space="preserve">0.86%</t>
  </si>
  <si>
    <t xml:space="preserve">FILTRO 2. HALLAZGO CLAVE: &lt;1% = purga incompleta, queda combustible.</t>
  </si>
  <si>
    <t xml:space="preserve">Ratio purga vs capitulacion</t>
  </si>
  <si>
    <t xml:space="preserve">0.00x</t>
  </si>
  <si>
    <t xml:space="preserve">0.22x</t>
  </si>
  <si>
    <t xml:space="preserve">1.00x = purga de capitulacion (4% del OI). Hoy solo el 22% del camino.</t>
  </si>
  <si>
    <t xml:space="preserve">Rebote esperado (ley de escala)</t>
  </si>
  <si>
    <t xml:space="preserve">1.4%</t>
  </si>
  <si>
    <t xml:space="preserve">Media del tramo. El rebote escala con la LIQUIDACION, no con la caida.</t>
  </si>
  <si>
    <t xml:space="preserve">Rebote real observado hoy (ola 3)</t>
  </si>
  <si>
    <t xml:space="preserve">1.04%</t>
  </si>
  <si>
    <t xml:space="preserve">76,909 -&gt; 77,712. Coincide con la prediccion del modelo.</t>
  </si>
  <si>
    <t xml:space="preserve">Error del modelo</t>
  </si>
  <si>
    <t xml:space="preserve">+0.00%;-0.00%</t>
  </si>
  <si>
    <t xml:space="preserve">-0.36pp</t>
  </si>
  <si>
    <t xml:space="preserve">Calibracion. Si el error crece, recalibra los tramos.</t>
  </si>
  <si>
    <t xml:space="preserve">Grado de la cascada (0-6)</t>
  </si>
  <si>
    <t xml:space="preserve">0.0</t>
  </si>
  <si>
    <t xml:space="preserve">1.5 de 6</t>
  </si>
  <si>
    <t xml:space="preserve">CALIDAD BAJA. Rubrica ponderada (el informe usaba una sin pesos: 2.5/6). Debajo de 4 no se opera.</t>
  </si>
  <si>
    <t xml:space="preserve">C. LEY DE ESCALA DEL REBOTE (calibrada con datos observados)</t>
  </si>
  <si>
    <t xml:space="preserve">Tramo de liquidacion 24h</t>
  </si>
  <si>
    <t xml:space="preserve">Rebote esperado</t>
  </si>
  <si>
    <t xml:space="preserve">Con 3x</t>
  </si>
  <si>
    <t xml:space="preserve">Con 5x</t>
  </si>
  <si>
    <t xml:space="preserve">Con 10x</t>
  </si>
  <si>
    <t xml:space="preserve">Evento de referencia</t>
  </si>
  <si>
    <t xml:space="preserve">&lt; 500 M USD</t>
  </si>
  <si>
    <t xml:space="preserve">28-ago-2026: 487.68 M -&gt; rebote real 1.04%</t>
  </si>
  <si>
    <t xml:space="preserve">El apalancamiento multiplica el rebote Y la ruina. Ver hoja 7.</t>
  </si>
  <si>
    <t xml:space="preserve">500 M – 1.5 B</t>
  </si>
  <si>
    <t xml:space="preserve">19-ago-2026: 691.06 M (mayor liq. de cortos desde 2019 en Glassnode)</t>
  </si>
  <si>
    <t xml:space="preserve">1.5 B – 3.0 B</t>
  </si>
  <si>
    <t xml:space="preserve">Flash crash XRP: 1.35 B en 24h</t>
  </si>
  <si>
    <t xml:space="preserve">&gt; 3.0 B</t>
  </si>
  <si>
    <t xml:space="preserve">Semana del 20-ago: 7.2 B en cortos</t>
  </si>
  <si>
    <t xml:space="preserve">D. CAMBIO DE POLARIDAD — EL DATO QUE DECIDE EL REGIMEN</t>
  </si>
  <si>
    <t xml:space="preserve">Ventana</t>
  </si>
  <si>
    <t xml:space="preserve">Liquidaciones</t>
  </si>
  <si>
    <t xml:space="preserve">Split dominante</t>
  </si>
  <si>
    <t xml:space="preserve">% dominante</t>
  </si>
  <si>
    <t xml:space="preserve">Regimen</t>
  </si>
  <si>
    <t xml:space="preserve">19-ago-2026</t>
  </si>
  <si>
    <t xml:space="preserve">CORTOS</t>
  </si>
  <si>
    <t xml:space="preserve">Short squeeze historico</t>
  </si>
  <si>
    <t xml:space="preserve">Glassnode / CoinStats</t>
  </si>
  <si>
    <t xml:space="preserve">Semana del 20-ago</t>
  </si>
  <si>
    <t xml:space="preserve">Squeeze en cadena</t>
  </si>
  <si>
    <t xml:space="preserve">Trading Economics</t>
  </si>
  <si>
    <t xml:space="preserve">Desde el miercoles 26-ago</t>
  </si>
  <si>
    <t xml:space="preserve">Continuacion</t>
  </si>
  <si>
    <t xml:space="preserve">Charles Schwab</t>
  </si>
  <si>
    <t xml:space="preserve">24h PREVIAS a Warsh</t>
  </si>
  <si>
    <t xml:space="preserve">Ultimo aliento alcista</t>
  </si>
  <si>
    <t xml:space="preserve">CoinStats 27-ago</t>
  </si>
  <si>
    <t xml:space="preserve">24h POSTERIORES a Warsh</t>
  </si>
  <si>
    <t xml:space="preserve">LONGS</t>
  </si>
  <si>
    <t xml:space="preserve">INVERSION DE REGIMEN</t>
  </si>
  <si>
    <t xml:space="preserve">CryptoSlate 28-ago</t>
  </si>
  <si>
    <t xml:space="preserve">CONCLUSION DEL MOTOR</t>
  </si>
  <si>
    <t xml:space="preserve">MAPA DE LIQUIDACIONES ESTIMADO — construido desde OI, flujo agresor y apalancamiento</t>
  </si>
  <si>
    <t xml:space="preserve">Metodo tipo heatmap: cada aumento de OI se reparte en niveles de apalancamiento y se proyecta su precio de liquidacion. Los niveles ya tocados por el precio se eliminan. Es una ESTIMACION, no el libro real de posiciones.</t>
  </si>
  <si>
    <t xml:space="preserve">A. PARAMETROS (amarillo = editable)</t>
  </si>
  <si>
    <t xml:space="preserve">Precio de referencia (ultimo cierre)</t>
  </si>
  <si>
    <t xml:space="preserve">Automatico. Si no hay datos 5m usa el precio EN USO del dashboard.</t>
  </si>
  <si>
    <t xml:space="preserve">Margen de mantenimiento (MMR)</t>
  </si>
  <si>
    <t xml:space="preserve">Binance BTCUSDT tramo base: 0.40%. Acerca el precio de liquidacion.</t>
  </si>
  <si>
    <t xml:space="preserve">Vida media de las posiciones (horas)</t>
  </si>
  <si>
    <t xml:space="preserve">Decaimiento: una posicion abierta hace 24h pesa 37% (e^-1). Supuesto.</t>
  </si>
  <si>
    <t xml:space="preserve">Ancho de cada franja de precio</t>
  </si>
  <si>
    <t xml:space="preserve">0.5% por fila. 61 filas = +/-15% alrededor del precio.</t>
  </si>
  <si>
    <t xml:space="preserve">Ventana para la asimetria</t>
  </si>
  <si>
    <t xml:space="preserve">Compara combustible dentro de +/-5%.</t>
  </si>
  <si>
    <t xml:space="preserve">Umbral de cluster relevante</t>
  </si>
  <si>
    <t xml:space="preserve">Una franja cuenta como cluster si tiene &gt;=25% del maximo.</t>
  </si>
  <si>
    <t xml:space="preserve">Ventana de combustible inmediato</t>
  </si>
  <si>
    <t xml:space="preserve">Longs a liquidar en el primer 2% de caida.</t>
  </si>
  <si>
    <t xml:space="preserve">B. DISTRIBUCION DE APALANCAMIENTO (supuesto editable)</t>
  </si>
  <si>
    <t xml:space="preserve">Tramo</t>
  </si>
  <si>
    <t xml:space="preserve">Apalanc.</t>
  </si>
  <si>
    <t xml:space="preserve">Liq. long a</t>
  </si>
  <si>
    <t xml:space="preserve">Liq. short a</t>
  </si>
  <si>
    <t xml:space="preserve">Tramo 1</t>
  </si>
  <si>
    <t xml:space="preserve">Swing / fondos. Liquidacion lejana.</t>
  </si>
  <si>
    <t xml:space="preserve">Tramo 2</t>
  </si>
  <si>
    <t xml:space="preserve">El grueso del retail prudente.</t>
  </si>
  <si>
    <t xml:space="preserve">Tramo 3</t>
  </si>
  <si>
    <t xml:space="preserve">Retail agresivo. Aqui nacen las cascadas.</t>
  </si>
  <si>
    <t xml:space="preserve">Tramo 4</t>
  </si>
  <si>
    <t xml:space="preserve">Scalpers. Liquidacion a ~1.6%.</t>
  </si>
  <si>
    <t xml:space="preserve">Tramo 5</t>
  </si>
  <si>
    <t xml:space="preserve">Apuesta pura. Se barre con cualquier mecha.</t>
  </si>
  <si>
    <t xml:space="preserve">Suma de pesos (debe ser 100%)</t>
  </si>
  <si>
    <t xml:space="preserve">C. RESUMEN DEL MAPA</t>
  </si>
  <si>
    <t xml:space="preserve">Longs vivos a liquidar dentro de -ventana</t>
  </si>
  <si>
    <t xml:space="preserve">Combustible bajista: ventas forzadas si el precio cae.</t>
  </si>
  <si>
    <t xml:space="preserve">Shorts vivos a liquidar dentro de +ventana</t>
  </si>
  <si>
    <t xml:space="preserve">Combustible alcista: compras forzadas si el precio sube.</t>
  </si>
  <si>
    <t xml:space="preserve">Asimetria (longs / shorts)</t>
  </si>
  <si>
    <t xml:space="preserve">El 28-ago en ETH era 7.8x hacia abajo.</t>
  </si>
  <si>
    <t xml:space="preserve">Iman de liquidez</t>
  </si>
  <si>
    <t xml:space="preserve">Hacia donde tiene mas razones mecanicas para ir el precio.</t>
  </si>
  <si>
    <t xml:space="preserve">Cluster LONG mayor: precio</t>
  </si>
  <si>
    <t xml:space="preserve">La bolsa de longs mas grande del mapa.</t>
  </si>
  <si>
    <t xml:space="preserve">Cluster LONG mayor: tamano</t>
  </si>
  <si>
    <t xml:space="preserve">Cluster SHORT mayor: precio</t>
  </si>
  <si>
    <t xml:space="preserve">La bolsa de shorts mas grande del mapa.</t>
  </si>
  <si>
    <t xml:space="preserve">Cluster SHORT mayor: tamano</t>
  </si>
  <si>
    <t xml:space="preserve">Primer cluster LONG relevante: franja</t>
  </si>
  <si>
    <t xml:space="preserve">Indice de franja (auxiliar).</t>
  </si>
  <si>
    <t xml:space="preserve">Primer cluster LONG relevante: precio</t>
  </si>
  <si>
    <t xml:space="preserve">EL NIVEL A VIGILAR: la primera parada de una cascada.</t>
  </si>
  <si>
    <t xml:space="preserve">Primer cluster LONG relevante: distancia</t>
  </si>
  <si>
    <t xml:space="preserve">Primer cluster SHORT relevante: franja</t>
  </si>
  <si>
    <t xml:space="preserve">Primer cluster SHORT relevante: precio</t>
  </si>
  <si>
    <t xml:space="preserve">La primera parada de un squeeze.</t>
  </si>
  <si>
    <t xml:space="preserve">Primer cluster SHORT relevante: distancia</t>
  </si>
  <si>
    <t xml:space="preserve">Combustible inmediato (longs en -2%)</t>
  </si>
  <si>
    <t xml:space="preserve">Lo que se venderia a mercado en el primer tramo de caida.</t>
  </si>
  <si>
    <t xml:space="preserve">Ratio combustible / volumen medio 5m</t>
  </si>
  <si>
    <t xml:space="preserve">&gt;3x: la cascada se autoalimenta. &lt;1x: el mercado la absorbe.</t>
  </si>
  <si>
    <t xml:space="preserve">Liquidaciones YA ejecutadas (estimadas): longs</t>
  </si>
  <si>
    <t xml:space="preserve">Cota superior. Contrasta con la hoja 15 (liquidaciones reales).</t>
  </si>
  <si>
    <t xml:space="preserve">Liquidaciones YA ejecutadas (estimadas): shorts</t>
  </si>
  <si>
    <t xml:space="preserve">LECTURA DEL MAPA</t>
  </si>
  <si>
    <t xml:space="preserve">D. MAPA — franjas de 0.5% (arriba = shorts por liquidar / abajo = longs por liquidar)</t>
  </si>
  <si>
    <t xml:space="preserve">Etiqueta</t>
  </si>
  <si>
    <t xml:space="preserve">Franja</t>
  </si>
  <si>
    <t xml:space="preserve">Precio centro</t>
  </si>
  <si>
    <t xml:space="preserve">Desde</t>
  </si>
  <si>
    <t xml:space="preserve">Hasta</t>
  </si>
  <si>
    <t xml:space="preserve">Distancia</t>
  </si>
  <si>
    <t xml:space="preserve">LONGS a liquidar</t>
  </si>
  <si>
    <t xml:space="preserve">SHORTS a liquidar</t>
  </si>
  <si>
    <t xml:space="preserve">Total</t>
  </si>
  <si>
    <t xml:space="preserve">Intensidad</t>
  </si>
  <si>
    <t xml:space="preserve">Acumulado</t>
  </si>
  <si>
    <t xml:space="preserve">LIQUIDACIONES REALES — OKX (REST publico) + Binance (colector en tiempo real)</t>
  </si>
  <si>
    <t xml:space="preserve">Datos de ordenes de liquidacion ejecutadas, no estimaciones. Cobertura parcial del mercado: se extrapola con el factor de cobertura.</t>
  </si>
  <si>
    <t xml:space="preserve">OKX (qLiqOKX -&gt; M4)</t>
  </si>
  <si>
    <t xml:space="preserve">BINANCE (qLiqBinanceCSV -&gt; T4)</t>
  </si>
  <si>
    <t xml:space="preserve">A. PARAMETROS</t>
  </si>
  <si>
    <t xml:space="preserve">ts</t>
  </si>
  <si>
    <t xml:space="preserve">Hora</t>
  </si>
  <si>
    <t xml:space="preserve">Liquidado</t>
  </si>
  <si>
    <t xml:space="preserve">Factor de cobertura (Binance+OKX / mercado)</t>
  </si>
  <si>
    <t xml:space="preserve">SUPUESTO. Ademas Binance solo emite 1 liquidacion/segundo/simbolo: subestima en cascadas.</t>
  </si>
  <si>
    <t xml:space="preserve">Ruta del CSV del colector</t>
  </si>
  <si>
    <t xml:space="preserve">C:\trading\liquidaciones_binance.csv</t>
  </si>
  <si>
    <t xml:space="preserve">Nombre definido RutaCSV. La lee la consulta qLiqBinanceCSV.</t>
  </si>
  <si>
    <t xml:space="preserve">Tu diferencia horaria con UTC (horas)</t>
  </si>
  <si>
    <t xml:space="preserve">Bolivia = -4. Se usa para calcular 'ahora' en UTC.</t>
  </si>
  <si>
    <t xml:space="preserve">Ahora en UTC (ms)</t>
  </si>
  <si>
    <t xml:space="preserve">Ventanas de 1h/4h/24h medidas contra este instante.</t>
  </si>
  <si>
    <t xml:space="preserve">B. METRICAS DE LIQUIDACION REAL</t>
  </si>
  <si>
    <t xml:space="preserve">MERCADO (estimado)</t>
  </si>
  <si>
    <t xml:space="preserve">Longs liquidados 1h</t>
  </si>
  <si>
    <t xml:space="preserve">FILTRO 1 (junto con shorts).</t>
  </si>
  <si>
    <t xml:space="preserve">Shorts liquidados 1h</t>
  </si>
  <si>
    <t xml:space="preserve">Longs liquidados 4h</t>
  </si>
  <si>
    <t xml:space="preserve">Shorts liquidados 4h</t>
  </si>
  <si>
    <t xml:space="preserve">Comparable al dato de Coinglass.</t>
  </si>
  <si>
    <t xml:space="preserve">Dominancia de longs 1h</t>
  </si>
  <si>
    <t xml:space="preserve">FILTRO 3. &gt;75% = purga unilateral.</t>
  </si>
  <si>
    <t xml:space="preserve">Eventos de liquidacion 1h</t>
  </si>
  <si>
    <t xml:space="preserve">Muchos eventos pequenos = retail.</t>
  </si>
  <si>
    <t xml:space="preserve">Mayor liquidacion individual 24h</t>
  </si>
  <si>
    <t xml:space="preserve">Una sola &gt; 5M = ballena liquidada.</t>
  </si>
  <si>
    <t xml:space="preserve">Precio medio de liquidacion LONG 1h</t>
  </si>
  <si>
    <t xml:space="preserve">Donde se disparo la cascada: suele volverse soporte.</t>
  </si>
  <si>
    <t xml:space="preserve">Precio medio de liquidacion SHORT 1h</t>
  </si>
  <si>
    <t xml:space="preserve">Donde se disparo el squeeze: suele volverse resistencia.</t>
  </si>
  <si>
    <t xml:space="preserve">C. DETECTOR DE CASCADA — ultimas 2 horas en bloques de 5 min (ambas fuentes)</t>
  </si>
  <si>
    <t xml:space="preserve">Bloque (minutos atras)</t>
  </si>
  <si>
    <t xml:space="preserve">Longs</t>
  </si>
  <si>
    <t xml:space="preserve">Shorts</t>
  </si>
  <si>
    <t xml:space="preserve">Senal</t>
  </si>
  <si>
    <t xml:space="preserve">-120 a -115 min</t>
  </si>
  <si>
    <t xml:space="preserve">-115 a -110 min</t>
  </si>
  <si>
    <t xml:space="preserve">-110 a -105 min</t>
  </si>
  <si>
    <t xml:space="preserve">-105 a -100 min</t>
  </si>
  <si>
    <t xml:space="preserve">-100 a -95 min</t>
  </si>
  <si>
    <t xml:space="preserve">-95 a -90 min</t>
  </si>
  <si>
    <t xml:space="preserve">-90 a -85 min</t>
  </si>
  <si>
    <t xml:space="preserve">-85 a -80 min</t>
  </si>
  <si>
    <t xml:space="preserve">-80 a -75 min</t>
  </si>
  <si>
    <t xml:space="preserve">-75 a -70 min</t>
  </si>
  <si>
    <t xml:space="preserve">-70 a -65 min</t>
  </si>
  <si>
    <t xml:space="preserve">-65 a -60 min</t>
  </si>
  <si>
    <t xml:space="preserve">-60 a -55 min</t>
  </si>
  <si>
    <t xml:space="preserve">-55 a -50 min</t>
  </si>
  <si>
    <t xml:space="preserve">-50 a -45 min</t>
  </si>
  <si>
    <t xml:space="preserve">-45 a -40 min</t>
  </si>
  <si>
    <t xml:space="preserve">-40 a -35 min</t>
  </si>
  <si>
    <t xml:space="preserve">-35 a -30 min</t>
  </si>
  <si>
    <t xml:space="preserve">-30 a -25 min</t>
  </si>
  <si>
    <t xml:space="preserve">-25 a -20 min</t>
  </si>
  <si>
    <t xml:space="preserve">-20 a -15 min</t>
  </si>
  <si>
    <t xml:space="preserve">-15 a -10 min</t>
  </si>
  <si>
    <t xml:space="preserve">-10 a -5 min</t>
  </si>
  <si>
    <t xml:space="preserve">-5 a -0 min</t>
  </si>
  <si>
    <t xml:space="preserve">Mediana por bloque</t>
  </si>
  <si>
    <t xml:space="preserve">Pico por bloque</t>
  </si>
  <si>
    <t xml:space="preserve">Pico extrapolado al mercado</t>
  </si>
  <si>
    <t xml:space="preserve">Multiplo pico / mediana</t>
  </si>
  <si>
    <t xml:space="preserve">VEREDICTO DEL DETECTOR</t>
  </si>
  <si>
    <t xml:space="preserve">DETECTOR DE FASE DE CASCADA — maquina de estados sobre precio, OI y flujo agresor</t>
  </si>
  <si>
    <t xml:space="preserve">Responde a la unica pregunta que importa para comprar la caida: en que punto del ciclo de liquidacion estamos.</t>
  </si>
  <si>
    <t xml:space="preserve">Barras disponibles (N)</t>
  </si>
  <si>
    <t xml:space="preserve">15 min</t>
  </si>
  <si>
    <t xml:space="preserve">1 hora</t>
  </si>
  <si>
    <t xml:space="preserve">4 horas</t>
  </si>
  <si>
    <t xml:space="preserve">24 horas</t>
  </si>
  <si>
    <t xml:space="preserve">Como leerlo</t>
  </si>
  <si>
    <t xml:space="preserve">Barras de la ventana</t>
  </si>
  <si>
    <t xml:space="preserve">Retorno del precio</t>
  </si>
  <si>
    <t xml:space="preserve">Magnitud del movimiento.</t>
  </si>
  <si>
    <t xml:space="preserve">Cambio del Open Interest</t>
  </si>
  <si>
    <t xml:space="preserve">Negativo con precio cayendo = longs liquidados.</t>
  </si>
  <si>
    <t xml:space="preserve">Share comprador agresor</t>
  </si>
  <si>
    <t xml:space="preserve">&gt;52% tras una cascada = alguien absorbe.</t>
  </si>
  <si>
    <t xml:space="preserve">Multiplo de volumen</t>
  </si>
  <si>
    <t xml:space="preserve">&gt;2x = evento, no ruido.</t>
  </si>
  <si>
    <t xml:space="preserve">Cuadrante precio / OI</t>
  </si>
  <si>
    <t xml:space="preserve">P- OI- es el unico cuadrante que precede rebotes de arbitraje.</t>
  </si>
  <si>
    <t xml:space="preserve">Mecha inferior de la ultima barra</t>
  </si>
  <si>
    <t xml:space="preserve">&gt;50% = rechazo de precios bajos. Firma de absorcion.</t>
  </si>
  <si>
    <t xml:space="preserve">Purga de OI desde el maximo de 24h</t>
  </si>
  <si>
    <t xml:space="preserve">FILTRO 2 en vivo. El 28-ago fue 0.86%: purga incompleta. &gt;=2.5% = limpieza real.</t>
  </si>
  <si>
    <t xml:space="preserve">UMBRALES (editables)</t>
  </si>
  <si>
    <t xml:space="preserve">Cascada: retorno 1h maximo</t>
  </si>
  <si>
    <t xml:space="preserve">Cascada: cambio de OI 1h maximo</t>
  </si>
  <si>
    <t xml:space="preserve">Cascada: multiplo de volumen minimo</t>
  </si>
  <si>
    <t xml:space="preserve">Agotamiento: retorno 4h maximo</t>
  </si>
  <si>
    <t xml:space="preserve">Agotamiento: cambio de OI 4h maximo</t>
  </si>
  <si>
    <t xml:space="preserve">Agotamiento: share comprador 15m minimo</t>
  </si>
  <si>
    <t xml:space="preserve">Ignicion: retorno 15m maximo</t>
  </si>
  <si>
    <t xml:space="preserve">Carga: aumento de OI 4h minimo</t>
  </si>
  <si>
    <t xml:space="preserve">Carga: movimiento de precio 4h maximo (abs)</t>
  </si>
  <si>
    <t xml:space="preserve">FASE ACTUAL</t>
  </si>
  <si>
    <t xml:space="preserve">FASE</t>
  </si>
  <si>
    <t xml:space="preserve">QUE HACER</t>
  </si>
  <si>
    <t xml:space="preserve">Fase</t>
  </si>
  <si>
    <t xml:space="preserve">Firma</t>
  </si>
  <si>
    <t xml:space="preserve">CARGANDO COMBUSTIBLE</t>
  </si>
  <si>
    <t xml:space="preserve">OI sube &gt;2% en 4h con precio plano.</t>
  </si>
  <si>
    <t xml:space="preserve">Se esta armando el cluster que alguien cazara. Mira el mapa (hoja 13): ahi estara el objetivo.</t>
  </si>
  <si>
    <t xml:space="preserve">IGNICION</t>
  </si>
  <si>
    <t xml:space="preserve">Caida &gt;0.8% en 15m con OI bajando.</t>
  </si>
  <si>
    <t xml:space="preserve">Reduce largos apalancados. No compres todavia: puede ser el inicio de la cascada.</t>
  </si>
  <si>
    <t xml:space="preserve">CASCADA LONG EN CURSO</t>
  </si>
  <si>
    <t xml:space="preserve">Caida &gt;2% en 1h, OI -1.5%, volumen &gt;2x.</t>
  </si>
  <si>
    <t xml:space="preserve">No atrapes el cuchillo. Coloca ordenes limite en el primer cluster long del mapa y espera.</t>
  </si>
  <si>
    <t xml:space="preserve">AGOTAMIENTO POST-CASCADA</t>
  </si>
  <si>
    <t xml:space="preserve">Caida 4h &gt;3%, OI 4h -2%, 15m verde, compradores &gt;52%.</t>
  </si>
  <si>
    <t xml:space="preserve">VENTANA DE ARBITRAJE. Revisa los 5 filtros del dashboard: con 4 o mas, entrada con 3x maximo.</t>
  </si>
  <si>
    <t xml:space="preserve">SQUEEZE DE CORTOS EN CURSO</t>
  </si>
  <si>
    <t xml:space="preserve">Subida &gt;2% en 1h con OI cayendo.</t>
  </si>
  <si>
    <t xml:space="preserve">No te pongas corto contra el squeeze. El rally es de cobertura: fragil, pero no lo desafies en caliente.</t>
  </si>
  <si>
    <t xml:space="preserve">NEUTRO</t>
  </si>
  <si>
    <t xml:space="preserve">Ninguna firma activa.</t>
  </si>
  <si>
    <t xml:space="preserve">Sin evento de liquidacion. Escenario de rango: no hay trade de arbitraje.</t>
  </si>
  <si>
    <t xml:space="preserve">SIN DATOS SUFICIENTES</t>
  </si>
  <si>
    <t xml:space="preserve">Menos de 60 barras.</t>
  </si>
  <si>
    <t xml:space="preserve">Instala y refresca qBase5m (hoja 9).</t>
  </si>
  <si>
    <t xml:space="preserve">MOTOR WYCKOFF — SPRING vs UPTHRUST/UTAD</t>
  </si>
  <si>
    <t xml:space="preserve">Cada evidencia se puntua 0-3. El motor convierte la suma ponderada en probabilidad. Edita solo el amarillo.</t>
  </si>
  <si>
    <t xml:space="preserve">A. EVIDENCIA UTAD (distribucion — barre maximos y baja)</t>
  </si>
  <si>
    <t xml:space="preserve">Evidencia</t>
  </si>
  <si>
    <t xml:space="preserve">Puntaje 0-3</t>
  </si>
  <si>
    <t xml:space="preserve">Aporte</t>
  </si>
  <si>
    <t xml:space="preserve">Verificable en vivo</t>
  </si>
  <si>
    <t xml:space="preserve">Celda fuente</t>
  </si>
  <si>
    <t xml:space="preserve">Estado 28-ago</t>
  </si>
  <si>
    <t xml:space="preserve">Maximo en 81,238 sin capacidad de sostenerlo</t>
  </si>
  <si>
    <t xml:space="preserve">No</t>
  </si>
  <si>
    <t xml:space="preserve">Confirmado</t>
  </si>
  <si>
    <t xml:space="preserve">Rechazo en la MA 50 semanas (81,033).</t>
  </si>
  <si>
    <t xml:space="preserve">Grandes operadores vendiendo en 80–82K</t>
  </si>
  <si>
    <t xml:space="preserve">Supply on demand clasico.</t>
  </si>
  <si>
    <t xml:space="preserve">Polaridad de liquidacion invertida a longs</t>
  </si>
  <si>
    <t xml:space="preserve">Si</t>
  </si>
  <si>
    <t xml:space="preserve">'5_Liquidaciones'!C16</t>
  </si>
  <si>
    <t xml:space="preserve">74% longs</t>
  </si>
  <si>
    <t xml:space="preserve">El dato mas pesado del bloque.</t>
  </si>
  <si>
    <t xml:space="preserve">Divergencia retail vs top traders</t>
  </si>
  <si>
    <t xml:space="preserve">'3_Live_Derivados'!G9-'3_Live_Derivados'!G10</t>
  </si>
  <si>
    <t xml:space="preserve">70.3% vs 57.4%</t>
  </si>
  <si>
    <t xml:space="preserve">13 puntos de brecha.</t>
  </si>
  <si>
    <t xml:space="preserve">Sobrecompra (RSI/Stoch extremos)</t>
  </si>
  <si>
    <t xml:space="preserve">RSI 76, Stoch&gt;90</t>
  </si>
  <si>
    <t xml:space="preserve">ETH; BTC similar.</t>
  </si>
  <si>
    <t xml:space="preserve">Bid de dealers desaparecido (expiracion)</t>
  </si>
  <si>
    <t xml:space="preserve">Confirmado 08:00 UTC</t>
  </si>
  <si>
    <t xml:space="preserve">6.32B expiraron, max pain 69K.</t>
  </si>
  <si>
    <t xml:space="preserve">OI en minimo de 5 meses durante el rally</t>
  </si>
  <si>
    <t xml:space="preserve">Rally de cobertura, no de demanda.</t>
  </si>
  <si>
    <t xml:space="preserve">PUNTUACION UTAD</t>
  </si>
  <si>
    <t xml:space="preserve">% del maximo</t>
  </si>
  <si>
    <t xml:space="preserve">B. EVIDENCIA SPRING (acumulacion — barre minimos y sube)</t>
  </si>
  <si>
    <t xml:space="preserve">Funding neutro o negativo</t>
  </si>
  <si>
    <t xml:space="preserve">'1_Dashboard'!E8</t>
  </si>
  <si>
    <t xml:space="preserve">-0.0048%</t>
  </si>
  <si>
    <t xml:space="preserve">El argumento alcista mas fuerte.</t>
  </si>
  <si>
    <t xml:space="preserve">Funding muy por debajo del 0.03%/4h</t>
  </si>
  <si>
    <t xml:space="preserve">'3_Live_Derivados'!G5</t>
  </si>
  <si>
    <t xml:space="preserve">Sin apalancamiento largo excesivo.</t>
  </si>
  <si>
    <t xml:space="preserve">Bolsa 74–76.5K visible = iman</t>
  </si>
  <si>
    <t xml:space="preserve">Lo visible se barre, no se respeta.</t>
  </si>
  <si>
    <t xml:space="preserve">OI subio solo 1.32% en el avance</t>
  </si>
  <si>
    <t xml:space="preserve">'3_Live_Derivados'!G7</t>
  </si>
  <si>
    <t xml:space="preserve">Avance no puramente apalancado.</t>
  </si>
  <si>
    <t xml:space="preserve">Flujos ETF positivos sostenidos</t>
  </si>
  <si>
    <t xml:space="preserve">'5_Liquidaciones'!C12</t>
  </si>
  <si>
    <t xml:space="preserve">8 sesiones</t>
  </si>
  <si>
    <t xml:space="preserve">Bid spot que no mira el grafico de 5m.</t>
  </si>
  <si>
    <t xml:space="preserve">Warsh no se comprometio a subir tasas</t>
  </si>
  <si>
    <t xml:space="preserve">El-Erian: 60% es demasiado alto.</t>
  </si>
  <si>
    <t xml:space="preserve">Precio defendiendo la EMA 50 semanas</t>
  </si>
  <si>
    <t xml:space="preserve">'1_Dashboard'!E6</t>
  </si>
  <si>
    <t xml:space="preserve">77,477 vs 77,250</t>
  </si>
  <si>
    <t xml:space="preserve">Margen de solo 227 USD.</t>
  </si>
  <si>
    <t xml:space="preserve">PUNTUACION SPRING</t>
  </si>
  <si>
    <t xml:space="preserve">C. RESULTADO DEL MOTOR</t>
  </si>
  <si>
    <t xml:space="preserve">Salida</t>
  </si>
  <si>
    <t xml:space="preserve">Referencia analisis</t>
  </si>
  <si>
    <t xml:space="preserve">Confirmacion requerida</t>
  </si>
  <si>
    <t xml:space="preserve">Prob. UTAD confirmado</t>
  </si>
  <si>
    <t xml:space="preserve">52%</t>
  </si>
  <si>
    <t xml:space="preserve">Cierre 4H bajo 76,900 + fallo en recuperar 79,000</t>
  </si>
  <si>
    <t xml:space="preserve">Cierre diario &gt; 80,500</t>
  </si>
  <si>
    <t xml:space="preserve">Prob. de que se dispare el Spring</t>
  </si>
  <si>
    <t xml:space="preserve">44%</t>
  </si>
  <si>
    <t xml:space="preserve">Mecha bajo 74,500 rechazada en &lt;4h con liq &gt;800M</t>
  </si>
  <si>
    <t xml:space="preserve">Cierre 4H bajo 73,800</t>
  </si>
  <si>
    <t xml:space="preserve">Prob. de exito condicional del Spring</t>
  </si>
  <si>
    <t xml:space="preserve">58%</t>
  </si>
  <si>
    <t xml:space="preserve">Funding girando negativo en la mecha</t>
  </si>
  <si>
    <t xml:space="preserve">Funding positivo en el rebote</t>
  </si>
  <si>
    <t xml:space="preserve">Prob. combinada de Spring exitoso</t>
  </si>
  <si>
    <t xml:space="preserve">26%</t>
  </si>
  <si>
    <t xml:space="preserve">Ambas anteriores</t>
  </si>
  <si>
    <t xml:space="preserve">Cualquiera de las dos falla</t>
  </si>
  <si>
    <t xml:space="preserve">Prob. sin resolucion (rango)</t>
  </si>
  <si>
    <t xml:space="preserve">22%</t>
  </si>
  <si>
    <t xml:space="preserve">Cierre semanal entre 77,250 y 79,000</t>
  </si>
  <si>
    <t xml:space="preserve">Ruptura de extremo con volumen</t>
  </si>
  <si>
    <t xml:space="preserve">ESTRUCTURA DOMINANTE</t>
  </si>
  <si>
    <t xml:space="preserve">ARBITRAJE POST-LIQUIDACION — CALCULADORA DE POSICION Y RUINA</t>
  </si>
  <si>
    <t xml:space="preserve">Comprar la caida solo cuando la venta es FORZADA. Si es informada (macro real), no hay rebote: hay tendencia.</t>
  </si>
  <si>
    <t xml:space="preserve">A. PARAMETROS DE LA OPERACION (amarillo = editar)</t>
  </si>
  <si>
    <t xml:space="preserve">Parametro</t>
  </si>
  <si>
    <t xml:space="preserve">Capital de la cuenta (USD)</t>
  </si>
  <si>
    <t xml:space="preserve">Tu capital total.</t>
  </si>
  <si>
    <t xml:space="preserve">Riesgo maximo por intento (%)</t>
  </si>
  <si>
    <t xml:space="preserve">Regla estandar: 2%.</t>
  </si>
  <si>
    <t xml:space="preserve">Apalancamiento</t>
  </si>
  <si>
    <t xml:space="preserve">El analisis recomienda 3x, NO 5x. Ver bloque D.</t>
  </si>
  <si>
    <t xml:space="preserve">Precio de entrada</t>
  </si>
  <si>
    <t xml:space="preserve">Zona de captura primaria BTC: 74,000–75,500.</t>
  </si>
  <si>
    <t xml:space="preserve">Stop (precio)</t>
  </si>
  <si>
    <t xml:space="preserve">Quiebre estructural. Debajo ya no es barrida.</t>
  </si>
  <si>
    <t xml:space="preserve">Objetivo 1</t>
  </si>
  <si>
    <t xml:space="preserve">EMA 50 semanas.</t>
  </si>
  <si>
    <t xml:space="preserve">Objetivo 2</t>
  </si>
  <si>
    <t xml:space="preserve">Gatillo de squeeze.</t>
  </si>
  <si>
    <t xml:space="preserve">Intentos maximos permitidos</t>
  </si>
  <si>
    <t xml:space="preserve">Tras 3 fallos, se cierra el dia.</t>
  </si>
  <si>
    <t xml:space="preserve">B. RESULTADOS CALCULADOS</t>
  </si>
  <si>
    <t xml:space="preserve">Distancia al stop (%)</t>
  </si>
  <si>
    <t xml:space="preserve">Movimiento adverso que te saca.</t>
  </si>
  <si>
    <t xml:space="preserve">Perdida con apalancamiento (% capital)</t>
  </si>
  <si>
    <t xml:space="preserve">AQUI esta el peligro real.</t>
  </si>
  <si>
    <t xml:space="preserve">Ganancia al objetivo 1 (% capital)</t>
  </si>
  <si>
    <t xml:space="preserve">Pago del escenario base.</t>
  </si>
  <si>
    <t xml:space="preserve">Ganancia al objetivo 2 (% capital)</t>
  </si>
  <si>
    <t xml:space="preserve">Pago extendido.</t>
  </si>
  <si>
    <t xml:space="preserve">Ratio riesgo/beneficio (obj.1)</t>
  </si>
  <si>
    <t xml:space="preserve">Minimo aceptable: 1.5x.</t>
  </si>
  <si>
    <t xml:space="preserve">Tamano nocional maximo (USD)</t>
  </si>
  <si>
    <t xml:space="preserve">Nocional que respeta el 2% de riesgo.</t>
  </si>
  <si>
    <t xml:space="preserve">Margen requerido (USD)</t>
  </si>
  <si>
    <t xml:space="preserve">Colateral a inmovilizar.</t>
  </si>
  <si>
    <t xml:space="preserve">Perdida en USD si salta el stop</t>
  </si>
  <si>
    <t xml:space="preserve">Por diseno = el 2%.</t>
  </si>
  <si>
    <t xml:space="preserve">Win rate minimo para no perder</t>
  </si>
  <si>
    <t xml:space="preserve">Si tu acierto historico esta por debajo, la estrategia pierde dinero por diseno.</t>
  </si>
  <si>
    <t xml:space="preserve">Perdida tras 3 fallos consecutivos</t>
  </si>
  <si>
    <t xml:space="preserve">Peor caso del dia.</t>
  </si>
  <si>
    <t xml:space="preserve">Perdida con 5x en el mismo trade</t>
  </si>
  <si>
    <t xml:space="preserve">Compara contra la fila 18. Por eso 3x.</t>
  </si>
  <si>
    <t xml:space="preserve">C. LOS 5 FILTROS — SEMAFORO ESPEJO DEL DASHBOARD</t>
  </si>
  <si>
    <t xml:space="preserve">Origen del dato</t>
  </si>
  <si>
    <t xml:space="preserve">Que hacer si falla</t>
  </si>
  <si>
    <t xml:space="preserve">&gt;= 800 M</t>
  </si>
  <si>
    <t xml:space="preserve">Espejo del dashboard</t>
  </si>
  <si>
    <t xml:space="preserve">Esperar. Sin volumen no hay rebote.</t>
  </si>
  <si>
    <t xml:space="preserve">2. % OI purgado</t>
  </si>
  <si>
    <t xml:space="preserve">Purga incompleta: viene otra cascada.</t>
  </si>
  <si>
    <t xml:space="preserve">3. Dominancia longs</t>
  </si>
  <si>
    <t xml:space="preserve">Purga mixta: sin direccion clara.</t>
  </si>
  <si>
    <t xml:space="preserve">&lt;= 0.010%</t>
  </si>
  <si>
    <t xml:space="preserve">Hay una segunda capa de longs por purgar.</t>
  </si>
  <si>
    <t xml:space="preserve">positivo</t>
  </si>
  <si>
    <t xml:space="preserve">Sin bid estructural, no compres.</t>
  </si>
  <si>
    <t xml:space="preserve">DECISION</t>
  </si>
  <si>
    <t xml:space="preserve">Se requieren 4 de 5. La puntuacion del 28-ago fue 2.5.</t>
  </si>
  <si>
    <t xml:space="preserve">D. MATEMATICA DE RUINA — POR QUE 3x Y NO 5x</t>
  </si>
  <si>
    <t xml:space="preserve">Serie de resultados</t>
  </si>
  <si>
    <t xml:space="preserve">Con 2x</t>
  </si>
  <si>
    <t xml:space="preserve">Veredicto</t>
  </si>
  <si>
    <t xml:space="preserve">3 aciertos de +1.3% (nominal)</t>
  </si>
  <si>
    <t xml:space="preserve">Ganar 1% muchas veces y perder 15% una vez converge a cero.</t>
  </si>
  <si>
    <t xml:space="preserve">3 fallos de -2.9% (nominal)</t>
  </si>
  <si>
    <t xml:space="preserve">2 aciertos + 1 fallo</t>
  </si>
  <si>
    <t xml:space="preserve">1 acierto + 2 fallos</t>
  </si>
  <si>
    <t xml:space="preserve">E. NIVELES OPERATIVOS PRECARGADOS</t>
  </si>
  <si>
    <t xml:space="preserve">Activo</t>
  </si>
  <si>
    <t xml:space="preserve">Captura primaria</t>
  </si>
  <si>
    <t xml:space="preserve">Captura secundaria</t>
  </si>
  <si>
    <t xml:space="preserve">Stop duro</t>
  </si>
  <si>
    <t xml:space="preserve">Apalanc. max</t>
  </si>
  <si>
    <t xml:space="preserve">Advertencia</t>
  </si>
  <si>
    <t xml:space="preserve">74,000 – 75,500</t>
  </si>
  <si>
    <t xml:space="preserve">76,300 – 76,900</t>
  </si>
  <si>
    <t xml:space="preserve">cierre 5m &lt; 73,800</t>
  </si>
  <si>
    <t xml:space="preserve">77,250 (EMA 50W)</t>
  </si>
  <si>
    <t xml:space="preserve">79,000</t>
  </si>
  <si>
    <t xml:space="preserve">3x</t>
  </si>
  <si>
    <t xml:space="preserve">Tamano &lt;=2% por intento, maximo 3 intentos.</t>
  </si>
  <si>
    <t xml:space="preserve">2,426 – 2,463</t>
  </si>
  <si>
    <t xml:space="preserve">2,471 – 2,503</t>
  </si>
  <si>
    <t xml:space="preserve">cierre &lt; 2,400</t>
  </si>
  <si>
    <t xml:space="preserve">2,503 (pivote)</t>
  </si>
  <si>
    <t xml:space="preserve">2,528</t>
  </si>
  <si>
    <t xml:space="preserve">Bajo 2,400 no hay red hasta 2,250–2,350. Riesgo de hueco.</t>
  </si>
  <si>
    <t xml:space="preserve">CATALOGO DE APIs PUBLICAS</t>
  </si>
  <si>
    <t xml:space="preserve">Todo lo marcado 'No' en la columna Clave funciona sin registro. Lo marcado 'Si' requiere cuenta gratuita o de pago.</t>
  </si>
  <si>
    <t xml:space="preserve">Proveedor</t>
  </si>
  <si>
    <t xml:space="preserve">Que aporta</t>
  </si>
  <si>
    <t xml:space="preserve">Endpoint base / ejemplo</t>
  </si>
  <si>
    <t xml:space="preserve">Clave</t>
  </si>
  <si>
    <t xml:space="preserve">Limite de uso</t>
  </si>
  <si>
    <t xml:space="preserve">Uso en este modelo</t>
  </si>
  <si>
    <t xml:space="preserve">Binance Spot</t>
  </si>
  <si>
    <t xml:space="preserve">Precio, volumen, OHLC</t>
  </si>
  <si>
    <t xml:space="preserve">1200 req/min</t>
  </si>
  <si>
    <t xml:space="preserve">JSON</t>
  </si>
  <si>
    <t xml:space="preserve">Precio principal, rango 24h</t>
  </si>
  <si>
    <t xml:space="preserve">Binance Futures</t>
  </si>
  <si>
    <t xml:space="preserve">Funding, OI, long/short, taker</t>
  </si>
  <si>
    <t xml:space="preserve">2400 req/min</t>
  </si>
  <si>
    <t xml:space="preserve">FILTRO 4 y todo el bloque de posicionamiento</t>
  </si>
  <si>
    <t xml:space="preserve">Binance Futures Data</t>
  </si>
  <si>
    <t xml:space="preserve">Ratios historicos</t>
  </si>
  <si>
    <t xml:space="preserve">https://fapi.binance.com/futures/data/globalLongShortAccountRatio?symbol=BTCUSDT&amp;period=1h&amp;limit=30</t>
  </si>
  <si>
    <t xml:space="preserve">Alto</t>
  </si>
  <si>
    <t xml:space="preserve">Divergencia retail vs pro</t>
  </si>
  <si>
    <t xml:space="preserve">Precio spot institucional EEUU</t>
  </si>
  <si>
    <t xml:space="preserve">10 req/s</t>
  </si>
  <si>
    <t xml:space="preserve">Prima EEUU vs offshore</t>
  </si>
  <si>
    <t xml:space="preserve">Precio, OHLC, libro</t>
  </si>
  <si>
    <t xml:space="preserve">1 req/s</t>
  </si>
  <si>
    <t xml:space="preserve">Tercera referencia de precio</t>
  </si>
  <si>
    <t xml:space="preserve">Precio spot</t>
  </si>
  <si>
    <t xml:space="preserve">8000 req/10min</t>
  </si>
  <si>
    <t xml:space="preserve">Venue citada en el analisis del 28-ago</t>
  </si>
  <si>
    <t xml:space="preserve">Bybit v5</t>
  </si>
  <si>
    <t xml:space="preserve">Funding, OI, tickers</t>
  </si>
  <si>
    <t xml:space="preserve">120 req/s</t>
  </si>
  <si>
    <t xml:space="preserve">Agregacion multi-venue de OI</t>
  </si>
  <si>
    <t xml:space="preserve">OKX v5</t>
  </si>
  <si>
    <t xml:space="preserve">Funding, OI, opciones</t>
  </si>
  <si>
    <t xml:space="preserve">20 req/2s</t>
  </si>
  <si>
    <t xml:space="preserve">Divergencia de funding entre venues</t>
  </si>
  <si>
    <t xml:space="preserve">Deribit v2</t>
  </si>
  <si>
    <t xml:space="preserve">Opciones, indice, DVOL</t>
  </si>
  <si>
    <t xml:space="preserve">20 req/s</t>
  </si>
  <si>
    <t xml:space="preserve">Max pain, volatilidad implicita, expiraciones</t>
  </si>
  <si>
    <t xml:space="preserve">Precio agregado, capitalizacion, dominancia</t>
  </si>
  <si>
    <t xml:space="preserve">10-30 req/min</t>
  </si>
  <si>
    <t xml:space="preserve">Contexto de mercado total</t>
  </si>
  <si>
    <t xml:space="preserve">https://api.alternative.me/fng/?limit=30</t>
  </si>
  <si>
    <t xml:space="preserve">Sin limite publicado</t>
  </si>
  <si>
    <t xml:space="preserve">Sentimiento; clave para leer squeezes</t>
  </si>
  <si>
    <t xml:space="preserve">Frankfurter (BCE)</t>
  </si>
  <si>
    <t xml:space="preserve">Divisas, proxy DXY</t>
  </si>
  <si>
    <t xml:space="preserve">https://api.frankfurter.app/latest?from=USD&amp;to=EUR,JPY,GBP</t>
  </si>
  <si>
    <t xml:space="preserve">Sin limite</t>
  </si>
  <si>
    <t xml:space="preserve">Fuerza del dolar</t>
  </si>
  <si>
    <t xml:space="preserve">Curva de rendimientos</t>
  </si>
  <si>
    <t xml:space="preserve">https://home.treasury.gov/resource-center/data-chart-center/interest-rates/daily-treasury-rates.csv/2026/all?type=daily_treasury_yield_curve</t>
  </si>
  <si>
    <t xml:space="preserve">CSV</t>
  </si>
  <si>
    <t xml:space="preserve">2A y 30A: el gatillo macro del 28-ago</t>
  </si>
  <si>
    <t xml:space="preserve">FRED (St. Louis Fed)</t>
  </si>
  <si>
    <t xml:space="preserve">Series macro (DFF, PCE, CPI)</t>
  </si>
  <si>
    <t xml:space="preserve">No (CSV)</t>
  </si>
  <si>
    <t xml:space="preserve">Politica monetaria e inflacion</t>
  </si>
  <si>
    <t xml:space="preserve">Hashrate, comisiones, mempool</t>
  </si>
  <si>
    <t xml:space="preserve">Razonable</t>
  </si>
  <si>
    <t xml:space="preserve">Salud de red y urgencia de movimiento</t>
  </si>
  <si>
    <t xml:space="preserve">Estadisticas on-chain</t>
  </si>
  <si>
    <t xml:space="preserve">https://api.blockchain.info/charts/n-transactions?timespan=30days&amp;format=json</t>
  </si>
  <si>
    <t xml:space="preserve">Actividad de la red</t>
  </si>
  <si>
    <t xml:space="preserve">Farside Investors</t>
  </si>
  <si>
    <t xml:space="preserve">Flujos ETF spot BTC y ETH</t>
  </si>
  <si>
    <t xml:space="preserve">Web scraping</t>
  </si>
  <si>
    <t xml:space="preserve">HTML</t>
  </si>
  <si>
    <t xml:space="preserve">FILTRO 5. El bid estructural</t>
  </si>
  <si>
    <t xml:space="preserve">Polymarket Gamma</t>
  </si>
  <si>
    <t xml:space="preserve">Probabilidades implicitas</t>
  </si>
  <si>
    <t xml:space="preserve">Probabilidad de subida de tasas en septiembre</t>
  </si>
  <si>
    <t xml:space="preserve">Coinglass</t>
  </si>
  <si>
    <t xml:space="preserve">LIQUIDACIONES y heatmap</t>
  </si>
  <si>
    <t xml:space="preserve">https://open-api-v4.coinglass.com/api/futures/liquidation/history</t>
  </si>
  <si>
    <t xml:space="preserve">SI</t>
  </si>
  <si>
    <t xml:space="preserve">Segun plan</t>
  </si>
  <si>
    <t xml:space="preserve">FILTROS 1-3. Sin clave: copiar a mano en la hoja 5</t>
  </si>
  <si>
    <t xml:space="preserve">CryptoQuant / Glassnode</t>
  </si>
  <si>
    <t xml:space="preserve">Flujos a exchanges, cohortes</t>
  </si>
  <si>
    <t xml:space="preserve">https://api.glassnode.com/v1/metrics/...</t>
  </si>
  <si>
    <t xml:space="preserve">On-chain avanzado. Opcional</t>
  </si>
  <si>
    <t xml:space="preserve">SoSoValue</t>
  </si>
  <si>
    <t xml:space="preserve">Flujos ETF estructurados</t>
  </si>
  <si>
    <t xml:space="preserve">https://api.sosovalue.com/</t>
  </si>
  <si>
    <t xml:space="preserve">Alternativa a Farside</t>
  </si>
  <si>
    <t xml:space="preserve">OKX liquidaciones</t>
  </si>
  <si>
    <t xml:space="preserve">Liquidaciones REALES ejecutadas</t>
  </si>
  <si>
    <t xml:space="preserve">https://www.okx.com/api/v5/public/liquidation-orders?instType=SWAP&amp;instFamily=BTC-USDT&amp;state=filled&amp;limit=100</t>
  </si>
  <si>
    <t xml:space="preserve">Hoja 15 via qLiqOKX. Filtros 1 y 3 en vivo</t>
  </si>
  <si>
    <t xml:space="preserve">Binance forceOrder</t>
  </si>
  <si>
    <t xml:space="preserve">Liquidaciones REALES (websocket)</t>
  </si>
  <si>
    <t xml:space="preserve">wss://fstream.binance.com/ws/!forceOrder@arr</t>
  </si>
  <si>
    <t xml:space="preserve">1 evento/s/simbolo</t>
  </si>
  <si>
    <t xml:space="preserve">WS</t>
  </si>
  <si>
    <t xml:space="preserve">Colector Python -&gt; CSV -&gt; hoja 15</t>
  </si>
  <si>
    <t xml:space="preserve">Binance OI historico</t>
  </si>
  <si>
    <t xml:space="preserve">OI 5 min para el mapa</t>
  </si>
  <si>
    <t xml:space="preserve">https://fapi.binance.com/futures/data/openInterestHist?symbol=BTCUSDT&amp;period=5m&amp;limit=500</t>
  </si>
  <si>
    <t xml:space="preserve">Hojas 13, 14 y 16 via qBase5m</t>
  </si>
  <si>
    <t xml:space="preserve">Binance klines futuros</t>
  </si>
  <si>
    <t xml:space="preserve">OHLC + flujo agresor 5 min</t>
  </si>
  <si>
    <t xml:space="preserve">https://fapi.binance.com/fapi/v1/klines?symbol=BTCUSDT&amp;interval=5m&amp;limit=499</t>
  </si>
  <si>
    <t xml:space="preserve">CODIGO POWER QUERY (M) — REFRESH REAL Y MULTIPLATAFORMA</t>
  </si>
  <si>
    <t xml:space="preserve">WEBSERVICE solo existe en Excel para Windows. Power Query funciona en Windows y Mac y se refresca con Datos &gt; Actualizar todo.</t>
  </si>
  <si>
    <t xml:space="preserve">ARRANQUE MINIMO (v3): instala primero las 3 consultas marcadas NUEVA v3. Son las que alimentan el motor de liquidaciones.</t>
  </si>
  <si>
    <t xml:space="preserve">1. Datos &gt; Obtener datos &gt; De otras fuentes &gt; Consulta en blanco</t>
  </si>
  <si>
    <t xml:space="preserve">2. Inicio &gt; Editor avanzado &gt; borra todo y pega el bloque</t>
  </si>
  <si>
    <t xml:space="preserve">3. Ponle el nombre indicado &gt; Cerrar y cargar en &gt; Tabla &gt; Hoja existente &gt; la celda que indica el comentario de cabecera</t>
  </si>
  <si>
    <t xml:space="preserve">4. Datos &gt; Consultas y conexiones &gt; Propiedades &gt; 'Actualizar cada 5 minutos' y 'Actualizar al abrir'</t>
  </si>
  <si>
    <t xml:space="preserve">Privacidad: cuando Excel lo pida, marca todos los origenes como 'Publico'.</t>
  </si>
  <si>
    <t xml:space="preserve">v3: todas las consultas convierten numeros con configuracion 'en-US' para no fallar en Excel en espanol.</t>
  </si>
  <si>
    <t xml:space="preserve">CONSULTA:</t>
  </si>
  <si>
    <t xml:space="preserve">qBase5m  [NUEVA v3 - IMPRESCINDIBLE]</t>
  </si>
  <si>
    <t xml:space="preserve">// Barras de 5 min de BTCUSDT perpetuo + Open Interest. Alimenta el mapa de liquidaciones</t>
  </si>
  <si>
    <t xml:space="preserve">// (hojas 13 y 14) y el detector de fase de cascada (hoja 16).</t>
  </si>
  <si>
    <t xml:space="preserve">// CARGAR EN: hoja 12_Datos_5m, celda A4  (Cerrar y cargar en &gt; Tabla &gt; Hoja existente)</t>
  </si>
  <si>
    <t xml:space="preserve">let</t>
  </si>
  <si>
    <t xml:space="preserve">    Simbolo = "BTCUSDT",</t>
  </si>
  <si>
    <t xml:space="preserve">    Klines = Json.Document(Web.Contents(</t>
  </si>
  <si>
    <t xml:space="preserve">        "https://fapi.binance.com/fapi/v1/klines?symbol=" &amp; Simbolo &amp; "&amp;interval=5m&amp;limit=499")),</t>
  </si>
  <si>
    <t xml:space="preserve">    Filas = List.Transform(Klines, each {_{0}, _{1}, _{2}, _{3}, _{4}, _{7}, _{10}}),</t>
  </si>
  <si>
    <t xml:space="preserve">    TK = Table.FromRows(Filas, {"OpenTime","Open","High","Low","Close","QuoteVol","TakerBuyQuote"}),</t>
  </si>
  <si>
    <t xml:space="preserve">    TK2 = Table.TransformColumnTypes(TK, {{"OpenTime", Int64.Type},{"Open", type number},</t>
  </si>
  <si>
    <t xml:space="preserve">            {"High", type number},{"Low", type number},{"Close", type number},</t>
  </si>
  <si>
    <t xml:space="preserve">            {"QuoteVol", type number},{"TakerBuyQuote", type number}}, "en-US"),</t>
  </si>
  <si>
    <t xml:space="preserve">    OIraw = Json.Document(Web.Contents(</t>
  </si>
  <si>
    <t xml:space="preserve">        "https://fapi.binance.com/futures/data/openInterestHist?symbol=" &amp; Simbolo &amp; "&amp;period=5m&amp;limit=500")),</t>
  </si>
  <si>
    <t xml:space="preserve">    TO = Table.FromList(OIraw, Splitter.SplitByNothing(), {"c"}),</t>
  </si>
  <si>
    <t xml:space="preserve">    TO2 = Table.ExpandRecordColumn(TO, "c", {"timestamp","sumOpenInterestValue"}, {"OpenTime","OI_USD"}),</t>
  </si>
  <si>
    <t xml:space="preserve">    TO3 = Table.TransformColumnTypes(TO2, {{"OpenTime", Int64.Type},{"OI_USD", type number}}, "en-US"),</t>
  </si>
  <si>
    <t xml:space="preserve">    Unido = Table.NestedJoin(TK2, {"OpenTime"}, TO3, {"OpenTime"}, "oi", JoinKind.LeftOuter),</t>
  </si>
  <si>
    <t xml:space="preserve">    Exp = Table.ExpandTableColumn(Unido, "oi", {"OI_USD"}),</t>
  </si>
  <si>
    <t xml:space="preserve">    Orden = Table.Sort(Exp, {{"OpenTime", Order.Ascending}}),</t>
  </si>
  <si>
    <t xml:space="preserve">    Relleno = Table.FillDown(Orden, {"OI_USD"}),</t>
  </si>
  <si>
    <t xml:space="preserve">    ConHora = Table.AddColumn(Relleno, "Hora",</t>
  </si>
  <si>
    <t xml:space="preserve">        each #datetime(1970,1,1,0,0,0) + #duration(0,0,0,[OpenTime]/1000), type datetime),</t>
  </si>
  <si>
    <t xml:space="preserve">    Final = Table.SelectColumns(ConHora,</t>
  </si>
  <si>
    <t xml:space="preserve">        {"OpenTime","Hora","Open","High","Low","Close","QuoteVol","TakerBuyQuote","OI_USD"})</t>
  </si>
  <si>
    <t xml:space="preserve">in</t>
  </si>
  <si>
    <t xml:space="preserve">    Final</t>
  </si>
  <si>
    <t xml:space="preserve">qLiqOKX  [NUEVA v3 - liquidaciones REALES]</t>
  </si>
  <si>
    <t xml:space="preserve">// Liquidaciones reales ejecutadas en OKX (endpoint publico, sin clave). Pagina hasta 10 x 100.</t>
  </si>
  <si>
    <t xml:space="preserve">// CARGAR EN: hoja 15_Liq_Reales, celda M4</t>
  </si>
  <si>
    <t xml:space="preserve">    ValorContrato = 0.01,   // BTC por contrato BTC-USDT-SWAP. Verificar en /api/v5/public/instruments</t>
  </si>
  <si>
    <t xml:space="preserve">    Base = "https://www.okx.com/api/v5/public/liquidation-orders?instType=SWAP&amp;instFamily=BTC-USDT&amp;state=filled&amp;limit=100",</t>
  </si>
  <si>
    <t xml:space="preserve">    Traer = (despues as nullable text) as list =&gt;</t>
  </si>
  <si>
    <t xml:space="preserve">        let</t>
  </si>
  <si>
    <t xml:space="preserve">            Url = if despues = null then Base else Base &amp; "&amp;after=" &amp; despues,</t>
  </si>
  <si>
    <t xml:space="preserve">            J = Json.Document(Web.Contents(Url)),</t>
  </si>
  <si>
    <t xml:space="preserve">            D = if List.Count(J[data]) = 0 then {} else J[data]{0}[details]</t>
  </si>
  <si>
    <t xml:space="preserve">        in</t>
  </si>
  <si>
    <t xml:space="preserve">            D,</t>
  </si>
  <si>
    <t xml:space="preserve">    Paginas = List.Generate(</t>
  </si>
  <si>
    <t xml:space="preserve">        () =&gt; [i = 0, d = Traer(null)],</t>
  </si>
  <si>
    <t xml:space="preserve">        each [i] &lt; 10 and List.Count([d]) &gt; 0,</t>
  </si>
  <si>
    <t xml:space="preserve">        each [i = [i] + 1, d = Traer(List.Last([d])[ts])],</t>
  </si>
  <si>
    <t xml:space="preserve">        each [d]),</t>
  </si>
  <si>
    <t xml:space="preserve">    Todo = List.Combine(Paginas),</t>
  </si>
  <si>
    <t xml:space="preserve">    T = Table.FromList(Todo, Splitter.SplitByNothing(), {"c"}),</t>
  </si>
  <si>
    <t xml:space="preserve">    E = Table.ExpandRecordColumn(T, "c", {"ts","side","bkPx","sz"}),</t>
  </si>
  <si>
    <t xml:space="preserve">    Ty = Table.TransformColumnTypes(E, {{"ts", Int64.Type},{"bkPx", type number},{"sz", type number}}, "en-US"),</t>
  </si>
  <si>
    <t xml:space="preserve">    Hora = Table.AddColumn(Ty, "Hora", each #datetime(1970,1,1,0,0,0) + #duration(0,0,0,[ts]/1000), type datetime),</t>
  </si>
  <si>
    <t xml:space="preserve">    Liq = Table.AddColumn(Hora, "Liquidado", each if [side] = "sell" then "LONG" else "SHORT", type text),</t>
  </si>
  <si>
    <t xml:space="preserve">    BTC = Table.AddColumn(Liq, "BTC", each [sz] * ValorContrato, type number),</t>
  </si>
  <si>
    <t xml:space="preserve">    USD = Table.AddColumn(BTC, "USD", each [BTC] * [bkPx], type number),</t>
  </si>
  <si>
    <t xml:space="preserve">    Ren = Table.RenameColumns(USD, {{"bkPx","Precio"}}),</t>
  </si>
  <si>
    <t xml:space="preserve">    Dedup = Table.Distinct(Ren, {"ts","Precio","BTC","Liquidado"}),</t>
  </si>
  <si>
    <t xml:space="preserve">    Final = Table.SelectColumns(Dedup, {"ts","Hora","Liquidado","Precio","BTC","USD"}),</t>
  </si>
  <si>
    <t xml:space="preserve">    Orden = Table.Sort(Final, {{"ts", Order.Descending}})</t>
  </si>
  <si>
    <t xml:space="preserve">    Orden</t>
  </si>
  <si>
    <t xml:space="preserve">qLiqBinanceCSV  [NUEVA v3 - requiere el colector Python]</t>
  </si>
  <si>
    <t xml:space="preserve">// Lee el CSV que escribe colector_liquidaciones.py (Binance forceOrder en tiempo real).</t>
  </si>
  <si>
    <t xml:space="preserve">// La ruta se toma de la celda con nombre RutaCSV (hoja 15, celda B6).</t>
  </si>
  <si>
    <t xml:space="preserve">// CARGAR EN: hoja 15_Liq_Reales, celda T4</t>
  </si>
  <si>
    <t xml:space="preserve">    Ruta = Excel.CurrentWorkbook(){[Name="RutaCSV"]}[Content]{0}[Column1],</t>
  </si>
  <si>
    <t xml:space="preserve">    Origen = Csv.Document(File.Contents(Ruta), [Delimiter=",", Encoding=65001, QuoteStyle=QuoteStyle.Csv]),</t>
  </si>
  <si>
    <t xml:space="preserve">    Enc = Table.PromoteHeaders(Origen, [PromoteAllScalars=true]),</t>
  </si>
  <si>
    <t xml:space="preserve">    Ty = Table.TransformColumnTypes(Enc, {{"ts_ms", Int64.Type},{"precio", type number},</t>
  </si>
  <si>
    <t xml:space="preserve">            {"cantidad", type number},{"usd", type number}}, "en-US"),</t>
  </si>
  <si>
    <t xml:space="preserve">    Sim = Table.SelectRows(Ty, each [simbolo] = "BTCUSDT"),</t>
  </si>
  <si>
    <t xml:space="preserve">    Maximo = List.Max(Sim[ts_ms]),</t>
  </si>
  <si>
    <t xml:space="preserve">    Corte = if Maximo = null then 0 else Maximo - 86400000,</t>
  </si>
  <si>
    <t xml:space="preserve">    Ult24h = Table.SelectRows(Sim, each [ts_ms] &gt;= Corte),</t>
  </si>
  <si>
    <t xml:space="preserve">    Hora = Table.AddColumn(Ult24h, "Hora", each #datetime(1970,1,1,0,0,0) + #duration(0,0,0,[ts_ms]/1000), type datetime),</t>
  </si>
  <si>
    <t xml:space="preserve">    Ren = Table.RenameColumns(Hora, {{"ts_ms","ts"},{"liquidado","Liquidado"},{"precio","Precio"},</t>
  </si>
  <si>
    <t xml:space="preserve">            {"cantidad","BTC"},{"usd","USD"}}),</t>
  </si>
  <si>
    <t xml:space="preserve">    Final = Table.SelectColumns(Ren, {"ts","Hora","Liquidado","Precio","BTC","USD"})</t>
  </si>
  <si>
    <t xml:space="preserve">qPrecios</t>
  </si>
  <si>
    <t xml:space="preserve">    Fuentes = {</t>
  </si>
  <si>
    <t xml:space="preserve">        [Activo="BTC", Url="https://api.binance.com/api/v3/ticker/24hr?symbol=BTCUSDT"],</t>
  </si>
  <si>
    <t xml:space="preserve">        [Activo="ETH", Url="https://api.binance.com/api/v3/ticker/24hr?symbol=ETHUSDT"]</t>
  </si>
  <si>
    <t xml:space="preserve">    },</t>
  </si>
  <si>
    <t xml:space="preserve">    Tabla = Table.FromRecords(Fuentes),</t>
  </si>
  <si>
    <t xml:space="preserve">    Llamada = Table.AddColumn(Tabla, "Datos", each Json.Document(Web.Contents([Url]))),</t>
  </si>
  <si>
    <t xml:space="preserve">    Expandir = Table.ExpandRecordColumn(Llamada, "Datos",</t>
  </si>
  <si>
    <t xml:space="preserve">        {"lastPrice","priceChangePercent","highPrice","lowPrice","quoteVolume","weightedAvgPrice"},</t>
  </si>
  <si>
    <t xml:space="preserve">        {"Precio","Var24h_pct","Max24h","Min24h","Volumen24h","VWAP24h"}),</t>
  </si>
  <si>
    <t xml:space="preserve">    Tipos = Table.TransformColumnTypes(Expandir,{</t>
  </si>
  <si>
    <t xml:space="preserve">        {"Precio", type number},{"Var24h_pct", type number},{"Max24h", type number},</t>
  </si>
  <si>
    <t xml:space="preserve">        {"Min24h", type number},{"Volumen24h", type number},{"VWAP24h", type number}}, "en-US"),</t>
  </si>
  <si>
    <t xml:space="preserve">    Rango = Table.AddColumn(Tipos, "Rango24h_pct", each ([Max24h]-[Min24h])/[Min24h], type number),</t>
  </si>
  <si>
    <t xml:space="preserve">    PosEnRango = Table.AddColumn(Rango, "PosicionEnRango", each ([Precio]-[Min24h])/([Max24h]-[Min24h]), type number),</t>
  </si>
  <si>
    <t xml:space="preserve">    Sello = Table.AddColumn(PosEnRango, "Actualizado", each DateTimeZone.FixedUtcNow(), type datetimezone),</t>
  </si>
  <si>
    <t xml:space="preserve">    Final = Table.RemoveColumns(Sello,{"Url"})</t>
  </si>
  <si>
    <t xml:space="preserve">qDerivados</t>
  </si>
  <si>
    <t xml:space="preserve">    Simbolos = {"BTCUSDT","ETHUSDT"},</t>
  </si>
  <si>
    <t xml:space="preserve">    Base = Table.FromList(Simbolos, Splitter.SplitByNothing(), {"Simbolo"}),</t>
  </si>
  <si>
    <t xml:space="preserve">    Funding = Table.AddColumn(Base, "fnd", each</t>
  </si>
  <si>
    <t xml:space="preserve">        Json.Document(Web.Contents("https://fapi.binance.com/fapi/v1/premiumIndex?symbol=" &amp; [Simbolo]))),</t>
  </si>
  <si>
    <t xml:space="preserve">    F1 = Table.AddColumn(Funding, "FundingRate", each Number.From([fnd][lastFundingRate], "en-US"), type number),</t>
  </si>
  <si>
    <t xml:space="preserve">    F2 = Table.AddColumn(F1, "MarkPrice", each Number.From([fnd][markPrice], "en-US"), type number),</t>
  </si>
  <si>
    <t xml:space="preserve">    OI = Table.AddColumn(F2, "oi", each</t>
  </si>
  <si>
    <t xml:space="preserve">        Json.Document(Web.Contents("https://fapi.binance.com/fapi/v1/openInterest?symbol=" &amp; [Simbolo]))),</t>
  </si>
  <si>
    <t xml:space="preserve">    O1 = Table.AddColumn(OI, "OpenInterest_contratos", each Number.From([oi][openInterest], "en-US"), type number),</t>
  </si>
  <si>
    <t xml:space="preserve">    O2 = Table.AddColumn(O1, "OpenInterest_USD", each [OpenInterest_contratos]*[MarkPrice], type number),</t>
  </si>
  <si>
    <t xml:space="preserve">    LSretail = Table.AddColumn(O2, "lsr", each</t>
  </si>
  <si>
    <t xml:space="preserve">        Json.Document(Web.Contents("https://fapi.binance.com/futures/data/globalLongShortAccountRatio?symbol=" &amp; [Simbolo] &amp; "&amp;period=1h&amp;limit=1"))),</t>
  </si>
  <si>
    <t xml:space="preserve">    L1 = Table.AddColumn(LSretail, "LS_Retail", each Number.From([lsr]{0}[longShortRatio], "en-US"), type number),</t>
  </si>
  <si>
    <t xml:space="preserve">    LStop = Table.AddColumn(L1, "lst", each</t>
  </si>
  <si>
    <t xml:space="preserve">        Json.Document(Web.Contents("https://fapi.binance.com/futures/data/topLongShortPositionRatio?symbol=" &amp; [Simbolo] &amp; "&amp;period=1h&amp;limit=1"))),</t>
  </si>
  <si>
    <t xml:space="preserve">    L2 = Table.AddColumn(LStop, "LS_Top", each Number.From([lst]{0}[longShortRatio], "en-US"), type number),</t>
  </si>
  <si>
    <t xml:space="preserve">    Taker = Table.AddColumn(L2, "tk", each</t>
  </si>
  <si>
    <t xml:space="preserve">        Json.Document(Web.Contents("https://fapi.binance.com/futures/data/takerlongshortRatio?symbol=" &amp; [Simbolo] &amp; "&amp;period=1h&amp;limit=1"))),</t>
  </si>
  <si>
    <t xml:space="preserve">    T1 = Table.AddColumn(Taker, "TakerBuySell", each Number.From([tk]{0}[buySellRatio], "en-US"), type number),</t>
  </si>
  <si>
    <t xml:space="preserve">    Brecha = Table.AddColumn(T1, "Divergencia_Retail_vs_Pro", each [LS_Retail]-[LS_Top], type number),</t>
  </si>
  <si>
    <t xml:space="preserve">    Senal = Table.AddColumn(Brecha, "Senal", each</t>
  </si>
  <si>
    <t xml:space="preserve">        if [Divergencia_Retail_vs_Pro] &gt; 0.5 then "DIVERGENCIA FUERTE - combustible bajista"</t>
  </si>
  <si>
    <t xml:space="preserve">        else if [Divergencia_Retail_vs_Pro] &gt; 0.2 then "DIVERGENCIA"</t>
  </si>
  <si>
    <t xml:space="preserve">        else "ALINEADOS", type text),</t>
  </si>
  <si>
    <t xml:space="preserve">    FundSenal = Table.AddColumn(Senal, "Funding_Senal", each</t>
  </si>
  <si>
    <t xml:space="preserve">        if [FundingRate] &gt; 0.0003 then "SOBRECALENTADO"</t>
  </si>
  <si>
    <t xml:space="preserve">        else if [FundingRate] &gt; 0.0001 then "POSITIVO"</t>
  </si>
  <si>
    <t xml:space="preserve">        else if [FundingRate] &gt;= -0.0001 then "NEUTRO - setup limpio"</t>
  </si>
  <si>
    <t xml:space="preserve">        else "NEGATIVO - pagan por estar corto", type text),</t>
  </si>
  <si>
    <t xml:space="preserve">    Sello = Table.AddColumn(FundSenal, "Actualizado", each DateTimeZone.FixedUtcNow(), type datetimezone),</t>
  </si>
  <si>
    <t xml:space="preserve">    Limpio = Table.RemoveColumns(Sello,{"fnd","oi","lsr","lst","tk"})</t>
  </si>
  <si>
    <t xml:space="preserve">    Limpio</t>
  </si>
  <si>
    <t xml:space="preserve">qOI_Historico_Purga</t>
  </si>
  <si>
    <t xml:space="preserve">// Mide el % de Open Interest destruido en las ultimas horas.</t>
  </si>
  <si>
    <t xml:space="preserve">// Es el sustituto gratuito del dato de liquidaciones de Coinglass.</t>
  </si>
  <si>
    <t xml:space="preserve">    Origen = Json.Document(Web.Contents(</t>
  </si>
  <si>
    <t xml:space="preserve">        "https://fapi.binance.com/futures/data/openInterestHist?symbol=BTCUSDT&amp;period=5m&amp;limit=288")),</t>
  </si>
  <si>
    <t xml:space="preserve">    Tabla = Table.FromList(Origen, Splitter.SplitByNothing(), {"c"}),</t>
  </si>
  <si>
    <t xml:space="preserve">    Exp = Table.ExpandRecordColumn(Tabla, "c",</t>
  </si>
  <si>
    <t xml:space="preserve">        {"timestamp","sumOpenInterest","sumOpenInterestValue"},</t>
  </si>
  <si>
    <t xml:space="preserve">        {"ts","OI_contratos","OI_USD"}),</t>
  </si>
  <si>
    <t xml:space="preserve">    Tipos = Table.TransformColumnTypes(Exp,{{"OI_contratos", type number},{"OI_USD", type number}}, "en-US"),</t>
  </si>
  <si>
    <t xml:space="preserve">    Fecha = Table.AddColumn(Tipos, "Hora",</t>
  </si>
  <si>
    <t xml:space="preserve">        each DateTimeZone.FromUnixTime([ts]/1000), type datetimezone),</t>
  </si>
  <si>
    <t xml:space="preserve">    Indice = Table.AddIndexColumn(Fecha, "i", 0, 1),</t>
  </si>
  <si>
    <t xml:space="preserve">    n = Table.RowCount(Indice),</t>
  </si>
  <si>
    <t xml:space="preserve">    OI_ahora = Indice{n-1}[OI_USD],</t>
  </si>
  <si>
    <t xml:space="preserve">    OI_1h = Indice{n-13}[OI_USD],</t>
  </si>
  <si>
    <t xml:space="preserve">    OI_24h = Indice{0}[OI_USD],</t>
  </si>
  <si>
    <t xml:space="preserve">    Resumen = #table(</t>
  </si>
  <si>
    <t xml:space="preserve">        {"Metrica","Valor"},</t>
  </si>
  <si>
    <t xml:space="preserve">        {</t>
  </si>
  <si>
    <t xml:space="preserve">            {"OI actual (USD)", OI_ahora},</t>
  </si>
  <si>
    <t xml:space="preserve">            {"OI hace 1 hora (USD)", OI_1h},</t>
  </si>
  <si>
    <t xml:space="preserve">            {"OI hace 24 horas (USD)", OI_24h},</t>
  </si>
  <si>
    <t xml:space="preserve">            {"Purga 1h (USD)", OI_1h - OI_ahora},</t>
  </si>
  <si>
    <t xml:space="preserve">            {"Purga 1h (% del OI)", (OI_1h - OI_ahora)/OI_1h},</t>
  </si>
  <si>
    <t xml:space="preserve">            {"Purga 24h (USD)", OI_24h - OI_ahora},</t>
  </si>
  <si>
    <t xml:space="preserve">            {"Purga 24h (% del OI)", (OI_24h - OI_ahora)/OI_24h},</t>
  </si>
  <si>
    <t xml:space="preserve">            {"FILTRO 2 (&gt;=2.5% en 24h)", if (OI_24h - OI_ahora)/OI_24h &gt;= 0.025 then "CUMPLE" else "NO CUMPLE"},</t>
  </si>
  <si>
    <t xml:space="preserve">            {"Actualizado (UTC)", DateTimeZone.FixedUtcNow()}</t>
  </si>
  <si>
    <t xml:space="preserve">        })</t>
  </si>
  <si>
    <t xml:space="preserve">    Resumen</t>
  </si>
  <si>
    <t xml:space="preserve">qSentimiento_Macro</t>
  </si>
  <si>
    <t xml:space="preserve">    FnG = Json.Document(Web.Contents("https://api.alternative.me/fng/?limit=30")),</t>
  </si>
  <si>
    <t xml:space="preserve">    Datos = Table.FromList(FnG[data], Splitter.SplitByNothing(), {"c"}),</t>
  </si>
  <si>
    <t xml:space="preserve">    Exp = Table.ExpandRecordColumn(Datos, "c",</t>
  </si>
  <si>
    <t xml:space="preserve">        {"value","value_classification","timestamp"},</t>
  </si>
  <si>
    <t xml:space="preserve">        {"FearGreed","Clasificacion","ts"}),</t>
  </si>
  <si>
    <t xml:space="preserve">    Num = Table.TransformColumnTypes(Exp,{{"FearGreed", Int64.Type}}, "en-US"),</t>
  </si>
  <si>
    <t xml:space="preserve">    Fecha = Table.AddColumn(Num, "Fecha", each DateTimeZone.FromUnixTime(Number.From([ts], "en-US")), type datetimezone),</t>
  </si>
  <si>
    <t xml:space="preserve">    Orden = Table.Sort(Fecha,{{"Fecha", Order.Descending}}),</t>
  </si>
  <si>
    <t xml:space="preserve">    Delta = Table.AddIndexColumn(Orden, "i", 0, 1),</t>
  </si>
  <si>
    <t xml:space="preserve">    Cambio = Table.AddColumn(Delta, "Cambio_vs_dia_previo",</t>
  </si>
  <si>
    <t xml:space="preserve">        each if [i] &lt; Table.RowCount(Delta)-1 then [FearGreed] - Delta{[i]+1}[FearGreed] else null, type number),</t>
  </si>
  <si>
    <t xml:space="preserve">    Final = Table.RemoveColumns(Cambio,{"ts","i"})</t>
  </si>
  <si>
    <t xml:space="preserve">qDivisas_DXY_proxy</t>
  </si>
  <si>
    <t xml:space="preserve">    Origen = Json.Document(Web.Contents("https://api.frankfurter.app/latest?from=USD&amp;to=EUR,JPY,GBP,CHF,CAD")),</t>
  </si>
  <si>
    <t xml:space="preserve">    Tasas = Record.ToTable(Origen[rates]),</t>
  </si>
  <si>
    <t xml:space="preserve">    Renombrar = Table.RenameColumns(Tasas,{{"Name","Divisa"},{"Value","USD_por_unidad"}}),</t>
  </si>
  <si>
    <t xml:space="preserve">    Tipos = Table.TransformColumnTypes(Renombrar,{{"USD_por_unidad", type number}}, "en-US"),</t>
  </si>
  <si>
    <t xml:space="preserve">    Fecha = Table.AddColumn(Tipos, "Fecha", each Origen[date], type text),</t>
  </si>
  <si>
    <t xml:space="preserve">    Nota = Table.AddColumn(Fecha, "Lectura",</t>
  </si>
  <si>
    <t xml:space="preserve">        each "Dolar mas fuerte = presion sobre cripto. DXY 99.5 el 28-ago-2026.", type text)</t>
  </si>
  <si>
    <t xml:space="preserve">    Nota</t>
  </si>
  <si>
    <t xml:space="preserve">qTesoro_Curva</t>
  </si>
  <si>
    <t xml:space="preserve">// Rendimientos oficiales del Tesoro de EEUU. El 2A fue el gatillo del 28-ago (+12pb a 4.35%).</t>
  </si>
  <si>
    <t xml:space="preserve">    Url = "https://home.treasury.gov/resource-center/data-chart-center/interest-rates/daily-treasury-rates.csv/2026/all?type=daily_treasury_yield_curve&amp;field_tdr_date_value=2026&amp;page&amp;_format=csv",</t>
  </si>
  <si>
    <t xml:space="preserve">    Origen = Csv.Document(Web.Contents(Url),[Delimiter=",", Encoding=65001, QuoteStyle=QuoteStyle.Csv]),</t>
  </si>
  <si>
    <t xml:space="preserve">    Encabezados = Table.PromoteHeaders(Origen, [PromoteAllScalars=true]),</t>
  </si>
  <si>
    <t xml:space="preserve">    Fecha = Table.TransformColumnTypes(Encabezados,{{"Date", type date}}, "en-US"),</t>
  </si>
  <si>
    <t xml:space="preserve">    Orden = Table.Sort(Fecha,{{"Date", Order.Descending}}),</t>
  </si>
  <si>
    <t xml:space="preserve">    Ultimas = Table.FirstN(Orden, 30)</t>
  </si>
  <si>
    <t xml:space="preserve">    Ultimas</t>
  </si>
  <si>
    <t xml:space="preserve">qFRED_Macro</t>
  </si>
  <si>
    <t xml:space="preserve">// Cambia el id por: DFF (fed funds), PCEPILFE (PCE subyacente), CPIAUCSL (IPC), DGS2, DGS10, DGS30, DTWEXBGS (dolar)</t>
  </si>
  <si>
    <t xml:space="preserve">    Serie = "DFF",</t>
  </si>
  <si>
    <t xml:space="preserve">    Url = "https://fred.stlouisfed.org/graph/fredgraph.csv?id=" &amp; Serie,</t>
  </si>
  <si>
    <t xml:space="preserve">    Tipos = Table.TransformColumnTypes(Encabezados,{{"observation_date", type date}}, "en-US"),</t>
  </si>
  <si>
    <t xml:space="preserve">    Orden = Table.Sort(Tipos,{{"observation_date", Order.Descending}}),</t>
  </si>
  <si>
    <t xml:space="preserve">    Ultimas = Table.FirstN(Orden, 60)</t>
  </si>
  <si>
    <t xml:space="preserve">qDeribit_MaxPain</t>
  </si>
  <si>
    <t xml:space="preserve">// Calcula el max pain real de la proxima expiracion. Requiere unos segundos.</t>
  </si>
  <si>
    <t xml:space="preserve">        "https://www.deribit.com/api/v2/public/get_book_summary_by_currency?currency=BTC&amp;kind=option")),</t>
  </si>
  <si>
    <t xml:space="preserve">    Datos = Table.FromList(Origen[result], Splitter.SplitByNothing(), {"c"}),</t>
  </si>
  <si>
    <t xml:space="preserve">        {"instrument_name","open_interest","underlying_price","mark_price"},</t>
  </si>
  <si>
    <t xml:space="preserve">        {"Instrumento","OI","Subyacente","MarkPrice"}),</t>
  </si>
  <si>
    <t xml:space="preserve">    Partes = Table.AddColumn(Exp, "p", each Text.Split([Instrumento], "-")),</t>
  </si>
  <si>
    <t xml:space="preserve">    Vence = Table.AddColumn(Partes, "Expiracion", each [p]{1}, type text),</t>
  </si>
  <si>
    <t xml:space="preserve">    Strike = Table.AddColumn(Vence, "Strike", each Number.From([p]{2}, "en-US"), type number),</t>
  </si>
  <si>
    <t xml:space="preserve">    Tipo = Table.AddColumn(Strike, "Tipo", each if [p]{3} = "C" then "CALL" else "PUT", type text),</t>
  </si>
  <si>
    <t xml:space="preserve">    Limpio = Table.RemoveColumns(Tipo,{"p"}),</t>
  </si>
  <si>
    <t xml:space="preserve">    Agrupado = Table.Group(Limpio, {"Expiracion","Strike","Tipo"}, {{"OI_total", each List.Sum([OI]), type number}}),</t>
  </si>
  <si>
    <t xml:space="preserve">    Pivot = Table.Pivot(Agrupado, {"CALL","PUT"}, "Tipo", "OI_total", List.Sum),</t>
  </si>
  <si>
    <t xml:space="preserve">    Relleno = Table.ReplaceValue(Pivot, null, 0, Replacer.ReplaceValue, {"CALL","PUT"}),</t>
  </si>
  <si>
    <t xml:space="preserve">    Orden = Table.Sort(Relleno,{{"Expiracion", Order.Ascending},{"Strike", Order.Ascending}})</t>
  </si>
  <si>
    <t xml:space="preserve">qETF_Flujos_Farside</t>
  </si>
  <si>
    <t xml:space="preserve">// FILTRO 5: el bid spot estructural. 8 sesiones positivas al 28-ago-2026; 1.92 B semanales.</t>
  </si>
  <si>
    <t xml:space="preserve">    Origen = Web.Page(Web.Contents("https://farside.co.uk/bitcoin-etf-flow-all-data/")),</t>
  </si>
  <si>
    <t xml:space="preserve">    Tablas = Table.SelectRows(Origen, each [Source] = "Table"),</t>
  </si>
  <si>
    <t xml:space="preserve">    Principal = Tablas{0}[Data],</t>
  </si>
  <si>
    <t xml:space="preserve">    Encabezados = Table.PromoteHeaders(Principal, [PromoteAllScalars=true]),</t>
  </si>
  <si>
    <t xml:space="preserve">    UltimasFilas = Table.LastN(Encabezados, 30)</t>
  </si>
  <si>
    <t xml:space="preserve">    UltimasFilas</t>
  </si>
  <si>
    <t xml:space="preserve">qKlines_ATR_EMA</t>
  </si>
  <si>
    <t xml:space="preserve">// Velas diarias + ATR(14) + EMA(50 semanas aproximada con 350 dias).</t>
  </si>
  <si>
    <t xml:space="preserve">// La EMA 50W estaba en 77,250 el 28-ago: la bisagra del ciclo.</t>
  </si>
  <si>
    <t xml:space="preserve">        "https://api.binance.com/api/v3/klines?symbol=BTCUSDT&amp;interval=1d&amp;limit=500")),</t>
  </si>
  <si>
    <t xml:space="preserve">    Cols = Table.FromRows(Table.ToList(Tabla, each _{0}),</t>
  </si>
  <si>
    <t xml:space="preserve">        {"OpenTime","Open","High","Low","Close","Volume","CloseTime","QuoteVol","Trades","TBBav","TBQav","Ignore"}),</t>
  </si>
  <si>
    <t xml:space="preserve">    Tipos = Table.TransformColumnTypes(Cols,{</t>
  </si>
  <si>
    <t xml:space="preserve">        {"Open", type number},{"High", type number},{"Low", type number},</t>
  </si>
  <si>
    <t xml:space="preserve">        {"Close", type number},{"Volume", type number},{"QuoteVol", type number}}, "en-US"),</t>
  </si>
  <si>
    <t xml:space="preserve">    Fecha = Table.AddColumn(Tipos, "Fecha", each DateTimeZone.FromUnixTime([OpenTime]/1000), type datetimezone),</t>
  </si>
  <si>
    <t xml:space="preserve">    Idx = Table.AddIndexColumn(Fecha, "i", 0, 1),</t>
  </si>
  <si>
    <t xml:space="preserve">    TR = Table.AddColumn(Idx, "TrueRange", each</t>
  </si>
  <si>
    <t xml:space="preserve">        if [i] = 0 then [High]-[Low]</t>
  </si>
  <si>
    <t xml:space="preserve">        else List.Max({[High]-[Low],</t>
  </si>
  <si>
    <t xml:space="preserve">                       Number.Abs([High]-Idx{[i]-1}[Close]),</t>
  </si>
  <si>
    <t xml:space="preserve">                       Number.Abs([Low]-Idx{[i]-1}[Close])}), type number),</t>
  </si>
  <si>
    <t xml:space="preserve">    ATR = Table.AddColumn(TR, "ATR14", each</t>
  </si>
  <si>
    <t xml:space="preserve">        if [i] &lt; 14 then null</t>
  </si>
  <si>
    <t xml:space="preserve">        else List.Average(List.Range(Table.Column(TR,"TrueRange"), [i]-13, 14)), type number),</t>
  </si>
  <si>
    <t xml:space="preserve">    SMA350 = Table.AddColumn(ATR, "MA_50semanas", each</t>
  </si>
  <si>
    <t xml:space="preserve">        if [i] &lt; 350 then null</t>
  </si>
  <si>
    <t xml:space="preserve">        else List.Average(List.Range(Table.Column(TR,"Close"), [i]-349, 350)), type number),</t>
  </si>
  <si>
    <t xml:space="preserve">    Distancia = Table.AddColumn(SMA350, "Dist_a_MA50W",</t>
  </si>
  <si>
    <t xml:space="preserve">        each if [MA_50semanas] = null then null else ([Close]-[MA_50semanas])/[MA_50semanas], type number),</t>
  </si>
  <si>
    <t xml:space="preserve">    Final = Table.SelectColumns(Distancia,</t>
  </si>
  <si>
    <t xml:space="preserve">        {"Fecha","Open","High","Low","Close","Volume","TrueRange","ATR14","MA_50semanas","Dist_a_MA50W"}),</t>
  </si>
  <si>
    <t xml:space="preserve">    Ultimas = Table.LastN(Final, 120)</t>
  </si>
  <si>
    <t xml:space="preserve">qMultiVenue_Funding</t>
  </si>
  <si>
    <t xml:space="preserve">// Divergencia de funding entre venues. Diferencias grandes = estres de base.</t>
  </si>
  <si>
    <t xml:space="preserve">    Binance = Json.Document(Web.Contents("https://fapi.binance.com/fapi/v1/premiumIndex?symbol=BTCUSDT")),</t>
  </si>
  <si>
    <t xml:space="preserve">    OKX     = Json.Document(Web.Contents("https://www.okx.com/api/v5/public/funding-rate?instId=BTC-USDT-SWAP")),</t>
  </si>
  <si>
    <t xml:space="preserve">    Bybit   = Json.Document(Web.Contents("https://api.bybit.com/v5/market/tickers?category=linear&amp;symbol=BTCUSDT")),</t>
  </si>
  <si>
    <t xml:space="preserve">    Tabla = #table({"Venue","Funding_8h","OI_o_Precio"},</t>
  </si>
  <si>
    <t xml:space="preserve">    {</t>
  </si>
  <si>
    <t xml:space="preserve">        {"Binance", Number.From(Binance[lastFundingRate], "en-US"), Number.From(Binance[markPrice], "en-US")},</t>
  </si>
  <si>
    <t xml:space="preserve">        {"OKX",     Number.From(OKX[data]{0}[fundingRate], "en-US"), null},</t>
  </si>
  <si>
    <t xml:space="preserve">        {"Bybit",   Number.From(Bybit[result][list]{0}[fundingRate], "en-US"), Number.From(Bybit[result][list]{0}[openInterest], "en-US")}</t>
  </si>
  <si>
    <t xml:space="preserve">    }),</t>
  </si>
  <si>
    <t xml:space="preserve">    Anual = Table.AddColumn(Tabla, "Anualizado", each [Funding_8h]*3*365, type number),</t>
  </si>
  <si>
    <t xml:space="preserve">    Sello = Table.AddColumn(Anual, "Actualizado", each DateTimeZone.FixedUtcNow(), type datetimezone)</t>
  </si>
  <si>
    <t xml:space="preserve">    Sello</t>
  </si>
  <si>
    <t xml:space="preserve">BITACORA DE OPERACIONES</t>
  </si>
  <si>
    <t xml:space="preserve">Registra cada intento. La fila 5 es un EJEMPLO con el formato esperado: borrala antes de usar.</t>
  </si>
  <si>
    <t xml:space="preserve">Fecha</t>
  </si>
  <si>
    <t xml:space="preserve">Entrada</t>
  </si>
  <si>
    <t xml:space="preserve">Stop</t>
  </si>
  <si>
    <t xml:space="preserve">Filtros (0-5)</t>
  </si>
  <si>
    <t xml:space="preserve">P&amp;L %</t>
  </si>
  <si>
    <t xml:space="preserve">Que aprendi</t>
  </si>
  <si>
    <t xml:space="preserve">2026-08-28</t>
  </si>
  <si>
    <t xml:space="preserve">EJEMPLO: filtros en 2.5, por debajo del minimo de 4. No se debio operar.</t>
  </si>
  <si>
    <t xml:space="preserve">RESUMEN</t>
  </si>
  <si>
    <t xml:space="preserve">Win rate</t>
  </si>
  <si>
    <t xml:space="preserve">Comparar contra el 'win rate minimo' de la hoja 7. Si es menor, la estrategia pierde por diseno.</t>
  </si>
  <si>
    <t xml:space="preserve">P&amp;L acumulado</t>
  </si>
  <si>
    <t xml:space="preserve">Suma simple de retornos porcentuales.</t>
  </si>
  <si>
    <t xml:space="preserve">FUENTES, SUPUESTOS Y ADVERTENCIAS</t>
  </si>
  <si>
    <t xml:space="preserve">Dato hardcodeado</t>
  </si>
  <si>
    <t xml:space="preserve">Fuente / justificacion</t>
  </si>
  <si>
    <t xml:space="preserve">Precio BTC de respaldo</t>
  </si>
  <si>
    <t xml:space="preserve">77,477</t>
  </si>
  <si>
    <t xml:space="preserve">Ultimo dato citado el 28-ago-2026 tras el discurso de Warsh (minimo 76,909, recuperacion 77,712). Fuente: CryptoSlate / CoinDesk live blog.</t>
  </si>
  <si>
    <t xml:space="preserve">Precio ETH de respaldo</t>
  </si>
  <si>
    <t xml:space="preserve">2,501</t>
  </si>
  <si>
    <t xml:space="preserve">Blockonomi 28-ago-2026, pre-discurso. No hay dato aislado de ETH post-discurso confirmado.</t>
  </si>
  <si>
    <t xml:space="preserve">EMA 50 semanas BTC</t>
  </si>
  <si>
    <t xml:space="preserve">77,250</t>
  </si>
  <si>
    <t xml:space="preserve">Citado como nivel a defender para mantener la tendencia mayor intacta. Fuente: analisis tecnico recogido el 28-ago.</t>
  </si>
  <si>
    <t xml:space="preserve">MA 50 semanas BTC</t>
  </si>
  <si>
    <t xml:space="preserve">81,033</t>
  </si>
  <si>
    <t xml:space="preserve">CoinDesk, 24-ago-2026: siguiente resistencia mayor.</t>
  </si>
  <si>
    <t xml:space="preserve">Liquidaciones 24h</t>
  </si>
  <si>
    <t xml:space="preserve">CoinGlass via CryptoSlate, 28-ago-2026. 97,691 traders; &gt;360 M en longs.</t>
  </si>
  <si>
    <t xml:space="preserve">Open Interest agregado</t>
  </si>
  <si>
    <t xml:space="preserve">CoinStats, dos dias hasta el 28-ago. +736.38 M (+1.32%).</t>
  </si>
  <si>
    <t xml:space="preserve">Funding BTC</t>
  </si>
  <si>
    <t xml:space="preserve">-0.0048% / 0.0057%</t>
  </si>
  <si>
    <t xml:space="preserve">MacroMicro, 28-ago-2026.</t>
  </si>
  <si>
    <t xml:space="preserve">Expiracion Deribit</t>
  </si>
  <si>
    <t xml:space="preserve">6.32–6.44 B</t>
  </si>
  <si>
    <t xml:space="preserve">Deribit Metrics / DWF Labs. 78,595 contratos, max pain ~69,000, liquidacion 08:00 UTC.</t>
  </si>
  <si>
    <t xml:space="preserve">Flujos ETF</t>
  </si>
  <si>
    <t xml:space="preserve">1.92 B semanales</t>
  </si>
  <si>
    <t xml:space="preserve">Trading Economics: mejores entradas en 10 meses. 8 sesiones positivas consecutivas (CoinStats).</t>
  </si>
  <si>
    <t xml:space="preserve">Prob. subida septiembre</t>
  </si>
  <si>
    <t xml:space="preserve">~60% (desde ~35%)</t>
  </si>
  <si>
    <t xml:space="preserve">CoinDesk, tras el discurso de Warsh. El-Erian la considera demasiado alta.</t>
  </si>
  <si>
    <t xml:space="preserve">Rend. 2A / 30A</t>
  </si>
  <si>
    <t xml:space="preserve">4.35% / 5.15%</t>
  </si>
  <si>
    <t xml:space="preserve">CoinDesk live blog 28-ago. El 2A subio 12pb; el 30A bajo.</t>
  </si>
  <si>
    <t xml:space="preserve">Clusters de liquidacion ETH</t>
  </si>
  <si>
    <t xml:space="preserve">3.28 B en 1,800 / 422 M sobre 2,500</t>
  </si>
  <si>
    <t xml:space="preserve">FXEmpire, 25-ago-2026. DATO VERIFICADO.</t>
  </si>
  <si>
    <t xml:space="preserve">Clusters de liquidacion BTC</t>
  </si>
  <si>
    <t xml:space="preserve">DERIVADO de estructura, OI y comportamiento observado. NO procede de un heatmap vivo verificado.</t>
  </si>
  <si>
    <t xml:space="preserve">Ley de escala del rebote</t>
  </si>
  <si>
    <t xml:space="preserve">1.4% / 2.75% / 4.75% / 9%</t>
  </si>
  <si>
    <t xml:space="preserve">CALIBRACION PROPIA a partir de eventos observados (487M-&gt;1.04%; 691M; 1.35B; 7.2B). Es un modelo, no un dato de mercado.</t>
  </si>
  <si>
    <t xml:space="preserve">Probabilidades de escenario</t>
  </si>
  <si>
    <t xml:space="preserve">45 / 28 / 27</t>
  </si>
  <si>
    <t xml:space="preserve">ESTIMACION RAZONADA del analista, no salida de un modelo cuantitativo. Editable en el dashboard.</t>
  </si>
  <si>
    <t xml:space="preserve">Pesos del motor Wyckoff</t>
  </si>
  <si>
    <t xml:space="preserve">0-3 por evidencia</t>
  </si>
  <si>
    <t xml:space="preserve">ASIGNACION SUBJETIVA. Editable en la hoja 6. Cambiala si tu lectura difiere.</t>
  </si>
  <si>
    <t xml:space="preserve">ADVERTENCIAS</t>
  </si>
  <si>
    <t xml:space="preserve">Esto NO es asesoria de inversion. Es un tablero de analisis. No soy asesor financiero y no conozco tu situacion, tolerancia al riesgo ni horizonte.</t>
  </si>
  <si>
    <t xml:space="preserve">Las APIs cambian sin aviso. Si una celda devuelve n/d, abre la URL en el navegador y revisa si la clave JSON sigue existiendo. Ajusta la columna D de las hojas 2-4.</t>
  </si>
  <si>
    <t xml:space="preserve">WEBSERVICE solo funciona en Excel para Windows y requiere permitir contenido externo. En Mac, iPad o Excel web usa las consultas Power Query de la hoja 9.</t>
  </si>
  <si>
    <t xml:space="preserve">El apalancamiento sobre cascadas de liquidacion puede eliminar una cuenta completa en segundos. La hoja 7 bloque D existe precisamente para que veas esa matematica antes de operar.</t>
  </si>
  <si>
    <t xml:space="preserve">Los clusters de liquidacion de BTC son derivacion estructural, no lectura de heatmap verificado. Los de ETH si estan citados de fuente. La diferencia importa.</t>
  </si>
  <si>
    <t xml:space="preserve">Coinglass no ofrece endpoint gratuito de liquidaciones. La consulta qOI_Historico_Purga de la hoja 9 es el mejor sustituto gratuito: mide destruccion de Open Interest, que es la causa mecanica de las liquidaciones.</t>
  </si>
  <si>
    <t xml:space="preserve">Los datos de referencia congelados corresponden al 28 de agosto de 2026. Todo lo que no se refresque por API envejece rapido.</t>
  </si>
  <si>
    <t xml:space="preserve">SUPUESTOS NUEVOS DE LA v3 (liquidaciones)</t>
  </si>
  <si>
    <t xml:space="preserve">Pesos de apalancamiento</t>
  </si>
  <si>
    <t xml:space="preserve">15/30/30/15/10%</t>
  </si>
  <si>
    <t xml:space="preserve">SUPUESTO del modelo (hoja 13). No existe dato publico de la distribucion real. Ajustalo si tienes mejor informacion.</t>
  </si>
  <si>
    <t xml:space="preserve">Share agresor = lado que abre</t>
  </si>
  <si>
    <t xml:space="preserve">TakerBuy/QuoteVol</t>
  </si>
  <si>
    <t xml:space="preserve">SUPUESTO: el OI nuevo se reparte segun el flujo agresor. Aproximacion estandar, no exacta.</t>
  </si>
  <si>
    <t xml:space="preserve">Vida media de posiciones</t>
  </si>
  <si>
    <t xml:space="preserve">24 h</t>
  </si>
  <si>
    <t xml:space="preserve">SUPUESTO. Sustituye al cierre voluntario, que no es observable.</t>
  </si>
  <si>
    <t xml:space="preserve">MMR</t>
  </si>
  <si>
    <t xml:space="preserve">0.40%</t>
  </si>
  <si>
    <t xml:space="preserve">Tramo base de BTCUSDT en Binance. Tramos altos usan MMR mayor: el modelo es conservador ahi.</t>
  </si>
  <si>
    <t xml:space="preserve">Factor de cobertura</t>
  </si>
  <si>
    <t xml:space="preserve">50%</t>
  </si>
  <si>
    <t xml:space="preserve">SUPUESTO: Binance+OKX como fraccion de liquidaciones del mercado. Calibralo contra Coinglass cuando puedas.</t>
  </si>
  <si>
    <t xml:space="preserve">Limite del stream forceOrder</t>
  </si>
  <si>
    <t xml:space="preserve">Documentado por Binance: en cascadas fuertes el colector SUBESTIMA.</t>
  </si>
  <si>
    <t xml:space="preserve">Valor de contrato OKX</t>
  </si>
  <si>
    <t xml:space="preserve">0.01 BTC</t>
  </si>
  <si>
    <t xml:space="preserve">BTC-USDT-SWAP. Verificar en /api/v5/public/instruments si cambia.</t>
  </si>
  <si>
    <t xml:space="preserve">DATOS 5 MIN — BTCUSDT PERPETUO (zona de aterrizaje de qBase5m)</t>
  </si>
  <si>
    <t xml:space="preserve">Pega la consulta qBase5m (hoja 9) y cargala aqui: Cerrar y cargar en &gt; Tabla &gt; Hoja existente &gt; =12_Datos_5m!$A$4. No escribas a mano en A4:I504.</t>
  </si>
  <si>
    <t xml:space="preserve">OpenTime</t>
  </si>
  <si>
    <t xml:space="preserve">Open</t>
  </si>
  <si>
    <t xml:space="preserve">High</t>
  </si>
  <si>
    <t xml:space="preserve">Low</t>
  </si>
  <si>
    <t xml:space="preserve">Close</t>
  </si>
  <si>
    <t xml:space="preserve">QuoteVol</t>
  </si>
  <si>
    <t xml:space="preserve">TakerBuyQuote</t>
  </si>
  <si>
    <t xml:space="preserve">OI_USD</t>
  </si>
  <si>
    <t xml:space="preserve">QUE HAY AQUI</t>
  </si>
  <si>
    <t xml:space="preserve">499 barras de 5 minutos (~41 horas) del perpetuo BTCUSDT de Binance, con el Open Interest</t>
  </si>
  <si>
    <t xml:space="preserve">en USD de cada barra. Es la materia prima del mapa de liquidaciones estimado.</t>
  </si>
  <si>
    <t xml:space="preserve">POR QUE ESTOS CAMPOS</t>
  </si>
  <si>
    <t xml:space="preserve">OI_USD: cuando sube, se abrieron posiciones nuevas. Cada una tiene un precio de liquidacion.</t>
  </si>
  <si>
    <t xml:space="preserve">TakerBuyQuote / QuoteVol: la fraccion agresora compradora. Se usa para repartir el OI nuevo</t>
  </si>
  <si>
    <t xml:space="preserve">entre largos y cortos (supuesto: quien abre posicion es mayoritariamente el agresor).</t>
  </si>
  <si>
    <t xml:space="preserve">High / Low: permiten saber si el precio YA toco un nivel de liquidacion. Si lo toco,</t>
  </si>
  <si>
    <t xml:space="preserve">esas posiciones ya no existen y se borran del mapa. Esto es lo que separa un mapa util</t>
  </si>
  <si>
    <t xml:space="preserve">de uno que muestra clusters fantasma.</t>
  </si>
  <si>
    <t xml:space="preserve">MOTOR DEL MAPA — una fila por barra de 5 min (no editar)</t>
  </si>
  <si>
    <t xml:space="preserve">Tiempo mas reciente (ms)</t>
  </si>
  <si>
    <t xml:space="preserve">Delta OI</t>
  </si>
  <si>
    <t xml:space="preserve">OI nuevo</t>
  </si>
  <si>
    <t xml:space="preserve">Share compra</t>
  </si>
  <si>
    <t xml:space="preserve">Edad (h)</t>
  </si>
  <si>
    <t xml:space="preserve">Peso vida</t>
  </si>
  <si>
    <t xml:space="preserve">Nocional LONG</t>
  </si>
  <si>
    <t xml:space="preserve">Nocional SHORT</t>
  </si>
  <si>
    <t xml:space="preserve">Min futuro</t>
  </si>
  <si>
    <t xml:space="preserve">Max futuro</t>
  </si>
  <si>
    <t xml:space="preserve">Liq L T1</t>
  </si>
  <si>
    <t xml:space="preserve">Vivo L T1</t>
  </si>
  <si>
    <t xml:space="preserve">Liq S T1</t>
  </si>
  <si>
    <t xml:space="preserve">Vivo S T1</t>
  </si>
  <si>
    <t xml:space="preserve">Liq L T2</t>
  </si>
  <si>
    <t xml:space="preserve">Vivo L T2</t>
  </si>
  <si>
    <t xml:space="preserve">Liq S T2</t>
  </si>
  <si>
    <t xml:space="preserve">Vivo S T2</t>
  </si>
  <si>
    <t xml:space="preserve">Liq L T3</t>
  </si>
  <si>
    <t xml:space="preserve">Vivo L T3</t>
  </si>
  <si>
    <t xml:space="preserve">Liq S T3</t>
  </si>
  <si>
    <t xml:space="preserve">Vivo S T3</t>
  </si>
  <si>
    <t xml:space="preserve">Liq L T4</t>
  </si>
  <si>
    <t xml:space="preserve">Vivo L T4</t>
  </si>
  <si>
    <t xml:space="preserve">Liq S T4</t>
  </si>
  <si>
    <t xml:space="preserve">Vivo S T4</t>
  </si>
  <si>
    <t xml:space="preserve">Liq L T5</t>
  </si>
  <si>
    <t xml:space="preserve">Vivo L T5</t>
  </si>
  <si>
    <t xml:space="preserve">Liq S T5</t>
  </si>
  <si>
    <t xml:space="preserve">Vivo S T5</t>
  </si>
  <si>
    <t xml:space="preserve">Ejec. LONG</t>
  </si>
  <si>
    <t xml:space="preserve">Ejec. SHORT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</si>
</sst>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.00"/>
    <numFmt numFmtId="166" formatCode="#,##0.0000"/>
    <numFmt numFmtId="167" formatCode="#,##0.000000"/>
    <numFmt numFmtId="168" formatCode="0.0%"/>
    <numFmt numFmtId="169" formatCode="\+0.0%;\-0.0%;0.0%"/>
    <numFmt numFmtId="170" formatCode="#,##0"/>
    <numFmt numFmtId="171" formatCode="General"/>
    <numFmt numFmtId="172" formatCode="0.0"/>
    <numFmt numFmtId="173" formatCode="0.00%"/>
    <numFmt numFmtId="174" formatCode="0.00\x"/>
    <numFmt numFmtId="175" formatCode="\$#,##0"/>
    <numFmt numFmtId="176" formatCode="0.00\x"/>
    <numFmt numFmtId="177" formatCode="\+0.00%;\-0.00%"/>
    <numFmt numFmtId="178" formatCode="0%"/>
    <numFmt numFmtId="179" formatCode="0"/>
    <numFmt numFmtId="180" formatCode="0\x"/>
    <numFmt numFmtId="181" formatCode="\$#,##0;&quot;-$&quot;#,##0;\-"/>
    <numFmt numFmtId="182" formatCode="\+0;\-0"/>
    <numFmt numFmtId="183" formatCode="0.0\x"/>
    <numFmt numFmtId="184" formatCode="\+0.0%;\-0.0%"/>
    <numFmt numFmtId="185" formatCode="0.0\x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8"/>
      <color rgb="FF1F4E79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008000"/>
      <name val="Consolas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00000"/>
      <name val="Consolas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6E0B4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6"/>
    <col collapsed="false" customWidth="true" hidden="false" outlineLevel="0" max="7" min="7" style="1" width="22"/>
    <col collapsed="false" customWidth="true" hidden="false" outlineLevel="0" max="8" min="8" style="1" width="30"/>
    <col collapsed="false" customWidth="true" hidden="false" outlineLevel="0" max="9" min="9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/>
    </row>
    <row r="6" customFormat="false" ht="15" hidden="false" customHeight="true" outlineLevel="0" collapsed="false">
      <c r="A6" s="6" t="s">
        <v>11</v>
      </c>
      <c r="B6" s="7" t="str">
        <f aca="false">IF(ISNUMBER('2_Live_Precios'!G5),'2_Live_Precios'!G5,IF(COUNT('12_Datos_5m'!$F$5:$F$504)&gt;0,INDEX('12_Datos_5m'!$F$5:$F$504,COUNT('12_Datos_5m'!$F$5:$F$504)),"n/d"))</f>
        <v>n/d</v>
      </c>
      <c r="C6" s="8" t="s">
        <v>12</v>
      </c>
      <c r="D6" s="9" t="n">
        <v>77477</v>
      </c>
      <c r="E6" s="10" t="n">
        <f aca="false">IF(ISNUMBER(B6),B6,D6)</f>
        <v>77477</v>
      </c>
      <c r="F6" s="11" t="s">
        <v>13</v>
      </c>
      <c r="G6" s="12" t="str">
        <f aca="false">IF(NOT(ISNUMBER(E6)),"—",IF(E6&gt;=$B$33,"ALCISTA",IF(E6&gt;=$B$34,"NEUTRO-ALCISTA",IF(E6&gt;=$B$35,"BISAGRA",IF(E6&gt;=$B$36,"NEUTRO-BAJISTA",IF(E6&gt;=$B$37,"ZONA SPRING","QUIEBRE"))))))</f>
        <v>BISAGRA</v>
      </c>
      <c r="H6" s="13" t="s">
        <v>14</v>
      </c>
      <c r="I6" s="14"/>
    </row>
    <row r="7" customFormat="false" ht="15" hidden="false" customHeight="true" outlineLevel="0" collapsed="false">
      <c r="A7" s="6" t="s">
        <v>15</v>
      </c>
      <c r="B7" s="7" t="str">
        <f aca="false">IFERROR(IF(ISNUMBER('2_Live_Precios'!G6),'2_Live_Precios'!G6,"n/d"),"n/d")</f>
        <v>n/d</v>
      </c>
      <c r="C7" s="8" t="s">
        <v>16</v>
      </c>
      <c r="D7" s="9" t="n">
        <v>2501</v>
      </c>
      <c r="E7" s="10" t="n">
        <f aca="false">IF(ISNUMBER(B7),B7,D7)</f>
        <v>2501</v>
      </c>
      <c r="F7" s="11" t="s">
        <v>13</v>
      </c>
      <c r="G7" s="12" t="str">
        <f aca="false">IF(NOT(ISNUMBER(E7)),"—",IF(E7&gt;=2534,"SOBRE EMA200-3D",IF(E7&gt;=2503,"SOBRE PIVOTE",IF(E7&gt;=2471,"PIVOTE PERDIDO",IF(E7&gt;=2426,"ZONA SPRING","VACIO &lt;2400")))))</f>
        <v>PIVOTE PERDIDO</v>
      </c>
      <c r="H7" s="13" t="s">
        <v>17</v>
      </c>
      <c r="I7" s="14"/>
    </row>
    <row r="8" customFormat="false" ht="15" hidden="false" customHeight="true" outlineLevel="0" collapsed="false">
      <c r="A8" s="6" t="s">
        <v>18</v>
      </c>
      <c r="B8" s="15" t="str">
        <f aca="false">IFERROR(IF(ISNUMBER('3_Live_Derivados'!G5),'3_Live_Derivados'!G5,"n/d"),"n/d")</f>
        <v>n/d</v>
      </c>
      <c r="C8" s="8" t="s">
        <v>19</v>
      </c>
      <c r="D8" s="16" t="n">
        <v>4.8E-005</v>
      </c>
      <c r="E8" s="17" t="n">
        <f aca="false">IF(ISNUMBER(B8),B8,D8)</f>
        <v>4.8E-005</v>
      </c>
      <c r="F8" s="11" t="s">
        <v>20</v>
      </c>
      <c r="G8" s="12" t="str">
        <f aca="false">IF(NOT(ISNUMBER(E8)),"—",IF(E8&gt;0.0003,"SOBRECALENTADO",IF(E8&gt;0.0001,"POSITIVO",IF(E8&gt;=-0.0001,"NEUTRO","NEGATIVO"))))</f>
        <v>NEUTRO</v>
      </c>
      <c r="H8" s="13" t="s">
        <v>21</v>
      </c>
      <c r="I8" s="14"/>
    </row>
    <row r="9" customFormat="false" ht="21.75" hidden="false" customHeight="true" outlineLevel="0" collapsed="false">
      <c r="A9" s="6" t="s">
        <v>22</v>
      </c>
      <c r="B9" s="7" t="str">
        <f aca="false">IFERROR(IF(ISNUMBER('3_Live_Derivados'!G7),'3_Live_Derivados'!G7*E6,"n/d"),"n/d")</f>
        <v>n/d</v>
      </c>
      <c r="C9" s="8" t="s">
        <v>19</v>
      </c>
      <c r="D9" s="9" t="n">
        <v>56480000000</v>
      </c>
      <c r="E9" s="10" t="n">
        <f aca="false">IF(ISNUMBER(B9),B9,D9)</f>
        <v>56480000000</v>
      </c>
      <c r="F9" s="11" t="s">
        <v>13</v>
      </c>
      <c r="G9" s="12" t="str">
        <f aca="false">IF(NOT(ISNUMBER(E9)),"—",IF(E9&gt;60000000000,"APALANCAMIENTO ALTO",IF(E9&gt;45000000000,"NORMAL","DESAPALANCADO")))</f>
        <v>NORMAL</v>
      </c>
      <c r="H9" s="13" t="s">
        <v>23</v>
      </c>
      <c r="I9" s="14"/>
    </row>
    <row r="10" customFormat="false" ht="15" hidden="false" customHeight="true" outlineLevel="0" collapsed="false">
      <c r="A10" s="6" t="s">
        <v>24</v>
      </c>
      <c r="B10" s="7" t="str">
        <f aca="false">IFERROR(IF(ISNUMBER('3_Live_Derivados'!G9),'3_Live_Derivados'!G9,"n/d"),"n/d")</f>
        <v>n/d</v>
      </c>
      <c r="C10" s="8" t="s">
        <v>19</v>
      </c>
      <c r="D10" s="9" t="n">
        <v>1.98</v>
      </c>
      <c r="E10" s="10" t="n">
        <f aca="false">IF(ISNUMBER(B10),B10,D10)</f>
        <v>1.98</v>
      </c>
      <c r="F10" s="11" t="s">
        <v>25</v>
      </c>
      <c r="G10" s="12" t="str">
        <f aca="false">IF(NOT(ISNUMBER(E10)),"—",IF(E10&gt;2.2,"RETAIL MUY LARGO",IF(E10&gt;1.6,"RETAIL LARGO",IF(E10&gt;1.1,"EQUILIBRIO","RETAIL CORTO"))))</f>
        <v>RETAIL LARGO</v>
      </c>
      <c r="H10" s="13" t="s">
        <v>26</v>
      </c>
      <c r="I10" s="14"/>
    </row>
    <row r="11" customFormat="false" ht="15" hidden="false" customHeight="true" outlineLevel="0" collapsed="false">
      <c r="A11" s="6" t="s">
        <v>27</v>
      </c>
      <c r="B11" s="7" t="str">
        <f aca="false">IFERROR(IF(ISNUMBER('3_Live_Derivados'!G10),'3_Live_Derivados'!G10,"n/d"),"n/d")</f>
        <v>n/d</v>
      </c>
      <c r="C11" s="8" t="s">
        <v>19</v>
      </c>
      <c r="D11" s="9" t="n">
        <v>1.35</v>
      </c>
      <c r="E11" s="10" t="n">
        <f aca="false">IF(ISNUMBER(B11),B11,D11)</f>
        <v>1.35</v>
      </c>
      <c r="F11" s="11" t="s">
        <v>25</v>
      </c>
      <c r="G11" s="12" t="str">
        <f aca="false">IF(OR(NOT(ISNUMBER(E11)),NOT(ISNUMBER(E10))),"—",IF(E10-E11&gt;0.5,"DIVERGENCIA FUERTE",IF(E10-E11&gt;0.2,"DIVERGENCIA","ALINEADOS")))</f>
        <v>DIVERGENCIA FUERTE</v>
      </c>
      <c r="H11" s="13" t="s">
        <v>28</v>
      </c>
      <c r="I11" s="14"/>
    </row>
    <row r="12" customFormat="false" ht="15" hidden="false" customHeight="true" outlineLevel="0" collapsed="false">
      <c r="A12" s="6" t="s">
        <v>29</v>
      </c>
      <c r="B12" s="7" t="str">
        <f aca="false">IFERROR(IF(ISNUMBER('4_Live_Macro'!G5),'4_Live_Macro'!G5,"n/d"),"n/d")</f>
        <v>n/d</v>
      </c>
      <c r="C12" s="8" t="s">
        <v>30</v>
      </c>
      <c r="D12" s="9" t="n">
        <v>62</v>
      </c>
      <c r="E12" s="10" t="n">
        <f aca="false">IF(ISNUMBER(B12),B12,D12)</f>
        <v>62</v>
      </c>
      <c r="F12" s="11" t="s">
        <v>31</v>
      </c>
      <c r="G12" s="12" t="str">
        <f aca="false">IF(NOT(ISNUMBER(E12)),"—",IF(E12&gt;=75,"CODICIA EXTREMA",IF(E12&gt;=55,"CODICIA",IF(E12&gt;=45,"NEUTRO",IF(E12&gt;=25,"MIEDO","MIEDO EXTREMO")))))</f>
        <v>CODICIA</v>
      </c>
      <c r="H12" s="13" t="s">
        <v>32</v>
      </c>
      <c r="I12" s="14"/>
    </row>
    <row r="13" customFormat="false" ht="15" hidden="false" customHeight="true" outlineLevel="0" collapsed="false">
      <c r="A13" s="6" t="s">
        <v>33</v>
      </c>
      <c r="B13" s="7" t="str">
        <f aca="false">IFERROR(IF(ISNUMBER('4_Live_Macro'!G11),'4_Live_Macro'!G11,"n/d"),"n/d")</f>
        <v>n/d</v>
      </c>
      <c r="C13" s="8" t="s">
        <v>34</v>
      </c>
      <c r="D13" s="9" t="n">
        <v>4.35</v>
      </c>
      <c r="E13" s="10" t="n">
        <f aca="false">IF(ISNUMBER(B13),B13,D13)</f>
        <v>4.35</v>
      </c>
      <c r="F13" s="11" t="s">
        <v>35</v>
      </c>
      <c r="G13" s="12" t="str">
        <f aca="false">IF(NOT(ISNUMBER(E13)),"—",IF(E13&gt;4.5,"RESTRICTIVO",IF(E13&gt;4.2,"TENSION","ALIVIO")))</f>
        <v>TENSION</v>
      </c>
      <c r="H13" s="13" t="s">
        <v>36</v>
      </c>
      <c r="I13" s="14"/>
    </row>
    <row r="15" customFormat="false" ht="15" hidden="false" customHeight="true" outlineLevel="0" collapsed="false">
      <c r="A15" s="4" t="s">
        <v>37</v>
      </c>
      <c r="B15" s="4"/>
      <c r="C15" s="4"/>
      <c r="D15" s="4"/>
      <c r="E15" s="4"/>
      <c r="F15" s="4"/>
      <c r="G15" s="4"/>
      <c r="H15" s="4"/>
      <c r="I15" s="4"/>
    </row>
    <row r="16" customFormat="false" ht="30" hidden="false" customHeight="true" outlineLevel="0" collapsed="false">
      <c r="A16" s="5" t="s">
        <v>38</v>
      </c>
      <c r="B16" s="5" t="s">
        <v>39</v>
      </c>
      <c r="C16" s="5" t="s">
        <v>40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/>
    </row>
    <row r="17" customFormat="false" ht="21.75" hidden="false" customHeight="true" outlineLevel="0" collapsed="false">
      <c r="A17" s="6" t="s">
        <v>46</v>
      </c>
      <c r="B17" s="18" t="n">
        <v>0.45</v>
      </c>
      <c r="C17" s="19" t="n">
        <f aca="false">IF(AND(ISNUMBER($E$10),$E$10&gt;2),0.05,0)</f>
        <v>0</v>
      </c>
      <c r="D17" s="20" t="n">
        <f aca="false">MAX(0,B17+C17)/(MAX(0,B17+C17)+MAX(0,B18+C18)+MAX(0,B19+C19))</f>
        <v>0.441176470588235</v>
      </c>
      <c r="E17" s="21" t="s">
        <v>47</v>
      </c>
      <c r="F17" s="11" t="s">
        <v>48</v>
      </c>
      <c r="G17" s="11" t="s">
        <v>49</v>
      </c>
      <c r="H17" s="21" t="s">
        <v>50</v>
      </c>
      <c r="I17" s="14"/>
    </row>
    <row r="18" customFormat="false" ht="21.75" hidden="false" customHeight="true" outlineLevel="0" collapsed="false">
      <c r="A18" s="6" t="s">
        <v>51</v>
      </c>
      <c r="B18" s="18" t="n">
        <v>0.28</v>
      </c>
      <c r="C18" s="19" t="n">
        <f aca="false">IF(AND(ISNUMBER($E$6),$E$6&gt;=77250,$E$6&lt;=79000),0.05,-0.02)</f>
        <v>0.05</v>
      </c>
      <c r="D18" s="20" t="n">
        <f aca="false">MAX(0,B18+C18)/(MAX(0,B17+C17)+MAX(0,B18+C18)+MAX(0,B19+C19))</f>
        <v>0.323529411764706</v>
      </c>
      <c r="E18" s="21" t="s">
        <v>52</v>
      </c>
      <c r="F18" s="11" t="s">
        <v>53</v>
      </c>
      <c r="G18" s="11" t="s">
        <v>54</v>
      </c>
      <c r="H18" s="21" t="s">
        <v>55</v>
      </c>
      <c r="I18" s="14"/>
    </row>
    <row r="19" customFormat="false" ht="21.75" hidden="false" customHeight="true" outlineLevel="0" collapsed="false">
      <c r="A19" s="6" t="s">
        <v>56</v>
      </c>
      <c r="B19" s="18" t="n">
        <v>0.27</v>
      </c>
      <c r="C19" s="19" t="n">
        <f aca="false">IF(AND(ISNUMBER($E$6),$E$6&gt;79000),0.08,-0.03)</f>
        <v>-0.03</v>
      </c>
      <c r="D19" s="20" t="n">
        <f aca="false">MAX(0,B19+C19)/(MAX(0,B17+C17)+MAX(0,B18+C18)+MAX(0,B19+C19))</f>
        <v>0.235294117647059</v>
      </c>
      <c r="E19" s="21" t="s">
        <v>57</v>
      </c>
      <c r="F19" s="11" t="s">
        <v>58</v>
      </c>
      <c r="G19" s="11" t="s">
        <v>59</v>
      </c>
      <c r="H19" s="21" t="s">
        <v>60</v>
      </c>
      <c r="I19" s="14"/>
    </row>
    <row r="20" customFormat="false" ht="15" hidden="false" customHeight="true" outlineLevel="0" collapsed="false">
      <c r="A20" s="22" t="s">
        <v>61</v>
      </c>
      <c r="B20" s="23" t="str">
        <f aca="false">INDEX(A17:A19,MATCH(MAX(D17:D19),D17:D19,0))</f>
        <v>FALSA CAIDA (barrida y vuelta)</v>
      </c>
      <c r="C20" s="23"/>
      <c r="D20" s="23"/>
      <c r="E20" s="23"/>
      <c r="F20" s="24" t="n">
        <f aca="false">MAX(D17:D19)</f>
        <v>0.441176470588235</v>
      </c>
      <c r="G20" s="25" t="s">
        <v>62</v>
      </c>
      <c r="H20" s="14"/>
      <c r="I20" s="14"/>
    </row>
    <row r="22" customFormat="false" ht="15" hidden="false" customHeight="true" outlineLevel="0" collapsed="false">
      <c r="A22" s="4" t="s">
        <v>63</v>
      </c>
      <c r="B22" s="4"/>
      <c r="C22" s="4"/>
      <c r="D22" s="4"/>
      <c r="E22" s="4"/>
      <c r="F22" s="4"/>
      <c r="G22" s="4"/>
      <c r="H22" s="4"/>
      <c r="I22" s="4"/>
    </row>
    <row r="23" customFormat="false" ht="30" hidden="false" customHeight="true" outlineLevel="0" collapsed="false">
      <c r="A23" s="5" t="s">
        <v>64</v>
      </c>
      <c r="B23" s="5" t="s">
        <v>65</v>
      </c>
      <c r="C23" s="5" t="s">
        <v>66</v>
      </c>
      <c r="D23" s="5" t="s">
        <v>67</v>
      </c>
      <c r="E23" s="5" t="s">
        <v>68</v>
      </c>
      <c r="F23" s="5" t="s">
        <v>69</v>
      </c>
      <c r="G23" s="5" t="s">
        <v>70</v>
      </c>
      <c r="H23" s="5" t="s">
        <v>71</v>
      </c>
      <c r="I23" s="5"/>
    </row>
    <row r="24" customFormat="false" ht="15" hidden="false" customHeight="true" outlineLevel="0" collapsed="false">
      <c r="A24" s="6" t="s">
        <v>72</v>
      </c>
      <c r="B24" s="11" t="s">
        <v>73</v>
      </c>
      <c r="C24" s="26" t="n">
        <f aca="false">IF(N('5_Liquidaciones'!C7)&gt;0,'5_Liquidaciones'!C7,'15_Liq_Reales'!D12+'15_Liq_Reales'!D13)</f>
        <v>0</v>
      </c>
      <c r="D24" s="27" t="n">
        <f aca="false">IF(NOT(ISNUMBER(C24)),0,IF(C24&gt;=800000000,1,0))</f>
        <v>0</v>
      </c>
      <c r="E24" s="28" t="n">
        <v>1</v>
      </c>
      <c r="F24" s="29" t="n">
        <f aca="false">D24*E24</f>
        <v>0</v>
      </c>
      <c r="G24" s="11" t="s">
        <v>74</v>
      </c>
      <c r="H24" s="13" t="s">
        <v>75</v>
      </c>
      <c r="I24" s="14"/>
    </row>
    <row r="25" customFormat="false" ht="15" hidden="false" customHeight="true" outlineLevel="0" collapsed="false">
      <c r="A25" s="6" t="s">
        <v>76</v>
      </c>
      <c r="B25" s="11" t="s">
        <v>77</v>
      </c>
      <c r="C25" s="15" t="n">
        <f aca="false">IF(ISNUMBER('16_Fase_Cascada'!B14),'16_Fase_Cascada'!B14,'5_Liquidaciones'!C17)</f>
        <v>0.00863456090651558</v>
      </c>
      <c r="D25" s="27" t="n">
        <f aca="false">IF(NOT(ISNUMBER(C25)),0,IF(C25&gt;=0.025,1,0))</f>
        <v>0</v>
      </c>
      <c r="E25" s="28" t="n">
        <v>1.5</v>
      </c>
      <c r="F25" s="29" t="n">
        <f aca="false">D25*E25</f>
        <v>0</v>
      </c>
      <c r="G25" s="11" t="s">
        <v>78</v>
      </c>
      <c r="H25" s="13" t="s">
        <v>79</v>
      </c>
      <c r="I25" s="14"/>
    </row>
    <row r="26" customFormat="false" ht="15" hidden="false" customHeight="true" outlineLevel="0" collapsed="false">
      <c r="A26" s="6" t="s">
        <v>80</v>
      </c>
      <c r="B26" s="11" t="s">
        <v>81</v>
      </c>
      <c r="C26" s="15" t="n">
        <f aca="false">IF(ISNUMBER('15_Liq_Reales'!D18),'15_Liq_Reales'!D18,'5_Liquidaciones'!C16)</f>
        <v>0.738188976377953</v>
      </c>
      <c r="D26" s="27" t="n">
        <f aca="false">IF(NOT(ISNUMBER(C26)),0,IF(C26&gt;=0.75,1,0))</f>
        <v>0</v>
      </c>
      <c r="E26" s="28" t="n">
        <v>1</v>
      </c>
      <c r="F26" s="29" t="n">
        <f aca="false">D26*E26</f>
        <v>0</v>
      </c>
      <c r="G26" s="11" t="s">
        <v>82</v>
      </c>
      <c r="H26" s="13" t="s">
        <v>83</v>
      </c>
      <c r="I26" s="14"/>
    </row>
    <row r="27" customFormat="false" ht="15" hidden="false" customHeight="true" outlineLevel="0" collapsed="false">
      <c r="A27" s="6" t="s">
        <v>84</v>
      </c>
      <c r="B27" s="11" t="s">
        <v>85</v>
      </c>
      <c r="C27" s="15" t="n">
        <f aca="false">$E$8</f>
        <v>4.8E-005</v>
      </c>
      <c r="D27" s="27" t="n">
        <f aca="false">IF(NOT(ISNUMBER(C27)),0,IF(C27&lt;=0.0001,1,0))</f>
        <v>1</v>
      </c>
      <c r="E27" s="28" t="n">
        <v>1</v>
      </c>
      <c r="F27" s="29" t="n">
        <f aca="false">D27*E27</f>
        <v>1</v>
      </c>
      <c r="G27" s="11" t="s">
        <v>86</v>
      </c>
      <c r="H27" s="13" t="s">
        <v>87</v>
      </c>
      <c r="I27" s="14"/>
    </row>
    <row r="28" customFormat="false" ht="15" hidden="false" customHeight="true" outlineLevel="0" collapsed="false">
      <c r="A28" s="6" t="s">
        <v>88</v>
      </c>
      <c r="B28" s="11" t="s">
        <v>89</v>
      </c>
      <c r="C28" s="26" t="n">
        <f aca="false">'5_Liquidaciones'!C12</f>
        <v>1</v>
      </c>
      <c r="D28" s="27" t="n">
        <f aca="false">IF(NOT(ISNUMBER(C28)),0,IF(C28&gt;=0.5,1,0))</f>
        <v>1</v>
      </c>
      <c r="E28" s="28" t="n">
        <v>0.5</v>
      </c>
      <c r="F28" s="29" t="n">
        <f aca="false">D28*E28</f>
        <v>0.5</v>
      </c>
      <c r="G28" s="11" t="s">
        <v>90</v>
      </c>
      <c r="H28" s="13" t="s">
        <v>91</v>
      </c>
      <c r="I28" s="14"/>
    </row>
    <row r="29" customFormat="false" ht="15" hidden="false" customHeight="true" outlineLevel="0" collapsed="false">
      <c r="A29" s="22" t="s">
        <v>92</v>
      </c>
      <c r="B29" s="30" t="n">
        <f aca="false">SUM(F24:F28)</f>
        <v>1.5</v>
      </c>
      <c r="C29" s="11" t="s">
        <v>93</v>
      </c>
      <c r="D29" s="23" t="str">
        <f aca="false">IF(B29&gt;=4,"ENTRAR",IF(B29&gt;=3,"PREPARAR ORDEN","NO OPERAR"))</f>
        <v>NO OPERAR</v>
      </c>
      <c r="E29" s="23"/>
      <c r="F29" s="23"/>
      <c r="G29" s="31" t="s">
        <v>94</v>
      </c>
      <c r="H29" s="31"/>
      <c r="I29" s="14"/>
    </row>
    <row r="31" customFormat="false" ht="15" hidden="false" customHeight="true" outlineLevel="0" collapsed="false">
      <c r="A31" s="4" t="s">
        <v>95</v>
      </c>
      <c r="B31" s="4"/>
      <c r="C31" s="4"/>
      <c r="D31" s="4"/>
      <c r="E31" s="4"/>
      <c r="F31" s="4"/>
      <c r="G31" s="4"/>
      <c r="H31" s="4"/>
      <c r="I31" s="4"/>
    </row>
    <row r="32" customFormat="false" ht="30" hidden="false" customHeight="true" outlineLevel="0" collapsed="false">
      <c r="A32" s="5" t="s">
        <v>96</v>
      </c>
      <c r="B32" s="5" t="s">
        <v>97</v>
      </c>
      <c r="C32" s="5" t="s">
        <v>98</v>
      </c>
      <c r="D32" s="5" t="s">
        <v>99</v>
      </c>
      <c r="E32" s="5" t="s">
        <v>100</v>
      </c>
      <c r="F32" s="5" t="s">
        <v>101</v>
      </c>
      <c r="G32" s="5" t="s">
        <v>97</v>
      </c>
      <c r="H32" s="5" t="s">
        <v>98</v>
      </c>
      <c r="I32" s="5" t="s">
        <v>99</v>
      </c>
    </row>
    <row r="33" customFormat="false" ht="21.75" hidden="false" customHeight="true" outlineLevel="0" collapsed="false">
      <c r="A33" s="6" t="s">
        <v>102</v>
      </c>
      <c r="B33" s="32" t="n">
        <v>81033</v>
      </c>
      <c r="C33" s="19" t="n">
        <f aca="false">IF(ISNUMBER($E$6),($E$6-B33)/B33,"n/d")</f>
        <v>-0.0438833561635383</v>
      </c>
      <c r="D33" s="11" t="s">
        <v>103</v>
      </c>
      <c r="E33" s="13" t="s">
        <v>104</v>
      </c>
      <c r="F33" s="6" t="s">
        <v>105</v>
      </c>
      <c r="G33" s="32" t="n">
        <v>2534</v>
      </c>
      <c r="H33" s="19" t="n">
        <f aca="false">IF(ISNUMBER($E$7),($E$7-G33)/G33,"n/d")</f>
        <v>-0.0130228887134964</v>
      </c>
      <c r="I33" s="11" t="s">
        <v>106</v>
      </c>
    </row>
    <row r="34" customFormat="false" ht="21.75" hidden="false" customHeight="true" outlineLevel="0" collapsed="false">
      <c r="A34" s="6" t="s">
        <v>107</v>
      </c>
      <c r="B34" s="32" t="n">
        <v>79000</v>
      </c>
      <c r="C34" s="19" t="n">
        <f aca="false">IF(ISNUMBER($E$6),($E$6-B34)/B34,"n/d")</f>
        <v>-0.0192784810126582</v>
      </c>
      <c r="D34" s="11" t="s">
        <v>108</v>
      </c>
      <c r="E34" s="13" t="s">
        <v>109</v>
      </c>
      <c r="F34" s="6" t="s">
        <v>110</v>
      </c>
      <c r="G34" s="32" t="n">
        <v>2503</v>
      </c>
      <c r="H34" s="19" t="n">
        <f aca="false">IF(ISNUMBER($E$7),($E$7-G34)/G34,"n/d")</f>
        <v>-0.000799041150619257</v>
      </c>
      <c r="I34" s="11" t="s">
        <v>111</v>
      </c>
    </row>
    <row r="35" customFormat="false" ht="21.75" hidden="false" customHeight="true" outlineLevel="0" collapsed="false">
      <c r="A35" s="6" t="s">
        <v>112</v>
      </c>
      <c r="B35" s="32" t="n">
        <v>77250</v>
      </c>
      <c r="C35" s="19" t="n">
        <f aca="false">IF(ISNUMBER($E$6),($E$6-B35)/B35,"n/d")</f>
        <v>0.00293851132686084</v>
      </c>
      <c r="D35" s="11" t="s">
        <v>113</v>
      </c>
      <c r="E35" s="13" t="s">
        <v>114</v>
      </c>
      <c r="F35" s="6" t="s">
        <v>115</v>
      </c>
      <c r="G35" s="32" t="n">
        <v>2471</v>
      </c>
      <c r="H35" s="19" t="n">
        <f aca="false">IF(ISNUMBER($E$7),($E$7-G35)/G35,"n/d")</f>
        <v>0.0121408336705787</v>
      </c>
      <c r="I35" s="11" t="s">
        <v>116</v>
      </c>
    </row>
    <row r="36" customFormat="false" ht="21.75" hidden="false" customHeight="true" outlineLevel="0" collapsed="false">
      <c r="A36" s="6" t="s">
        <v>117</v>
      </c>
      <c r="B36" s="32" t="n">
        <v>76909</v>
      </c>
      <c r="C36" s="19" t="n">
        <f aca="false">IF(ISNUMBER($E$6),($E$6-B36)/B36,"n/d")</f>
        <v>0.00738535151932804</v>
      </c>
      <c r="D36" s="11" t="s">
        <v>118</v>
      </c>
      <c r="E36" s="13" t="s">
        <v>119</v>
      </c>
      <c r="F36" s="6" t="s">
        <v>120</v>
      </c>
      <c r="G36" s="32" t="n">
        <v>2426</v>
      </c>
      <c r="H36" s="19" t="n">
        <f aca="false">IF(ISNUMBER($E$7),($E$7-G36)/G36,"n/d")</f>
        <v>0.0309150865622424</v>
      </c>
      <c r="I36" s="11" t="s">
        <v>121</v>
      </c>
    </row>
    <row r="37" customFormat="false" ht="15" hidden="false" customHeight="true" outlineLevel="0" collapsed="false">
      <c r="A37" s="6" t="s">
        <v>122</v>
      </c>
      <c r="B37" s="32" t="n">
        <v>74000</v>
      </c>
      <c r="C37" s="19" t="n">
        <f aca="false">IF(ISNUMBER($E$6),($E$6-B37)/B37,"n/d")</f>
        <v>0.0469864864864865</v>
      </c>
      <c r="D37" s="11" t="s">
        <v>120</v>
      </c>
      <c r="E37" s="13" t="s">
        <v>123</v>
      </c>
      <c r="F37" s="6" t="s">
        <v>124</v>
      </c>
      <c r="G37" s="32" t="n">
        <v>2400</v>
      </c>
      <c r="H37" s="19" t="n">
        <f aca="false">IF(ISNUMBER($E$7),($E$7-G37)/G37,"n/d")</f>
        <v>0.0420833333333333</v>
      </c>
      <c r="I37" s="11" t="s">
        <v>125</v>
      </c>
    </row>
    <row r="38" customFormat="false" ht="32.25" hidden="false" customHeight="true" outlineLevel="0" collapsed="false">
      <c r="A38" s="6" t="s">
        <v>126</v>
      </c>
      <c r="B38" s="32" t="n">
        <v>73800</v>
      </c>
      <c r="C38" s="19" t="n">
        <f aca="false">IF(ISNUMBER($E$6),($E$6-B38)/B38,"n/d")</f>
        <v>0.0498238482384824</v>
      </c>
      <c r="D38" s="11" t="s">
        <v>127</v>
      </c>
      <c r="E38" s="13" t="s">
        <v>128</v>
      </c>
      <c r="F38" s="6" t="s">
        <v>129</v>
      </c>
      <c r="G38" s="32" t="n">
        <v>2250</v>
      </c>
      <c r="H38" s="19" t="n">
        <f aca="false">IF(ISNUMBER($E$7),($E$7-G38)/G38,"n/d")</f>
        <v>0.111555555555556</v>
      </c>
      <c r="I38" s="11" t="s">
        <v>130</v>
      </c>
    </row>
    <row r="40" customFormat="false" ht="15" hidden="false" customHeight="true" outlineLevel="0" collapsed="false">
      <c r="A40" s="4" t="s">
        <v>131</v>
      </c>
      <c r="B40" s="4"/>
      <c r="C40" s="4"/>
      <c r="D40" s="4"/>
      <c r="E40" s="4"/>
      <c r="F40" s="4"/>
      <c r="G40" s="4"/>
      <c r="H40" s="4"/>
      <c r="I40" s="4"/>
    </row>
    <row r="41" customFormat="false" ht="30" hidden="false" customHeight="true" outlineLevel="0" collapsed="false">
      <c r="A41" s="5" t="s">
        <v>132</v>
      </c>
      <c r="B41" s="5" t="s">
        <v>133</v>
      </c>
      <c r="C41" s="5"/>
      <c r="D41" s="5"/>
      <c r="E41" s="5" t="s">
        <v>134</v>
      </c>
      <c r="F41" s="5"/>
      <c r="G41" s="5"/>
      <c r="H41" s="5" t="s">
        <v>135</v>
      </c>
      <c r="I41" s="5"/>
    </row>
    <row r="42" customFormat="false" ht="30" hidden="false" customHeight="true" outlineLevel="0" collapsed="false">
      <c r="A42" s="6" t="s">
        <v>136</v>
      </c>
      <c r="B42" s="33" t="str">
        <f aca="false">'16_Fase_Cascada'!B28</f>
        <v>SIN DATOS SUFICIENTES</v>
      </c>
      <c r="C42" s="33"/>
      <c r="D42" s="33"/>
      <c r="E42" s="13" t="str">
        <f aca="false">'16_Fase_Cascada'!B29</f>
        <v>Instala y refresca qBase5m (hoja 9).</v>
      </c>
      <c r="F42" s="13"/>
      <c r="G42" s="13"/>
      <c r="H42" s="11" t="s">
        <v>137</v>
      </c>
      <c r="I42" s="34"/>
    </row>
    <row r="43" customFormat="false" ht="19.5" hidden="false" customHeight="true" outlineLevel="0" collapsed="false">
      <c r="A43" s="6" t="s">
        <v>138</v>
      </c>
      <c r="B43" s="33" t="str">
        <f aca="false">'16_Fase_Cascada'!C12</f>
        <v>n/d</v>
      </c>
      <c r="C43" s="33"/>
      <c r="D43" s="33"/>
      <c r="E43" s="13" t="str">
        <f aca="false">"4h: "&amp;'16_Fase_Cascada'!D12</f>
        <v>4h: n/d</v>
      </c>
      <c r="F43" s="13"/>
      <c r="G43" s="13"/>
      <c r="H43" s="11" t="s">
        <v>137</v>
      </c>
      <c r="I43" s="34"/>
    </row>
    <row r="44" customFormat="false" ht="19.5" hidden="false" customHeight="true" outlineLevel="0" collapsed="false">
      <c r="A44" s="6" t="s">
        <v>139</v>
      </c>
      <c r="B44" s="35" t="str">
        <f aca="false">'16_Fase_Cascada'!B14</f>
        <v>n/d</v>
      </c>
      <c r="C44" s="35"/>
      <c r="D44" s="35"/>
      <c r="E44" s="13" t="str">
        <f aca="false">"Umbral de limpieza: 2.5%"</f>
        <v>Umbral de limpieza: 2.5%</v>
      </c>
      <c r="F44" s="13"/>
      <c r="G44" s="13"/>
      <c r="H44" s="11" t="s">
        <v>137</v>
      </c>
      <c r="I44" s="34"/>
    </row>
    <row r="45" customFormat="false" ht="19.5" hidden="false" customHeight="true" outlineLevel="0" collapsed="false">
      <c r="A45" s="6" t="s">
        <v>140</v>
      </c>
      <c r="B45" s="36" t="str">
        <f aca="false">'13_Mapa_Liq'!B32</f>
        <v>n/d</v>
      </c>
      <c r="C45" s="36"/>
      <c r="D45" s="36"/>
      <c r="E45" s="13" t="str">
        <f aca="false">IF(ISNUMBER('13_Mapa_Liq'!B33),"a "&amp;ROUND('13_Mapa_Liq'!B33*100,1)&amp;"% del precio","sin datos")</f>
        <v>sin datos</v>
      </c>
      <c r="F45" s="13"/>
      <c r="G45" s="13"/>
      <c r="H45" s="11" t="s">
        <v>141</v>
      </c>
      <c r="I45" s="34"/>
    </row>
    <row r="46" customFormat="false" ht="19.5" hidden="false" customHeight="true" outlineLevel="0" collapsed="false">
      <c r="A46" s="37" t="s">
        <v>142</v>
      </c>
      <c r="B46" s="36" t="str">
        <f aca="false">'13_Mapa_Liq'!B35</f>
        <v>n/d</v>
      </c>
      <c r="C46" s="36"/>
      <c r="D46" s="36"/>
      <c r="E46" s="13" t="str">
        <f aca="false">IF(ISNUMBER('13_Mapa_Liq'!B36),"a +"&amp;ROUND('13_Mapa_Liq'!B36*100,1)&amp;"% del precio","sin datos")</f>
        <v>sin datos</v>
      </c>
      <c r="F46" s="13"/>
      <c r="G46" s="13"/>
      <c r="H46" s="11" t="s">
        <v>141</v>
      </c>
      <c r="I46" s="34"/>
    </row>
    <row r="47" customFormat="false" ht="19.5" hidden="false" customHeight="true" outlineLevel="0" collapsed="false">
      <c r="A47" s="37" t="s">
        <v>143</v>
      </c>
      <c r="B47" s="38" t="str">
        <f aca="false">'13_Mapa_Liq'!B25</f>
        <v>n/d</v>
      </c>
      <c r="C47" s="38"/>
      <c r="D47" s="38"/>
      <c r="E47" s="13" t="str">
        <f aca="false">'13_Mapa_Liq'!B26</f>
        <v>SIN DATOS</v>
      </c>
      <c r="F47" s="13"/>
      <c r="G47" s="13"/>
      <c r="H47" s="11" t="s">
        <v>141</v>
      </c>
      <c r="I47" s="34"/>
    </row>
    <row r="48" customFormat="false" ht="19.5" hidden="false" customHeight="true" outlineLevel="0" collapsed="false">
      <c r="A48" s="37" t="s">
        <v>144</v>
      </c>
      <c r="B48" s="38" t="str">
        <f aca="false">'13_Mapa_Liq'!B38</f>
        <v>n/d</v>
      </c>
      <c r="C48" s="38"/>
      <c r="D48" s="38"/>
      <c r="E48" s="13" t="str">
        <f aca="false">"&gt;3x = cascada autoalimentable"</f>
        <v>&gt;3x = cascada autoalimentable</v>
      </c>
      <c r="F48" s="13"/>
      <c r="G48" s="13"/>
      <c r="H48" s="11" t="s">
        <v>141</v>
      </c>
      <c r="I48" s="34"/>
    </row>
    <row r="49" customFormat="false" ht="19.5" hidden="false" customHeight="true" outlineLevel="0" collapsed="false">
      <c r="A49" s="37" t="s">
        <v>145</v>
      </c>
      <c r="B49" s="39" t="n">
        <f aca="false">'15_Liq_Reales'!D12+'15_Liq_Reales'!D13</f>
        <v>0</v>
      </c>
      <c r="C49" s="39"/>
      <c r="D49" s="39"/>
      <c r="E49" s="13" t="str">
        <f aca="false">IF(ISNUMBER('15_Liq_Reales'!D18),"Longs: "&amp;ROUND('15_Liq_Reales'!D18*100,0)&amp;"%","sin prints")</f>
        <v>sin prints</v>
      </c>
      <c r="F49" s="13"/>
      <c r="G49" s="13"/>
      <c r="H49" s="11" t="s">
        <v>146</v>
      </c>
      <c r="I49" s="34"/>
    </row>
    <row r="50" customFormat="false" ht="19.5" hidden="false" customHeight="true" outlineLevel="0" collapsed="false">
      <c r="A50" s="37" t="s">
        <v>147</v>
      </c>
      <c r="B50" s="33" t="str">
        <f aca="false">'15_Liq_Reales'!B55</f>
        <v>SIN LIQUIDACIONES REGISTRADAS</v>
      </c>
      <c r="C50" s="33"/>
      <c r="D50" s="33"/>
      <c r="E50" s="13" t="str">
        <f aca="false">"Pico/mediana: "&amp;ROUND('15_Liq_Reales'!B54,1)&amp;"x"</f>
        <v>Pico/mediana: 0x</v>
      </c>
      <c r="F50" s="13"/>
      <c r="G50" s="13"/>
      <c r="H50" s="11" t="s">
        <v>146</v>
      </c>
      <c r="I50" s="34"/>
    </row>
    <row r="51" customFormat="false" ht="19.5" hidden="false" customHeight="true" outlineLevel="0" collapsed="false">
      <c r="A51" s="37" t="s">
        <v>148</v>
      </c>
      <c r="B51" s="36" t="str">
        <f aca="false">'15_Liq_Reales'!D21</f>
        <v>n/d</v>
      </c>
      <c r="C51" s="36"/>
      <c r="D51" s="36"/>
      <c r="E51" s="13" t="str">
        <f aca="false">"Suele convertirse en soporte"</f>
        <v>Suele convertirse en soporte</v>
      </c>
      <c r="F51" s="13"/>
      <c r="G51" s="13"/>
      <c r="H51" s="11" t="s">
        <v>146</v>
      </c>
      <c r="I51" s="34"/>
    </row>
    <row r="53" customFormat="false" ht="15" hidden="false" customHeight="false" outlineLevel="0" collapsed="false">
      <c r="A53" s="40" t="s">
        <v>149</v>
      </c>
      <c r="B53" s="40"/>
      <c r="C53" s="40"/>
      <c r="D53" s="40"/>
      <c r="E53" s="40"/>
      <c r="F53" s="40"/>
      <c r="G53" s="40"/>
      <c r="H53" s="40"/>
      <c r="I53" s="40"/>
    </row>
    <row r="54" customFormat="false" ht="25.5" hidden="false" customHeight="true" outlineLevel="0" collapsed="false">
      <c r="A54" s="37" t="s">
        <v>150</v>
      </c>
      <c r="B54" s="21" t="s">
        <v>151</v>
      </c>
      <c r="C54" s="21"/>
      <c r="D54" s="21"/>
      <c r="E54" s="21"/>
      <c r="F54" s="21"/>
      <c r="G54" s="21"/>
      <c r="H54" s="21"/>
      <c r="I54" s="21"/>
    </row>
    <row r="55" customFormat="false" ht="25.5" hidden="false" customHeight="true" outlineLevel="0" collapsed="false">
      <c r="A55" s="37" t="s">
        <v>152</v>
      </c>
      <c r="B55" s="21" t="s">
        <v>153</v>
      </c>
      <c r="C55" s="21"/>
      <c r="D55" s="21"/>
      <c r="E55" s="21"/>
      <c r="F55" s="21"/>
      <c r="G55" s="21"/>
      <c r="H55" s="21"/>
      <c r="I55" s="21"/>
    </row>
    <row r="56" customFormat="false" ht="25.5" hidden="false" customHeight="true" outlineLevel="0" collapsed="false">
      <c r="A56" s="37" t="s">
        <v>154</v>
      </c>
      <c r="B56" s="21" t="s">
        <v>155</v>
      </c>
      <c r="C56" s="21"/>
      <c r="D56" s="21"/>
      <c r="E56" s="21"/>
      <c r="F56" s="21"/>
      <c r="G56" s="21"/>
      <c r="H56" s="21"/>
      <c r="I56" s="21"/>
    </row>
    <row r="57" customFormat="false" ht="25.5" hidden="false" customHeight="true" outlineLevel="0" collapsed="false">
      <c r="A57" s="37" t="s">
        <v>156</v>
      </c>
      <c r="B57" s="21" t="s">
        <v>157</v>
      </c>
      <c r="C57" s="21"/>
      <c r="D57" s="21"/>
      <c r="E57" s="21"/>
      <c r="F57" s="21"/>
      <c r="G57" s="21"/>
      <c r="H57" s="21"/>
      <c r="I57" s="21"/>
    </row>
    <row r="58" customFormat="false" ht="25.5" hidden="false" customHeight="true" outlineLevel="0" collapsed="false">
      <c r="A58" s="37" t="s">
        <v>158</v>
      </c>
      <c r="B58" s="21" t="s">
        <v>159</v>
      </c>
      <c r="C58" s="21"/>
      <c r="D58" s="21"/>
      <c r="E58" s="21"/>
      <c r="F58" s="21"/>
      <c r="G58" s="21"/>
      <c r="H58" s="21"/>
      <c r="I58" s="21"/>
    </row>
  </sheetData>
  <mergeCells count="36">
    <mergeCell ref="A1:I1"/>
    <mergeCell ref="A2:I2"/>
    <mergeCell ref="A4:I4"/>
    <mergeCell ref="A15:I15"/>
    <mergeCell ref="B20:E20"/>
    <mergeCell ref="A22:I22"/>
    <mergeCell ref="D29:F29"/>
    <mergeCell ref="G29:H29"/>
    <mergeCell ref="A31:I31"/>
    <mergeCell ref="A40:I40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A53:I53"/>
    <mergeCell ref="B54:I54"/>
    <mergeCell ref="B55:I55"/>
    <mergeCell ref="B56:I56"/>
    <mergeCell ref="B57:I57"/>
    <mergeCell ref="B58:I58"/>
  </mergeCells>
  <conditionalFormatting sqref="D24:D28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C33:C38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74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46"/>
  </cols>
  <sheetData>
    <row r="1" customFormat="false" ht="21.75" hidden="false" customHeight="true" outlineLevel="0" collapsed="false">
      <c r="A1" s="41" t="s">
        <v>160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161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2" t="s">
        <v>162</v>
      </c>
      <c r="B3" s="42"/>
      <c r="C3" s="42"/>
      <c r="D3" s="42"/>
      <c r="E3" s="42"/>
      <c r="F3" s="42"/>
      <c r="G3" s="42"/>
      <c r="H3" s="42"/>
      <c r="I3" s="42"/>
    </row>
    <row r="4" customFormat="false" ht="30" hidden="false" customHeight="true" outlineLevel="0" collapsed="false">
      <c r="A4" s="5" t="s">
        <v>132</v>
      </c>
      <c r="B4" s="5" t="s">
        <v>5</v>
      </c>
      <c r="C4" s="5" t="s">
        <v>163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8</v>
      </c>
      <c r="I4" s="5" t="s">
        <v>168</v>
      </c>
    </row>
    <row r="5" customFormat="false" ht="30" hidden="false" customHeight="true" outlineLevel="0" collapsed="false">
      <c r="A5" s="6" t="s">
        <v>169</v>
      </c>
      <c r="B5" s="11" t="s">
        <v>16</v>
      </c>
      <c r="C5" s="43" t="s">
        <v>170</v>
      </c>
      <c r="D5" s="44" t="s">
        <v>171</v>
      </c>
      <c r="E5" s="45" t="str">
        <f aca="false">IFERROR(webservice(C5),"SIN CONEXION")</f>
        <v>SIN CONEXION</v>
      </c>
      <c r="F5" s="45" t="str">
        <f aca="false">IFERROR(MID(E5,SEARCH(""""&amp;D5&amp;""":",E5)+LEN(D5)+3,32),"n/d")</f>
        <v>n/d</v>
      </c>
      <c r="G5" s="46" t="str">
        <f aca="false">IFERROR(VALUE(SUBSTITUTE(LEFT(SUBSTITUTE(SUBSTITUTE(F5,"""",""),"[",""),MIN(IFERROR(SEARCH(",",SUBSTITUTE(SUBSTITUTE(F5,"""",""),"[","")),99),IFERROR(SEARCH("}",SUBSTITUTE(SUBSTITUTE(F5,"""",""),"[","")),99),IFERROR(SEARCH("]",SUBSTITUTE(SUBSTITUTE(F5,"""",""),"[","")),99))-1),".",MID(1/2,2,1))),"n/d")</f>
        <v>n/d</v>
      </c>
      <c r="H5" s="11" t="s">
        <v>13</v>
      </c>
      <c r="I5" s="13" t="s">
        <v>172</v>
      </c>
    </row>
    <row r="6" customFormat="false" ht="30" hidden="false" customHeight="true" outlineLevel="0" collapsed="false">
      <c r="A6" s="6" t="s">
        <v>173</v>
      </c>
      <c r="B6" s="11" t="s">
        <v>16</v>
      </c>
      <c r="C6" s="43" t="s">
        <v>174</v>
      </c>
      <c r="D6" s="44" t="s">
        <v>171</v>
      </c>
      <c r="E6" s="45" t="str">
        <f aca="false">IFERROR(webservice(C6),"SIN CONEXION")</f>
        <v>SIN CONEXION</v>
      </c>
      <c r="F6" s="45" t="str">
        <f aca="false">IFERROR(MID(E6,SEARCH(""""&amp;D6&amp;""":",E6)+LEN(D6)+3,32),"n/d")</f>
        <v>n/d</v>
      </c>
      <c r="G6" s="46" t="str">
        <f aca="false">IFERROR(VALUE(SUBSTITUTE(LEFT(SUBSTITUTE(SUBSTITUTE(F6,"""",""),"[",""),MIN(IFERROR(SEARCH(",",SUBSTITUTE(SUBSTITUTE(F6,"""",""),"[","")),99),IFERROR(SEARCH("}",SUBSTITUTE(SUBSTITUTE(F6,"""",""),"[","")),99),IFERROR(SEARCH("]",SUBSTITUTE(SUBSTITUTE(F6,"""",""),"[","")),99))-1),".",MID(1/2,2,1))),"n/d")</f>
        <v>n/d</v>
      </c>
      <c r="H6" s="11" t="s">
        <v>13</v>
      </c>
      <c r="I6" s="13" t="s">
        <v>175</v>
      </c>
    </row>
    <row r="7" customFormat="false" ht="30" hidden="false" customHeight="true" outlineLevel="0" collapsed="false">
      <c r="A7" s="6" t="s">
        <v>176</v>
      </c>
      <c r="B7" s="11" t="s">
        <v>16</v>
      </c>
      <c r="C7" s="43" t="s">
        <v>177</v>
      </c>
      <c r="D7" s="44" t="s">
        <v>178</v>
      </c>
      <c r="E7" s="45" t="str">
        <f aca="false">IFERROR(webservice(C7),"SIN CONEXION")</f>
        <v>SIN CONEXION</v>
      </c>
      <c r="F7" s="45" t="str">
        <f aca="false">IFERROR(MID(E7,SEARCH(""""&amp;D7&amp;""":",E7)+LEN(D7)+3,32),"n/d")</f>
        <v>n/d</v>
      </c>
      <c r="G7" s="46" t="str">
        <f aca="false">IFERROR(VALUE(SUBSTITUTE(LEFT(SUBSTITUTE(SUBSTITUTE(F7,"""",""),"[",""),MIN(IFERROR(SEARCH(",",SUBSTITUTE(SUBSTITUTE(F7,"""",""),"[","")),99),IFERROR(SEARCH("}",SUBSTITUTE(SUBSTITUTE(F7,"""",""),"[","")),99),IFERROR(SEARCH("]",SUBSTITUTE(SUBSTITUTE(F7,"""",""),"[","")),99))-1),".",MID(1/2,2,1))),"n/d")</f>
        <v>n/d</v>
      </c>
      <c r="H7" s="11" t="s">
        <v>35</v>
      </c>
      <c r="I7" s="13" t="s">
        <v>179</v>
      </c>
    </row>
    <row r="8" customFormat="false" ht="30" hidden="false" customHeight="true" outlineLevel="0" collapsed="false">
      <c r="A8" s="6" t="s">
        <v>180</v>
      </c>
      <c r="B8" s="11" t="s">
        <v>16</v>
      </c>
      <c r="C8" s="43" t="s">
        <v>177</v>
      </c>
      <c r="D8" s="44" t="s">
        <v>181</v>
      </c>
      <c r="E8" s="45" t="str">
        <f aca="false">IFERROR(webservice(C8),"SIN CONEXION")</f>
        <v>SIN CONEXION</v>
      </c>
      <c r="F8" s="45" t="str">
        <f aca="false">IFERROR(MID(E8,SEARCH(""""&amp;D8&amp;""":",E8)+LEN(D8)+3,32),"n/d")</f>
        <v>n/d</v>
      </c>
      <c r="G8" s="46" t="str">
        <f aca="false">IFERROR(VALUE(SUBSTITUTE(LEFT(SUBSTITUTE(SUBSTITUTE(F8,"""",""),"[",""),MIN(IFERROR(SEARCH(",",SUBSTITUTE(SUBSTITUTE(F8,"""",""),"[","")),99),IFERROR(SEARCH("}",SUBSTITUTE(SUBSTITUTE(F8,"""",""),"[","")),99),IFERROR(SEARCH("]",SUBSTITUTE(SUBSTITUTE(F8,"""",""),"[","")),99))-1),".",MID(1/2,2,1))),"n/d")</f>
        <v>n/d</v>
      </c>
      <c r="H8" s="11" t="s">
        <v>13</v>
      </c>
      <c r="I8" s="13" t="s">
        <v>182</v>
      </c>
    </row>
    <row r="9" customFormat="false" ht="30" hidden="false" customHeight="true" outlineLevel="0" collapsed="false">
      <c r="A9" s="6" t="s">
        <v>183</v>
      </c>
      <c r="B9" s="11" t="s">
        <v>16</v>
      </c>
      <c r="C9" s="43" t="s">
        <v>177</v>
      </c>
      <c r="D9" s="44" t="s">
        <v>184</v>
      </c>
      <c r="E9" s="45" t="str">
        <f aca="false">IFERROR(webservice(C9),"SIN CONEXION")</f>
        <v>SIN CONEXION</v>
      </c>
      <c r="F9" s="45" t="str">
        <f aca="false">IFERROR(MID(E9,SEARCH(""""&amp;D9&amp;""":",E9)+LEN(D9)+3,32),"n/d")</f>
        <v>n/d</v>
      </c>
      <c r="G9" s="46" t="str">
        <f aca="false">IFERROR(VALUE(SUBSTITUTE(LEFT(SUBSTITUTE(SUBSTITUTE(F9,"""",""),"[",""),MIN(IFERROR(SEARCH(",",SUBSTITUTE(SUBSTITUTE(F9,"""",""),"[","")),99),IFERROR(SEARCH("}",SUBSTITUTE(SUBSTITUTE(F9,"""",""),"[","")),99),IFERROR(SEARCH("]",SUBSTITUTE(SUBSTITUTE(F9,"""",""),"[","")),99))-1),".",MID(1/2,2,1))),"n/d")</f>
        <v>n/d</v>
      </c>
      <c r="H9" s="11" t="s">
        <v>13</v>
      </c>
      <c r="I9" s="13" t="s">
        <v>185</v>
      </c>
    </row>
    <row r="10" customFormat="false" ht="30" hidden="false" customHeight="true" outlineLevel="0" collapsed="false">
      <c r="A10" s="6" t="s">
        <v>186</v>
      </c>
      <c r="B10" s="11" t="s">
        <v>16</v>
      </c>
      <c r="C10" s="43" t="s">
        <v>177</v>
      </c>
      <c r="D10" s="44" t="s">
        <v>187</v>
      </c>
      <c r="E10" s="45" t="str">
        <f aca="false">IFERROR(webservice(C10),"SIN CONEXION")</f>
        <v>SIN CONEXION</v>
      </c>
      <c r="F10" s="45" t="str">
        <f aca="false">IFERROR(MID(E10,SEARCH(""""&amp;D10&amp;""":",E10)+LEN(D10)+3,32),"n/d")</f>
        <v>n/d</v>
      </c>
      <c r="G10" s="46" t="str">
        <f aca="false">IFERROR(VALUE(SUBSTITUTE(LEFT(SUBSTITUTE(SUBSTITUTE(F10,"""",""),"[",""),MIN(IFERROR(SEARCH(",",SUBSTITUTE(SUBSTITUTE(F10,"""",""),"[","")),99),IFERROR(SEARCH("}",SUBSTITUTE(SUBSTITUTE(F10,"""",""),"[","")),99),IFERROR(SEARCH("]",SUBSTITUTE(SUBSTITUTE(F10,"""",""),"[","")),99))-1),".",MID(1/2,2,1))),"n/d")</f>
        <v>n/d</v>
      </c>
      <c r="H10" s="11" t="s">
        <v>13</v>
      </c>
      <c r="I10" s="13" t="s">
        <v>188</v>
      </c>
    </row>
    <row r="11" customFormat="false" ht="30" hidden="false" customHeight="true" outlineLevel="0" collapsed="false">
      <c r="A11" s="6" t="s">
        <v>189</v>
      </c>
      <c r="B11" s="11" t="s">
        <v>16</v>
      </c>
      <c r="C11" s="43" t="s">
        <v>190</v>
      </c>
      <c r="D11" s="44" t="s">
        <v>178</v>
      </c>
      <c r="E11" s="45" t="str">
        <f aca="false">IFERROR(webservice(C11),"SIN CONEXION")</f>
        <v>SIN CONEXION</v>
      </c>
      <c r="F11" s="45" t="str">
        <f aca="false">IFERROR(MID(E11,SEARCH(""""&amp;D11&amp;""":",E11)+LEN(D11)+3,32),"n/d")</f>
        <v>n/d</v>
      </c>
      <c r="G11" s="46" t="str">
        <f aca="false">IFERROR(VALUE(SUBSTITUTE(LEFT(SUBSTITUTE(SUBSTITUTE(F11,"""",""),"[",""),MIN(IFERROR(SEARCH(",",SUBSTITUTE(SUBSTITUTE(F11,"""",""),"[","")),99),IFERROR(SEARCH("}",SUBSTITUTE(SUBSTITUTE(F11,"""",""),"[","")),99),IFERROR(SEARCH("]",SUBSTITUTE(SUBSTITUTE(F11,"""",""),"[","")),99))-1),".",MID(1/2,2,1))),"n/d")</f>
        <v>n/d</v>
      </c>
      <c r="H11" s="11" t="s">
        <v>35</v>
      </c>
      <c r="I11" s="13" t="s">
        <v>191</v>
      </c>
    </row>
    <row r="12" customFormat="false" ht="30" hidden="false" customHeight="true" outlineLevel="0" collapsed="false">
      <c r="A12" s="6" t="s">
        <v>192</v>
      </c>
      <c r="B12" s="11" t="s">
        <v>16</v>
      </c>
      <c r="C12" s="43" t="s">
        <v>190</v>
      </c>
      <c r="D12" s="44" t="s">
        <v>181</v>
      </c>
      <c r="E12" s="45" t="str">
        <f aca="false">IFERROR(webservice(C12),"SIN CONEXION")</f>
        <v>SIN CONEXION</v>
      </c>
      <c r="F12" s="45" t="str">
        <f aca="false">IFERROR(MID(E12,SEARCH(""""&amp;D12&amp;""":",E12)+LEN(D12)+3,32),"n/d")</f>
        <v>n/d</v>
      </c>
      <c r="G12" s="46" t="str">
        <f aca="false">IFERROR(VALUE(SUBSTITUTE(LEFT(SUBSTITUTE(SUBSTITUTE(F12,"""",""),"[",""),MIN(IFERROR(SEARCH(",",SUBSTITUTE(SUBSTITUTE(F12,"""",""),"[","")),99),IFERROR(SEARCH("}",SUBSTITUTE(SUBSTITUTE(F12,"""",""),"[","")),99),IFERROR(SEARCH("]",SUBSTITUTE(SUBSTITUTE(F12,"""",""),"[","")),99))-1),".",MID(1/2,2,1))),"n/d")</f>
        <v>n/d</v>
      </c>
      <c r="H12" s="11" t="s">
        <v>13</v>
      </c>
      <c r="I12" s="13" t="s">
        <v>193</v>
      </c>
    </row>
    <row r="13" customFormat="false" ht="30" hidden="false" customHeight="true" outlineLevel="0" collapsed="false">
      <c r="A13" s="6" t="s">
        <v>194</v>
      </c>
      <c r="B13" s="11" t="s">
        <v>195</v>
      </c>
      <c r="C13" s="43" t="s">
        <v>196</v>
      </c>
      <c r="D13" s="44" t="s">
        <v>197</v>
      </c>
      <c r="E13" s="45" t="str">
        <f aca="false">IFERROR(webservice(C13),"SIN CONEXION")</f>
        <v>SIN CONEXION</v>
      </c>
      <c r="F13" s="45" t="str">
        <f aca="false">IFERROR(MID(E13,SEARCH(""""&amp;D13&amp;""":",E13)+LEN(D13)+3,32),"n/d")</f>
        <v>n/d</v>
      </c>
      <c r="G13" s="46" t="str">
        <f aca="false">IFERROR(VALUE(SUBSTITUTE(LEFT(SUBSTITUTE(SUBSTITUTE(F13,"""",""),"[",""),MIN(IFERROR(SEARCH(",",SUBSTITUTE(SUBSTITUTE(F13,"""",""),"[","")),99),IFERROR(SEARCH("}",SUBSTITUTE(SUBSTITUTE(F13,"""",""),"[","")),99),IFERROR(SEARCH("]",SUBSTITUTE(SUBSTITUTE(F13,"""",""),"[","")),99))-1),".",MID(1/2,2,1))),"n/d")</f>
        <v>n/d</v>
      </c>
      <c r="H13" s="11" t="s">
        <v>13</v>
      </c>
      <c r="I13" s="13" t="s">
        <v>198</v>
      </c>
    </row>
    <row r="14" customFormat="false" ht="30" hidden="false" customHeight="true" outlineLevel="0" collapsed="false">
      <c r="A14" s="6" t="s">
        <v>199</v>
      </c>
      <c r="B14" s="11" t="s">
        <v>195</v>
      </c>
      <c r="C14" s="43" t="s">
        <v>200</v>
      </c>
      <c r="D14" s="44" t="s">
        <v>197</v>
      </c>
      <c r="E14" s="45" t="str">
        <f aca="false">IFERROR(webservice(C14),"SIN CONEXION")</f>
        <v>SIN CONEXION</v>
      </c>
      <c r="F14" s="45" t="str">
        <f aca="false">IFERROR(MID(E14,SEARCH(""""&amp;D14&amp;""":",E14)+LEN(D14)+3,32),"n/d")</f>
        <v>n/d</v>
      </c>
      <c r="G14" s="46" t="str">
        <f aca="false">IFERROR(VALUE(SUBSTITUTE(LEFT(SUBSTITUTE(SUBSTITUTE(F14,"""",""),"[",""),MIN(IFERROR(SEARCH(",",SUBSTITUTE(SUBSTITUTE(F14,"""",""),"[","")),99),IFERROR(SEARCH("}",SUBSTITUTE(SUBSTITUTE(F14,"""",""),"[","")),99),IFERROR(SEARCH("]",SUBSTITUTE(SUBSTITUTE(F14,"""",""),"[","")),99))-1),".",MID(1/2,2,1))),"n/d")</f>
        <v>n/d</v>
      </c>
      <c r="H14" s="11" t="s">
        <v>13</v>
      </c>
      <c r="I14" s="13" t="s">
        <v>201</v>
      </c>
    </row>
    <row r="15" customFormat="false" ht="30" hidden="false" customHeight="true" outlineLevel="0" collapsed="false">
      <c r="A15" s="6" t="s">
        <v>202</v>
      </c>
      <c r="B15" s="11" t="s">
        <v>203</v>
      </c>
      <c r="C15" s="43" t="s">
        <v>204</v>
      </c>
      <c r="D15" s="44" t="s">
        <v>205</v>
      </c>
      <c r="E15" s="45" t="str">
        <f aca="false">IFERROR(webservice(C15),"SIN CONEXION")</f>
        <v>SIN CONEXION</v>
      </c>
      <c r="F15" s="45" t="str">
        <f aca="false">IFERROR(MID(E15,SEARCH(""""&amp;D15&amp;""":",E15)+LEN(D15)+3,32),"n/d")</f>
        <v>n/d</v>
      </c>
      <c r="G15" s="46" t="str">
        <f aca="false">IFERROR(VALUE(SUBSTITUTE(LEFT(SUBSTITUTE(SUBSTITUTE(F15,"""",""),"[",""),MIN(IFERROR(SEARCH(",",SUBSTITUTE(SUBSTITUTE(F15,"""",""),"[","")),99),IFERROR(SEARCH("}",SUBSTITUTE(SUBSTITUTE(F15,"""",""),"[","")),99),IFERROR(SEARCH("]",SUBSTITUTE(SUBSTITUTE(F15,"""",""),"[","")),99))-1),".",MID(1/2,2,1))),"n/d")</f>
        <v>n/d</v>
      </c>
      <c r="H15" s="11" t="s">
        <v>13</v>
      </c>
      <c r="I15" s="13" t="s">
        <v>206</v>
      </c>
    </row>
    <row r="16" customFormat="false" ht="30" hidden="false" customHeight="true" outlineLevel="0" collapsed="false">
      <c r="A16" s="6" t="s">
        <v>207</v>
      </c>
      <c r="B16" s="11" t="s">
        <v>208</v>
      </c>
      <c r="C16" s="43" t="s">
        <v>209</v>
      </c>
      <c r="D16" s="44" t="s">
        <v>210</v>
      </c>
      <c r="E16" s="45" t="str">
        <f aca="false">IFERROR(webservice(C16),"SIN CONEXION")</f>
        <v>SIN CONEXION</v>
      </c>
      <c r="F16" s="45" t="str">
        <f aca="false">IFERROR(MID(E16,SEARCH(""""&amp;D16&amp;""":",E16)+LEN(D16)+3,32),"n/d")</f>
        <v>n/d</v>
      </c>
      <c r="G16" s="46" t="str">
        <f aca="false">IFERROR(VALUE(SUBSTITUTE(LEFT(SUBSTITUTE(SUBSTITUTE(F16,"""",""),"[",""),MIN(IFERROR(SEARCH(",",SUBSTITUTE(SUBSTITUTE(F16,"""",""),"[","")),99),IFERROR(SEARCH("}",SUBSTITUTE(SUBSTITUTE(F16,"""",""),"[","")),99),IFERROR(SEARCH("]",SUBSTITUTE(SUBSTITUTE(F16,"""",""),"[","")),99))-1),".",MID(1/2,2,1))),"n/d")</f>
        <v>n/d</v>
      </c>
      <c r="H16" s="11" t="s">
        <v>13</v>
      </c>
      <c r="I16" s="13" t="s">
        <v>211</v>
      </c>
    </row>
    <row r="17" customFormat="false" ht="30" hidden="false" customHeight="true" outlineLevel="0" collapsed="false">
      <c r="A17" s="6" t="s">
        <v>212</v>
      </c>
      <c r="B17" s="11" t="s">
        <v>208</v>
      </c>
      <c r="C17" s="43" t="s">
        <v>213</v>
      </c>
      <c r="D17" s="44" t="s">
        <v>210</v>
      </c>
      <c r="E17" s="45" t="str">
        <f aca="false">IFERROR(webservice(C17),"SIN CONEXION")</f>
        <v>SIN CONEXION</v>
      </c>
      <c r="F17" s="45" t="str">
        <f aca="false">IFERROR(MID(E17,SEARCH(""""&amp;D17&amp;""":",E17)+LEN(D17)+3,32),"n/d")</f>
        <v>n/d</v>
      </c>
      <c r="G17" s="46" t="str">
        <f aca="false">IFERROR(VALUE(SUBSTITUTE(LEFT(SUBSTITUTE(SUBSTITUTE(F17,"""",""),"[",""),MIN(IFERROR(SEARCH(",",SUBSTITUTE(SUBSTITUTE(F17,"""",""),"[","")),99),IFERROR(SEARCH("}",SUBSTITUTE(SUBSTITUTE(F17,"""",""),"[","")),99),IFERROR(SEARCH("]",SUBSTITUTE(SUBSTITUTE(F17,"""",""),"[","")),99))-1),".",MID(1/2,2,1))),"n/d")</f>
        <v>n/d</v>
      </c>
      <c r="H17" s="11" t="s">
        <v>13</v>
      </c>
      <c r="I17" s="13" t="s">
        <v>214</v>
      </c>
    </row>
    <row r="18" customFormat="false" ht="30" hidden="false" customHeight="true" outlineLevel="0" collapsed="false">
      <c r="A18" s="6" t="s">
        <v>215</v>
      </c>
      <c r="B18" s="11" t="s">
        <v>216</v>
      </c>
      <c r="C18" s="43" t="s">
        <v>217</v>
      </c>
      <c r="D18" s="44" t="s">
        <v>218</v>
      </c>
      <c r="E18" s="45" t="str">
        <f aca="false">IFERROR(webservice(C18),"SIN CONEXION")</f>
        <v>SIN CONEXION</v>
      </c>
      <c r="F18" s="45" t="str">
        <f aca="false">IFERROR(MID(E18,SEARCH(""""&amp;D18&amp;""":",E18)+LEN(D18)+3,32),"n/d")</f>
        <v>n/d</v>
      </c>
      <c r="G18" s="46" t="str">
        <f aca="false">IFERROR(VALUE(SUBSTITUTE(LEFT(SUBSTITUTE(SUBSTITUTE(F18,"""",""),"[",""),MIN(IFERROR(SEARCH(",",SUBSTITUTE(SUBSTITUTE(F18,"""",""),"[","")),99),IFERROR(SEARCH("}",SUBSTITUTE(SUBSTITUTE(F18,"""",""),"[","")),99),IFERROR(SEARCH("]",SUBSTITUTE(SUBSTITUTE(F18,"""",""),"[","")),99))-1),".",MID(1/2,2,1))),"n/d")</f>
        <v>n/d</v>
      </c>
      <c r="H18" s="11" t="s">
        <v>13</v>
      </c>
      <c r="I18" s="13" t="s">
        <v>219</v>
      </c>
    </row>
    <row r="19" customFormat="false" ht="30" hidden="false" customHeight="true" outlineLevel="0" collapsed="false">
      <c r="A19" s="6" t="s">
        <v>220</v>
      </c>
      <c r="B19" s="11" t="s">
        <v>216</v>
      </c>
      <c r="C19" s="43" t="s">
        <v>221</v>
      </c>
      <c r="D19" s="44" t="s">
        <v>222</v>
      </c>
      <c r="E19" s="45" t="str">
        <f aca="false">IFERROR(webservice(C19),"SIN CONEXION")</f>
        <v>SIN CONEXION</v>
      </c>
      <c r="F19" s="45" t="str">
        <f aca="false">IFERROR(MID(E19,SEARCH(""""&amp;D19&amp;""":",E19)+LEN(D19)+3,32),"n/d")</f>
        <v>n/d</v>
      </c>
      <c r="G19" s="46" t="str">
        <f aca="false">IFERROR(VALUE(SUBSTITUTE(LEFT(SUBSTITUTE(SUBSTITUTE(F19,"""",""),"[",""),MIN(IFERROR(SEARCH(",",SUBSTITUTE(SUBSTITUTE(F19,"""",""),"[","")),99),IFERROR(SEARCH("}",SUBSTITUTE(SUBSTITUTE(F19,"""",""),"[","")),99),IFERROR(SEARCH("]",SUBSTITUTE(SUBSTITUTE(F19,"""",""),"[","")),99))-1),".",MID(1/2,2,1))),"n/d")</f>
        <v>n/d</v>
      </c>
      <c r="H19" s="11" t="s">
        <v>35</v>
      </c>
      <c r="I19" s="13" t="s">
        <v>223</v>
      </c>
    </row>
    <row r="20" customFormat="false" ht="30" hidden="false" customHeight="true" outlineLevel="0" collapsed="false">
      <c r="A20" s="6" t="s">
        <v>224</v>
      </c>
      <c r="B20" s="11" t="s">
        <v>225</v>
      </c>
      <c r="C20" s="43" t="s">
        <v>226</v>
      </c>
      <c r="D20" s="44" t="s">
        <v>227</v>
      </c>
      <c r="E20" s="45" t="str">
        <f aca="false">IFERROR(webservice(C20),"SIN CONEXION")</f>
        <v>SIN CONEXION</v>
      </c>
      <c r="F20" s="45" t="str">
        <f aca="false">IFERROR(MID(E20,SEARCH(""""&amp;D20&amp;""":",E20)+LEN(D20)+3,32),"n/d")</f>
        <v>n/d</v>
      </c>
      <c r="G20" s="46" t="str">
        <f aca="false">IFERROR(VALUE(SUBSTITUTE(LEFT(SUBSTITUTE(SUBSTITUTE(F20,"""",""),"[",""),MIN(IFERROR(SEARCH(",",SUBSTITUTE(SUBSTITUTE(F20,"""",""),"[","")),99),IFERROR(SEARCH("}",SUBSTITUTE(SUBSTITUTE(F20,"""",""),"[","")),99),IFERROR(SEARCH("]",SUBSTITUTE(SUBSTITUTE(F20,"""",""),"[","")),99))-1),".",MID(1/2,2,1))),"n/d")</f>
        <v>n/d</v>
      </c>
      <c r="H20" s="11" t="s">
        <v>13</v>
      </c>
      <c r="I20" s="13" t="s">
        <v>228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74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46"/>
  </cols>
  <sheetData>
    <row r="1" customFormat="false" ht="21.75" hidden="false" customHeight="true" outlineLevel="0" collapsed="false">
      <c r="A1" s="41" t="s">
        <v>229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230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2" t="s">
        <v>162</v>
      </c>
      <c r="B3" s="42"/>
      <c r="C3" s="42"/>
      <c r="D3" s="42"/>
      <c r="E3" s="42"/>
      <c r="F3" s="42"/>
      <c r="G3" s="42"/>
      <c r="H3" s="42"/>
      <c r="I3" s="42"/>
    </row>
    <row r="4" customFormat="false" ht="30" hidden="false" customHeight="true" outlineLevel="0" collapsed="false">
      <c r="A4" s="5" t="s">
        <v>132</v>
      </c>
      <c r="B4" s="5" t="s">
        <v>5</v>
      </c>
      <c r="C4" s="5" t="s">
        <v>163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8</v>
      </c>
      <c r="I4" s="5" t="s">
        <v>168</v>
      </c>
    </row>
    <row r="5" customFormat="false" ht="30" hidden="false" customHeight="true" outlineLevel="0" collapsed="false">
      <c r="A5" s="6" t="s">
        <v>231</v>
      </c>
      <c r="B5" s="11" t="s">
        <v>19</v>
      </c>
      <c r="C5" s="43" t="s">
        <v>232</v>
      </c>
      <c r="D5" s="44" t="s">
        <v>233</v>
      </c>
      <c r="E5" s="45" t="str">
        <f aca="false">IFERROR(webservice(C5),"SIN CONEXION")</f>
        <v>SIN CONEXION</v>
      </c>
      <c r="F5" s="45" t="str">
        <f aca="false">IFERROR(MID(E5,SEARCH(""""&amp;D5&amp;""":",E5)+LEN(D5)+3,32),"n/d")</f>
        <v>n/d</v>
      </c>
      <c r="G5" s="46" t="str">
        <f aca="false">IFERROR(VALUE(SUBSTITUTE(LEFT(SUBSTITUTE(SUBSTITUTE(F5,"""",""),"[",""),MIN(IFERROR(SEARCH(",",SUBSTITUTE(SUBSTITUTE(F5,"""",""),"[","")),99),IFERROR(SEARCH("}",SUBSTITUTE(SUBSTITUTE(F5,"""",""),"[","")),99),IFERROR(SEARCH("]",SUBSTITUTE(SUBSTITUTE(F5,"""",""),"[","")),99))-1),".",MID(1/2,2,1))),"n/d")</f>
        <v>n/d</v>
      </c>
      <c r="H5" s="11" t="s">
        <v>234</v>
      </c>
      <c r="I5" s="13" t="s">
        <v>235</v>
      </c>
    </row>
    <row r="6" customFormat="false" ht="30" hidden="false" customHeight="true" outlineLevel="0" collapsed="false">
      <c r="A6" s="6" t="s">
        <v>236</v>
      </c>
      <c r="B6" s="11" t="s">
        <v>19</v>
      </c>
      <c r="C6" s="43" t="s">
        <v>237</v>
      </c>
      <c r="D6" s="44" t="s">
        <v>233</v>
      </c>
      <c r="E6" s="45" t="str">
        <f aca="false">IFERROR(webservice(C6),"SIN CONEXION")</f>
        <v>SIN CONEXION</v>
      </c>
      <c r="F6" s="45" t="str">
        <f aca="false">IFERROR(MID(E6,SEARCH(""""&amp;D6&amp;""":",E6)+LEN(D6)+3,32),"n/d")</f>
        <v>n/d</v>
      </c>
      <c r="G6" s="46" t="str">
        <f aca="false">IFERROR(VALUE(SUBSTITUTE(LEFT(SUBSTITUTE(SUBSTITUTE(F6,"""",""),"[",""),MIN(IFERROR(SEARCH(",",SUBSTITUTE(SUBSTITUTE(F6,"""",""),"[","")),99),IFERROR(SEARCH("}",SUBSTITUTE(SUBSTITUTE(F6,"""",""),"[","")),99),IFERROR(SEARCH("]",SUBSTITUTE(SUBSTITUTE(F6,"""",""),"[","")),99))-1),".",MID(1/2,2,1))),"n/d")</f>
        <v>n/d</v>
      </c>
      <c r="H6" s="11" t="s">
        <v>234</v>
      </c>
      <c r="I6" s="13" t="s">
        <v>238</v>
      </c>
    </row>
    <row r="7" customFormat="false" ht="30" hidden="false" customHeight="true" outlineLevel="0" collapsed="false">
      <c r="A7" s="6" t="s">
        <v>239</v>
      </c>
      <c r="B7" s="11" t="s">
        <v>19</v>
      </c>
      <c r="C7" s="43" t="s">
        <v>240</v>
      </c>
      <c r="D7" s="44" t="s">
        <v>241</v>
      </c>
      <c r="E7" s="45" t="str">
        <f aca="false">IFERROR(webservice(C7),"SIN CONEXION")</f>
        <v>SIN CONEXION</v>
      </c>
      <c r="F7" s="45" t="str">
        <f aca="false">IFERROR(MID(E7,SEARCH(""""&amp;D7&amp;""":",E7)+LEN(D7)+3,32),"n/d")</f>
        <v>n/d</v>
      </c>
      <c r="G7" s="46" t="str">
        <f aca="false">IFERROR(VALUE(SUBSTITUTE(LEFT(SUBSTITUTE(SUBSTITUTE(F7,"""",""),"[",""),MIN(IFERROR(SEARCH(",",SUBSTITUTE(SUBSTITUTE(F7,"""",""),"[","")),99),IFERROR(SEARCH("}",SUBSTITUTE(SUBSTITUTE(F7,"""",""),"[","")),99),IFERROR(SEARCH("]",SUBSTITUTE(SUBSTITUTE(F7,"""",""),"[","")),99))-1),".",MID(1/2,2,1))),"n/d")</f>
        <v>n/d</v>
      </c>
      <c r="H7" s="11" t="s">
        <v>242</v>
      </c>
      <c r="I7" s="13" t="s">
        <v>243</v>
      </c>
    </row>
    <row r="8" customFormat="false" ht="30" hidden="false" customHeight="true" outlineLevel="0" collapsed="false">
      <c r="A8" s="6" t="s">
        <v>244</v>
      </c>
      <c r="B8" s="11" t="s">
        <v>19</v>
      </c>
      <c r="C8" s="43" t="s">
        <v>245</v>
      </c>
      <c r="D8" s="44" t="s">
        <v>241</v>
      </c>
      <c r="E8" s="45" t="str">
        <f aca="false">IFERROR(webservice(C8),"SIN CONEXION")</f>
        <v>SIN CONEXION</v>
      </c>
      <c r="F8" s="45" t="str">
        <f aca="false">IFERROR(MID(E8,SEARCH(""""&amp;D8&amp;""":",E8)+LEN(D8)+3,32),"n/d")</f>
        <v>n/d</v>
      </c>
      <c r="G8" s="46" t="str">
        <f aca="false">IFERROR(VALUE(SUBSTITUTE(LEFT(SUBSTITUTE(SUBSTITUTE(F8,"""",""),"[",""),MIN(IFERROR(SEARCH(",",SUBSTITUTE(SUBSTITUTE(F8,"""",""),"[","")),99),IFERROR(SEARCH("}",SUBSTITUTE(SUBSTITUTE(F8,"""",""),"[","")),99),IFERROR(SEARCH("]",SUBSTITUTE(SUBSTITUTE(F8,"""",""),"[","")),99))-1),".",MID(1/2,2,1))),"n/d")</f>
        <v>n/d</v>
      </c>
      <c r="H8" s="11" t="s">
        <v>246</v>
      </c>
      <c r="I8" s="13" t="s">
        <v>214</v>
      </c>
    </row>
    <row r="9" customFormat="false" ht="30" hidden="false" customHeight="true" outlineLevel="0" collapsed="false">
      <c r="A9" s="6" t="s">
        <v>247</v>
      </c>
      <c r="B9" s="11" t="s">
        <v>19</v>
      </c>
      <c r="C9" s="43" t="s">
        <v>248</v>
      </c>
      <c r="D9" s="44" t="s">
        <v>249</v>
      </c>
      <c r="E9" s="45" t="str">
        <f aca="false">IFERROR(webservice(C9),"SIN CONEXION")</f>
        <v>SIN CONEXION</v>
      </c>
      <c r="F9" s="45" t="str">
        <f aca="false">IFERROR(MID(E9,SEARCH(""""&amp;D9&amp;""":",E9)+LEN(D9)+3,32),"n/d")</f>
        <v>n/d</v>
      </c>
      <c r="G9" s="46" t="str">
        <f aca="false">IFERROR(VALUE(SUBSTITUTE(LEFT(SUBSTITUTE(SUBSTITUTE(F9,"""",""),"[",""),MIN(IFERROR(SEARCH(",",SUBSTITUTE(SUBSTITUTE(F9,"""",""),"[","")),99),IFERROR(SEARCH("}",SUBSTITUTE(SUBSTITUTE(F9,"""",""),"[","")),99),IFERROR(SEARCH("]",SUBSTITUTE(SUBSTITUTE(F9,"""",""),"[","")),99))-1),".",MID(1/2,2,1))),"n/d")</f>
        <v>n/d</v>
      </c>
      <c r="H9" s="11" t="s">
        <v>25</v>
      </c>
      <c r="I9" s="13" t="s">
        <v>250</v>
      </c>
    </row>
    <row r="10" customFormat="false" ht="30" hidden="false" customHeight="true" outlineLevel="0" collapsed="false">
      <c r="A10" s="6" t="s">
        <v>251</v>
      </c>
      <c r="B10" s="11" t="s">
        <v>19</v>
      </c>
      <c r="C10" s="43" t="s">
        <v>252</v>
      </c>
      <c r="D10" s="44" t="s">
        <v>249</v>
      </c>
      <c r="E10" s="45" t="str">
        <f aca="false">IFERROR(webservice(C10),"SIN CONEXION")</f>
        <v>SIN CONEXION</v>
      </c>
      <c r="F10" s="45" t="str">
        <f aca="false">IFERROR(MID(E10,SEARCH(""""&amp;D10&amp;""":",E10)+LEN(D10)+3,32),"n/d")</f>
        <v>n/d</v>
      </c>
      <c r="G10" s="46" t="str">
        <f aca="false">IFERROR(VALUE(SUBSTITUTE(LEFT(SUBSTITUTE(SUBSTITUTE(F10,"""",""),"[",""),MIN(IFERROR(SEARCH(",",SUBSTITUTE(SUBSTITUTE(F10,"""",""),"[","")),99),IFERROR(SEARCH("}",SUBSTITUTE(SUBSTITUTE(F10,"""",""),"[","")),99),IFERROR(SEARCH("]",SUBSTITUTE(SUBSTITUTE(F10,"""",""),"[","")),99))-1),".",MID(1/2,2,1))),"n/d")</f>
        <v>n/d</v>
      </c>
      <c r="H10" s="11" t="s">
        <v>25</v>
      </c>
      <c r="I10" s="13" t="s">
        <v>253</v>
      </c>
    </row>
    <row r="11" customFormat="false" ht="30" hidden="false" customHeight="true" outlineLevel="0" collapsed="false">
      <c r="A11" s="6" t="s">
        <v>254</v>
      </c>
      <c r="B11" s="11" t="s">
        <v>19</v>
      </c>
      <c r="C11" s="43" t="s">
        <v>255</v>
      </c>
      <c r="D11" s="44" t="s">
        <v>249</v>
      </c>
      <c r="E11" s="45" t="str">
        <f aca="false">IFERROR(webservice(C11),"SIN CONEXION")</f>
        <v>SIN CONEXION</v>
      </c>
      <c r="F11" s="45" t="str">
        <f aca="false">IFERROR(MID(E11,SEARCH(""""&amp;D11&amp;""":",E11)+LEN(D11)+3,32),"n/d")</f>
        <v>n/d</v>
      </c>
      <c r="G11" s="46" t="str">
        <f aca="false">IFERROR(VALUE(SUBSTITUTE(LEFT(SUBSTITUTE(SUBSTITUTE(F11,"""",""),"[",""),MIN(IFERROR(SEARCH(",",SUBSTITUTE(SUBSTITUTE(F11,"""",""),"[","")),99),IFERROR(SEARCH("}",SUBSTITUTE(SUBSTITUTE(F11,"""",""),"[","")),99),IFERROR(SEARCH("]",SUBSTITUTE(SUBSTITUTE(F11,"""",""),"[","")),99))-1),".",MID(1/2,2,1))),"n/d")</f>
        <v>n/d</v>
      </c>
      <c r="H11" s="11" t="s">
        <v>25</v>
      </c>
      <c r="I11" s="13" t="s">
        <v>256</v>
      </c>
    </row>
    <row r="12" customFormat="false" ht="30" hidden="false" customHeight="true" outlineLevel="0" collapsed="false">
      <c r="A12" s="6" t="s">
        <v>257</v>
      </c>
      <c r="B12" s="11" t="s">
        <v>19</v>
      </c>
      <c r="C12" s="43" t="s">
        <v>258</v>
      </c>
      <c r="D12" s="44" t="s">
        <v>249</v>
      </c>
      <c r="E12" s="45" t="str">
        <f aca="false">IFERROR(webservice(C12),"SIN CONEXION")</f>
        <v>SIN CONEXION</v>
      </c>
      <c r="F12" s="45" t="str">
        <f aca="false">IFERROR(MID(E12,SEARCH(""""&amp;D12&amp;""":",E12)+LEN(D12)+3,32),"n/d")</f>
        <v>n/d</v>
      </c>
      <c r="G12" s="46" t="str">
        <f aca="false">IFERROR(VALUE(SUBSTITUTE(LEFT(SUBSTITUTE(SUBSTITUTE(F12,"""",""),"[",""),MIN(IFERROR(SEARCH(",",SUBSTITUTE(SUBSTITUTE(F12,"""",""),"[","")),99),IFERROR(SEARCH("}",SUBSTITUTE(SUBSTITUTE(F12,"""",""),"[","")),99),IFERROR(SEARCH("]",SUBSTITUTE(SUBSTITUTE(F12,"""",""),"[","")),99))-1),".",MID(1/2,2,1))),"n/d")</f>
        <v>n/d</v>
      </c>
      <c r="H12" s="11" t="s">
        <v>25</v>
      </c>
      <c r="I12" s="13" t="s">
        <v>214</v>
      </c>
    </row>
    <row r="13" customFormat="false" ht="30" hidden="false" customHeight="true" outlineLevel="0" collapsed="false">
      <c r="A13" s="6" t="s">
        <v>259</v>
      </c>
      <c r="B13" s="11" t="s">
        <v>19</v>
      </c>
      <c r="C13" s="43" t="s">
        <v>260</v>
      </c>
      <c r="D13" s="44" t="s">
        <v>261</v>
      </c>
      <c r="E13" s="45" t="str">
        <f aca="false">IFERROR(webservice(C13),"SIN CONEXION")</f>
        <v>SIN CONEXION</v>
      </c>
      <c r="F13" s="45" t="str">
        <f aca="false">IFERROR(MID(E13,SEARCH(""""&amp;D13&amp;""":",E13)+LEN(D13)+3,32),"n/d")</f>
        <v>n/d</v>
      </c>
      <c r="G13" s="46" t="str">
        <f aca="false">IFERROR(VALUE(SUBSTITUTE(LEFT(SUBSTITUTE(SUBSTITUTE(F13,"""",""),"[",""),MIN(IFERROR(SEARCH(",",SUBSTITUTE(SUBSTITUTE(F13,"""",""),"[","")),99),IFERROR(SEARCH("}",SUBSTITUTE(SUBSTITUTE(F13,"""",""),"[","")),99),IFERROR(SEARCH("]",SUBSTITUTE(SUBSTITUTE(F13,"""",""),"[","")),99))-1),".",MID(1/2,2,1))),"n/d")</f>
        <v>n/d</v>
      </c>
      <c r="H13" s="11" t="s">
        <v>25</v>
      </c>
      <c r="I13" s="13" t="s">
        <v>262</v>
      </c>
    </row>
    <row r="14" customFormat="false" ht="30" hidden="false" customHeight="true" outlineLevel="0" collapsed="false">
      <c r="A14" s="6" t="s">
        <v>263</v>
      </c>
      <c r="B14" s="11" t="s">
        <v>19</v>
      </c>
      <c r="C14" s="43" t="s">
        <v>264</v>
      </c>
      <c r="D14" s="44" t="s">
        <v>265</v>
      </c>
      <c r="E14" s="45" t="str">
        <f aca="false">IFERROR(webservice(C14),"SIN CONEXION")</f>
        <v>SIN CONEXION</v>
      </c>
      <c r="F14" s="45" t="str">
        <f aca="false">IFERROR(MID(E14,SEARCH(""""&amp;D14&amp;""":",E14)+LEN(D14)+3,32),"n/d")</f>
        <v>n/d</v>
      </c>
      <c r="G14" s="46" t="str">
        <f aca="false">IFERROR(VALUE(SUBSTITUTE(LEFT(SUBSTITUTE(SUBSTITUTE(F14,"""",""),"[",""),MIN(IFERROR(SEARCH(",",SUBSTITUTE(SUBSTITUTE(F14,"""",""),"[","")),99),IFERROR(SEARCH("}",SUBSTITUTE(SUBSTITUTE(F14,"""",""),"[","")),99),IFERROR(SEARCH("]",SUBSTITUTE(SUBSTITUTE(F14,"""",""),"[","")),99))-1),".",MID(1/2,2,1))),"n/d")</f>
        <v>n/d</v>
      </c>
      <c r="H14" s="11" t="s">
        <v>13</v>
      </c>
      <c r="I14" s="13" t="s">
        <v>266</v>
      </c>
    </row>
    <row r="15" customFormat="false" ht="30" hidden="false" customHeight="true" outlineLevel="0" collapsed="false">
      <c r="A15" s="6" t="s">
        <v>267</v>
      </c>
      <c r="B15" s="11" t="s">
        <v>268</v>
      </c>
      <c r="C15" s="43" t="s">
        <v>269</v>
      </c>
      <c r="D15" s="44" t="s">
        <v>270</v>
      </c>
      <c r="E15" s="45" t="str">
        <f aca="false">IFERROR(webservice(C15),"SIN CONEXION")</f>
        <v>SIN CONEXION</v>
      </c>
      <c r="F15" s="45" t="str">
        <f aca="false">IFERROR(MID(E15,SEARCH(""""&amp;D15&amp;""":",E15)+LEN(D15)+3,32),"n/d")</f>
        <v>n/d</v>
      </c>
      <c r="G15" s="46" t="str">
        <f aca="false">IFERROR(VALUE(SUBSTITUTE(LEFT(SUBSTITUTE(SUBSTITUTE(F15,"""",""),"[",""),MIN(IFERROR(SEARCH(",",SUBSTITUTE(SUBSTITUTE(F15,"""",""),"[","")),99),IFERROR(SEARCH("}",SUBSTITUTE(SUBSTITUTE(F15,"""",""),"[","")),99),IFERROR(SEARCH("]",SUBSTITUTE(SUBSTITUTE(F15,"""",""),"[","")),99))-1),".",MID(1/2,2,1))),"n/d")</f>
        <v>n/d</v>
      </c>
      <c r="H15" s="11" t="s">
        <v>234</v>
      </c>
      <c r="I15" s="13" t="s">
        <v>271</v>
      </c>
    </row>
    <row r="16" customFormat="false" ht="30" hidden="false" customHeight="true" outlineLevel="0" collapsed="false">
      <c r="A16" s="6" t="s">
        <v>272</v>
      </c>
      <c r="B16" s="11" t="s">
        <v>273</v>
      </c>
      <c r="C16" s="43" t="s">
        <v>274</v>
      </c>
      <c r="D16" s="44" t="s">
        <v>270</v>
      </c>
      <c r="E16" s="45" t="str">
        <f aca="false">IFERROR(webservice(C16),"SIN CONEXION")</f>
        <v>SIN CONEXION</v>
      </c>
      <c r="F16" s="45" t="str">
        <f aca="false">IFERROR(MID(E16,SEARCH(""""&amp;D16&amp;""":",E16)+LEN(D16)+3,32),"n/d")</f>
        <v>n/d</v>
      </c>
      <c r="G16" s="46" t="str">
        <f aca="false">IFERROR(VALUE(SUBSTITUTE(LEFT(SUBSTITUTE(SUBSTITUTE(F16,"""",""),"[",""),MIN(IFERROR(SEARCH(",",SUBSTITUTE(SUBSTITUTE(F16,"""",""),"[","")),99),IFERROR(SEARCH("}",SUBSTITUTE(SUBSTITUTE(F16,"""",""),"[","")),99),IFERROR(SEARCH("]",SUBSTITUTE(SUBSTITUTE(F16,"""",""),"[","")),99))-1),".",MID(1/2,2,1))),"n/d")</f>
        <v>n/d</v>
      </c>
      <c r="H16" s="11" t="s">
        <v>234</v>
      </c>
      <c r="I16" s="13" t="s">
        <v>275</v>
      </c>
    </row>
    <row r="17" customFormat="false" ht="30" hidden="false" customHeight="true" outlineLevel="0" collapsed="false">
      <c r="A17" s="6" t="s">
        <v>276</v>
      </c>
      <c r="B17" s="11" t="s">
        <v>273</v>
      </c>
      <c r="C17" s="43" t="s">
        <v>274</v>
      </c>
      <c r="D17" s="44" t="s">
        <v>241</v>
      </c>
      <c r="E17" s="45" t="str">
        <f aca="false">IFERROR(webservice(C17),"SIN CONEXION")</f>
        <v>SIN CONEXION</v>
      </c>
      <c r="F17" s="45" t="str">
        <f aca="false">IFERROR(MID(E17,SEARCH(""""&amp;D17&amp;""":",E17)+LEN(D17)+3,32),"n/d")</f>
        <v>n/d</v>
      </c>
      <c r="G17" s="46" t="str">
        <f aca="false">IFERROR(VALUE(SUBSTITUTE(LEFT(SUBSTITUTE(SUBSTITUTE(F17,"""",""),"[",""),MIN(IFERROR(SEARCH(",",SUBSTITUTE(SUBSTITUTE(F17,"""",""),"[","")),99),IFERROR(SEARCH("}",SUBSTITUTE(SUBSTITUTE(F17,"""",""),"[","")),99),IFERROR(SEARCH("]",SUBSTITUTE(SUBSTITUTE(F17,"""",""),"[","")),99))-1),".",MID(1/2,2,1))),"n/d")</f>
        <v>n/d</v>
      </c>
      <c r="H17" s="11" t="s">
        <v>242</v>
      </c>
      <c r="I17" s="13" t="s">
        <v>277</v>
      </c>
    </row>
    <row r="18" customFormat="false" ht="30" hidden="false" customHeight="true" outlineLevel="0" collapsed="false">
      <c r="A18" s="6" t="s">
        <v>278</v>
      </c>
      <c r="B18" s="11" t="s">
        <v>19</v>
      </c>
      <c r="C18" s="43" t="s">
        <v>279</v>
      </c>
      <c r="D18" s="44" t="s">
        <v>171</v>
      </c>
      <c r="E18" s="45" t="str">
        <f aca="false">IFERROR(webservice(C18),"SIN CONEXION")</f>
        <v>SIN CONEXION</v>
      </c>
      <c r="F18" s="45" t="str">
        <f aca="false">IFERROR(MID(E18,SEARCH(""""&amp;D18&amp;""":",E18)+LEN(D18)+3,32),"n/d")</f>
        <v>n/d</v>
      </c>
      <c r="G18" s="46" t="str">
        <f aca="false">IFERROR(VALUE(SUBSTITUTE(LEFT(SUBSTITUTE(SUBSTITUTE(F18,"""",""),"[",""),MIN(IFERROR(SEARCH(",",SUBSTITUTE(SUBSTITUTE(F18,"""",""),"[","")),99),IFERROR(SEARCH("}",SUBSTITUTE(SUBSTITUTE(F18,"""",""),"[","")),99),IFERROR(SEARCH("]",SUBSTITUTE(SUBSTITUTE(F18,"""",""),"[","")),99))-1),".",MID(1/2,2,1))),"n/d")</f>
        <v>n/d</v>
      </c>
      <c r="H18" s="11" t="s">
        <v>13</v>
      </c>
      <c r="I18" s="13" t="s">
        <v>280</v>
      </c>
    </row>
    <row r="19" customFormat="false" ht="30" hidden="false" customHeight="true" outlineLevel="0" collapsed="false">
      <c r="A19" s="6" t="s">
        <v>281</v>
      </c>
      <c r="B19" s="11" t="s">
        <v>208</v>
      </c>
      <c r="C19" s="43" t="s">
        <v>282</v>
      </c>
      <c r="D19" s="44" t="s">
        <v>283</v>
      </c>
      <c r="E19" s="45" t="str">
        <f aca="false">IFERROR(webservice(C19),"SIN CONEXION")</f>
        <v>SIN CONEXION</v>
      </c>
      <c r="F19" s="45" t="str">
        <f aca="false">IFERROR(MID(E19,SEARCH(""""&amp;D19&amp;""":",E19)+LEN(D19)+3,32),"n/d")</f>
        <v>n/d</v>
      </c>
      <c r="G19" s="46" t="str">
        <f aca="false">IFERROR(VALUE(SUBSTITUTE(LEFT(SUBSTITUTE(SUBSTITUTE(F19,"""",""),"[",""),MIN(IFERROR(SEARCH(",",SUBSTITUTE(SUBSTITUTE(F19,"""",""),"[","")),99),IFERROR(SEARCH("}",SUBSTITUTE(SUBSTITUTE(F19,"""",""),"[","")),99),IFERROR(SEARCH("]",SUBSTITUTE(SUBSTITUTE(F19,"""",""),"[","")),99))-1),".",MID(1/2,2,1))),"n/d")</f>
        <v>n/d</v>
      </c>
      <c r="H19" s="11" t="s">
        <v>284</v>
      </c>
      <c r="I19" s="13" t="s">
        <v>285</v>
      </c>
    </row>
    <row r="20" customFormat="false" ht="30" hidden="false" customHeight="true" outlineLevel="0" collapsed="false">
      <c r="A20" s="6" t="s">
        <v>286</v>
      </c>
      <c r="B20" s="11" t="s">
        <v>208</v>
      </c>
      <c r="C20" s="43" t="s">
        <v>287</v>
      </c>
      <c r="D20" s="44" t="s">
        <v>288</v>
      </c>
      <c r="E20" s="45" t="str">
        <f aca="false">IFERROR(webservice(C20),"SIN CONEXION")</f>
        <v>SIN CONEXION</v>
      </c>
      <c r="F20" s="45" t="str">
        <f aca="false">IFERROR(MID(E20,SEARCH(""""&amp;D20&amp;""":",E20)+LEN(D20)+3,32),"n/d")</f>
        <v>n/d</v>
      </c>
      <c r="G20" s="46" t="str">
        <f aca="false">IFERROR(VALUE(SUBSTITUTE(LEFT(SUBSTITUTE(SUBSTITUTE(F20,"""",""),"[",""),MIN(IFERROR(SEARCH(",",SUBSTITUTE(SUBSTITUTE(F20,"""",""),"[","")),99),IFERROR(SEARCH("}",SUBSTITUTE(SUBSTITUTE(F20,"""",""),"[","")),99),IFERROR(SEARCH("]",SUBSTITUTE(SUBSTITUTE(F20,"""",""),"[","")),99))-1),".",MID(1/2,2,1))),"n/d")</f>
        <v>n/d</v>
      </c>
      <c r="H20" s="11" t="s">
        <v>289</v>
      </c>
      <c r="I20" s="13" t="s">
        <v>290</v>
      </c>
    </row>
    <row r="21" customFormat="false" ht="30" hidden="false" customHeight="true" outlineLevel="0" collapsed="false">
      <c r="A21" s="6" t="s">
        <v>291</v>
      </c>
      <c r="B21" s="11" t="s">
        <v>208</v>
      </c>
      <c r="C21" s="43" t="s">
        <v>292</v>
      </c>
      <c r="D21" s="44" t="s">
        <v>288</v>
      </c>
      <c r="E21" s="45" t="str">
        <f aca="false">IFERROR(webservice(C21),"SIN CONEXION")</f>
        <v>SIN CONEXION</v>
      </c>
      <c r="F21" s="45" t="str">
        <f aca="false">IFERROR(MID(E21,SEARCH(""""&amp;D21&amp;""":",E21)+LEN(D21)+3,32),"n/d")</f>
        <v>n/d</v>
      </c>
      <c r="G21" s="46" t="str">
        <f aca="false">IFERROR(VALUE(SUBSTITUTE(LEFT(SUBSTITUTE(SUBSTITUTE(F21,"""",""),"[",""),MIN(IFERROR(SEARCH(",",SUBSTITUTE(SUBSTITUTE(F21,"""",""),"[","")),99),IFERROR(SEARCH("}",SUBSTITUTE(SUBSTITUTE(F21,"""",""),"[","")),99),IFERROR(SEARCH("]",SUBSTITUTE(SUBSTITUTE(F21,"""",""),"[","")),99))-1),".",MID(1/2,2,1))),"n/d")</f>
        <v>n/d</v>
      </c>
      <c r="H21" s="11" t="s">
        <v>13</v>
      </c>
      <c r="I21" s="13" t="s">
        <v>293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74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46"/>
  </cols>
  <sheetData>
    <row r="1" customFormat="false" ht="21.75" hidden="false" customHeight="true" outlineLevel="0" collapsed="false">
      <c r="A1" s="41" t="s">
        <v>294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295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2" t="s">
        <v>162</v>
      </c>
      <c r="B3" s="42"/>
      <c r="C3" s="42"/>
      <c r="D3" s="42"/>
      <c r="E3" s="42"/>
      <c r="F3" s="42"/>
      <c r="G3" s="42"/>
      <c r="H3" s="42"/>
      <c r="I3" s="42"/>
    </row>
    <row r="4" customFormat="false" ht="30" hidden="false" customHeight="true" outlineLevel="0" collapsed="false">
      <c r="A4" s="5" t="s">
        <v>132</v>
      </c>
      <c r="B4" s="5" t="s">
        <v>5</v>
      </c>
      <c r="C4" s="5" t="s">
        <v>163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8</v>
      </c>
      <c r="I4" s="5" t="s">
        <v>168</v>
      </c>
    </row>
    <row r="5" customFormat="false" ht="30" hidden="false" customHeight="true" outlineLevel="0" collapsed="false">
      <c r="A5" s="6" t="s">
        <v>296</v>
      </c>
      <c r="B5" s="11" t="s">
        <v>30</v>
      </c>
      <c r="C5" s="43" t="s">
        <v>297</v>
      </c>
      <c r="D5" s="44" t="s">
        <v>298</v>
      </c>
      <c r="E5" s="45" t="str">
        <f aca="false">IFERROR(webservice(C5),"SIN CONEXION")</f>
        <v>SIN CONEXION</v>
      </c>
      <c r="F5" s="45" t="str">
        <f aca="false">IFERROR(MID(E5,SEARCH(""""&amp;D5&amp;""":",E5)+LEN(D5)+3,32),"n/d")</f>
        <v>n/d</v>
      </c>
      <c r="G5" s="46" t="str">
        <f aca="false">IFERROR(VALUE(SUBSTITUTE(LEFT(SUBSTITUTE(SUBSTITUTE(F5,"""",""),"[",""),MIN(IFERROR(SEARCH(",",SUBSTITUTE(SUBSTITUTE(F5,"""",""),"[","")),99),IFERROR(SEARCH("}",SUBSTITUTE(SUBSTITUTE(F5,"""",""),"[","")),99),IFERROR(SEARCH("]",SUBSTITUTE(SUBSTITUTE(F5,"""",""),"[","")),99))-1),".",MID(1/2,2,1))),"n/d")</f>
        <v>n/d</v>
      </c>
      <c r="H5" s="11" t="s">
        <v>31</v>
      </c>
      <c r="I5" s="13" t="s">
        <v>299</v>
      </c>
    </row>
    <row r="6" customFormat="false" ht="30" hidden="false" customHeight="true" outlineLevel="0" collapsed="false">
      <c r="A6" s="6" t="s">
        <v>300</v>
      </c>
      <c r="B6" s="11" t="s">
        <v>30</v>
      </c>
      <c r="C6" s="43" t="s">
        <v>301</v>
      </c>
      <c r="D6" s="44" t="s">
        <v>298</v>
      </c>
      <c r="E6" s="45" t="str">
        <f aca="false">IFERROR(webservice(C6),"SIN CONEXION")</f>
        <v>SIN CONEXION</v>
      </c>
      <c r="F6" s="45" t="str">
        <f aca="false">IFERROR(MID(E6,SEARCH(""""&amp;D6&amp;""":",E6)+LEN(D6)+3,32),"n/d")</f>
        <v>n/d</v>
      </c>
      <c r="G6" s="46" t="str">
        <f aca="false">IFERROR(VALUE(SUBSTITUTE(LEFT(SUBSTITUTE(SUBSTITUTE(F6,"""",""),"[",""),MIN(IFERROR(SEARCH(",",SUBSTITUTE(SUBSTITUTE(F6,"""",""),"[","")),99),IFERROR(SEARCH("}",SUBSTITUTE(SUBSTITUTE(F6,"""",""),"[","")),99),IFERROR(SEARCH("]",SUBSTITUTE(SUBSTITUTE(F6,"""",""),"[","")),99))-1),".",MID(1/2,2,1))),"n/d")</f>
        <v>n/d</v>
      </c>
      <c r="H6" s="11" t="s">
        <v>31</v>
      </c>
      <c r="I6" s="13" t="s">
        <v>302</v>
      </c>
    </row>
    <row r="7" customFormat="false" ht="30" hidden="false" customHeight="true" outlineLevel="0" collapsed="false">
      <c r="A7" s="6" t="s">
        <v>303</v>
      </c>
      <c r="B7" s="11" t="s">
        <v>216</v>
      </c>
      <c r="C7" s="43" t="s">
        <v>221</v>
      </c>
      <c r="D7" s="44" t="s">
        <v>304</v>
      </c>
      <c r="E7" s="45" t="str">
        <f aca="false">IFERROR(webservice(C7),"SIN CONEXION")</f>
        <v>SIN CONEXION</v>
      </c>
      <c r="F7" s="45" t="str">
        <f aca="false">IFERROR(MID(E7,SEARCH(""""&amp;D7&amp;""":",E7)+LEN(D7)+3,32),"n/d")</f>
        <v>n/d</v>
      </c>
      <c r="G7" s="46" t="str">
        <f aca="false">IFERROR(VALUE(SUBSTITUTE(LEFT(SUBSTITUTE(SUBSTITUTE(F7,"""",""),"[",""),MIN(IFERROR(SEARCH(",",SUBSTITUTE(SUBSTITUTE(F7,"""",""),"[","")),99),IFERROR(SEARCH("}",SUBSTITUTE(SUBSTITUTE(F7,"""",""),"[","")),99),IFERROR(SEARCH("]",SUBSTITUTE(SUBSTITUTE(F7,"""",""),"[","")),99))-1),".",MID(1/2,2,1))),"n/d")</f>
        <v>n/d</v>
      </c>
      <c r="H7" s="11" t="s">
        <v>305</v>
      </c>
      <c r="I7" s="13" t="s">
        <v>306</v>
      </c>
    </row>
    <row r="8" customFormat="false" ht="30" hidden="false" customHeight="true" outlineLevel="0" collapsed="false">
      <c r="A8" s="6" t="s">
        <v>307</v>
      </c>
      <c r="B8" s="11" t="s">
        <v>216</v>
      </c>
      <c r="C8" s="43" t="s">
        <v>308</v>
      </c>
      <c r="D8" s="44" t="s">
        <v>309</v>
      </c>
      <c r="E8" s="45" t="str">
        <f aca="false">IFERROR(webservice(C8),"SIN CONEXION")</f>
        <v>SIN CONEXION</v>
      </c>
      <c r="F8" s="45" t="str">
        <f aca="false">IFERROR(MID(E8,SEARCH(""""&amp;D8&amp;""":",E8)+LEN(D8)+3,32),"n/d")</f>
        <v>n/d</v>
      </c>
      <c r="G8" s="46" t="str">
        <f aca="false">IFERROR(VALUE(SUBSTITUTE(LEFT(SUBSTITUTE(SUBSTITUTE(F8,"""",""),"[",""),MIN(IFERROR(SEARCH(",",SUBSTITUTE(SUBSTITUTE(F8,"""",""),"[","")),99),IFERROR(SEARCH("}",SUBSTITUTE(SUBSTITUTE(F8,"""",""),"[","")),99),IFERROR(SEARCH("]",SUBSTITUTE(SUBSTITUTE(F8,"""",""),"[","")),99))-1),".",MID(1/2,2,1))),"n/d")</f>
        <v>n/d</v>
      </c>
      <c r="H8" s="11" t="s">
        <v>310</v>
      </c>
      <c r="I8" s="13" t="s">
        <v>311</v>
      </c>
    </row>
    <row r="9" customFormat="false" ht="30" hidden="false" customHeight="true" outlineLevel="0" collapsed="false">
      <c r="A9" s="6" t="s">
        <v>312</v>
      </c>
      <c r="B9" s="11" t="s">
        <v>313</v>
      </c>
      <c r="C9" s="43" t="s">
        <v>314</v>
      </c>
      <c r="D9" s="44" t="s">
        <v>315</v>
      </c>
      <c r="E9" s="45" t="str">
        <f aca="false">IFERROR(webservice(C9),"SIN CONEXION")</f>
        <v>SIN CONEXION</v>
      </c>
      <c r="F9" s="45" t="str">
        <f aca="false">IFERROR(MID(E9,SEARCH(""""&amp;D9&amp;""":",E9)+LEN(D9)+3,32),"n/d")</f>
        <v>n/d</v>
      </c>
      <c r="G9" s="46" t="str">
        <f aca="false">IFERROR(VALUE(SUBSTITUTE(LEFT(SUBSTITUTE(SUBSTITUTE(F9,"""",""),"[",""),MIN(IFERROR(SEARCH(",",SUBSTITUTE(SUBSTITUTE(F9,"""",""),"[","")),99),IFERROR(SEARCH("}",SUBSTITUTE(SUBSTITUTE(F9,"""",""),"[","")),99),IFERROR(SEARCH("]",SUBSTITUTE(SUBSTITUTE(F9,"""",""),"[","")),99))-1),".",MID(1/2,2,1))),"n/d")</f>
        <v>n/d</v>
      </c>
      <c r="H9" s="11" t="s">
        <v>25</v>
      </c>
      <c r="I9" s="13" t="s">
        <v>316</v>
      </c>
    </row>
    <row r="10" customFormat="false" ht="30" hidden="false" customHeight="true" outlineLevel="0" collapsed="false">
      <c r="A10" s="6" t="s">
        <v>317</v>
      </c>
      <c r="B10" s="11" t="s">
        <v>313</v>
      </c>
      <c r="C10" s="43" t="s">
        <v>318</v>
      </c>
      <c r="D10" s="44" t="s">
        <v>319</v>
      </c>
      <c r="E10" s="45" t="str">
        <f aca="false">IFERROR(webservice(C10),"SIN CONEXION")</f>
        <v>SIN CONEXION</v>
      </c>
      <c r="F10" s="45" t="str">
        <f aca="false">IFERROR(MID(E10,SEARCH(""""&amp;D10&amp;""":",E10)+LEN(D10)+3,32),"n/d")</f>
        <v>n/d</v>
      </c>
      <c r="G10" s="46" t="str">
        <f aca="false">IFERROR(VALUE(SUBSTITUTE(LEFT(SUBSTITUTE(SUBSTITUTE(F10,"""",""),"[",""),MIN(IFERROR(SEARCH(",",SUBSTITUTE(SUBSTITUTE(F10,"""",""),"[","")),99),IFERROR(SEARCH("}",SUBSTITUTE(SUBSTITUTE(F10,"""",""),"[","")),99),IFERROR(SEARCH("]",SUBSTITUTE(SUBSTITUTE(F10,"""",""),"[","")),99))-1),".",MID(1/2,2,1))),"n/d")</f>
        <v>n/d</v>
      </c>
      <c r="H10" s="11" t="s">
        <v>25</v>
      </c>
      <c r="I10" s="13" t="s">
        <v>320</v>
      </c>
    </row>
    <row r="11" customFormat="false" ht="30" hidden="false" customHeight="true" outlineLevel="0" collapsed="false">
      <c r="A11" s="6" t="s">
        <v>321</v>
      </c>
      <c r="B11" s="11" t="s">
        <v>34</v>
      </c>
      <c r="C11" s="43" t="s">
        <v>322</v>
      </c>
      <c r="D11" s="44" t="s">
        <v>323</v>
      </c>
      <c r="E11" s="45" t="str">
        <f aca="false">IFERROR(webservice(C11),"SIN CONEXION")</f>
        <v>SIN CONEXION</v>
      </c>
      <c r="F11" s="45" t="str">
        <f aca="false">IFERROR(MID(E11,SEARCH(""""&amp;D11&amp;""":",E11)+LEN(D11)+3,32),"n/d")</f>
        <v>n/d</v>
      </c>
      <c r="G11" s="46" t="str">
        <f aca="false">IFERROR(VALUE(SUBSTITUTE(LEFT(SUBSTITUTE(SUBSTITUTE(F11,"""",""),"[",""),MIN(IFERROR(SEARCH(",",SUBSTITUTE(SUBSTITUTE(F11,"""",""),"[","")),99),IFERROR(SEARCH("}",SUBSTITUTE(SUBSTITUTE(F11,"""",""),"[","")),99),IFERROR(SEARCH("]",SUBSTITUTE(SUBSTITUTE(F11,"""",""),"[","")),99))-1),".",MID(1/2,2,1))),"n/d")</f>
        <v>n/d</v>
      </c>
      <c r="H11" s="11" t="s">
        <v>35</v>
      </c>
      <c r="I11" s="13" t="s">
        <v>324</v>
      </c>
    </row>
    <row r="12" customFormat="false" ht="30" hidden="false" customHeight="true" outlineLevel="0" collapsed="false">
      <c r="A12" s="6" t="s">
        <v>325</v>
      </c>
      <c r="B12" s="11" t="s">
        <v>34</v>
      </c>
      <c r="C12" s="43" t="s">
        <v>322</v>
      </c>
      <c r="D12" s="44" t="s">
        <v>326</v>
      </c>
      <c r="E12" s="45" t="str">
        <f aca="false">IFERROR(webservice(C12),"SIN CONEXION")</f>
        <v>SIN CONEXION</v>
      </c>
      <c r="F12" s="45" t="str">
        <f aca="false">IFERROR(MID(E12,SEARCH(""""&amp;D12&amp;""":",E12)+LEN(D12)+3,32),"n/d")</f>
        <v>n/d</v>
      </c>
      <c r="G12" s="46" t="str">
        <f aca="false">IFERROR(VALUE(SUBSTITUTE(LEFT(SUBSTITUTE(SUBSTITUTE(F12,"""",""),"[",""),MIN(IFERROR(SEARCH(",",SUBSTITUTE(SUBSTITUTE(F12,"""",""),"[","")),99),IFERROR(SEARCH("}",SUBSTITUTE(SUBSTITUTE(F12,"""",""),"[","")),99),IFERROR(SEARCH("]",SUBSTITUTE(SUBSTITUTE(F12,"""",""),"[","")),99))-1),".",MID(1/2,2,1))),"n/d")</f>
        <v>n/d</v>
      </c>
      <c r="H12" s="11" t="s">
        <v>35</v>
      </c>
      <c r="I12" s="13" t="s">
        <v>327</v>
      </c>
    </row>
    <row r="13" customFormat="false" ht="30" hidden="false" customHeight="true" outlineLevel="0" collapsed="false">
      <c r="A13" s="6" t="s">
        <v>328</v>
      </c>
      <c r="B13" s="11" t="s">
        <v>329</v>
      </c>
      <c r="C13" s="43" t="s">
        <v>330</v>
      </c>
      <c r="D13" s="44" t="s">
        <v>331</v>
      </c>
      <c r="E13" s="45" t="str">
        <f aca="false">IFERROR(webservice(C13),"SIN CONEXION")</f>
        <v>SIN CONEXION</v>
      </c>
      <c r="F13" s="45" t="str">
        <f aca="false">IFERROR(MID(E13,SEARCH(""""&amp;D13&amp;""":",E13)+LEN(D13)+3,32),"n/d")</f>
        <v>n/d</v>
      </c>
      <c r="G13" s="46" t="str">
        <f aca="false">IFERROR(VALUE(SUBSTITUTE(LEFT(SUBSTITUTE(SUBSTITUTE(F13,"""",""),"[",""),MIN(IFERROR(SEARCH(",",SUBSTITUTE(SUBSTITUTE(F13,"""",""),"[","")),99),IFERROR(SEARCH("}",SUBSTITUTE(SUBSTITUTE(F13,"""",""),"[","")),99),IFERROR(SEARCH("]",SUBSTITUTE(SUBSTITUTE(F13,"""",""),"[","")),99))-1),".",MID(1/2,2,1))),"n/d")</f>
        <v>n/d</v>
      </c>
      <c r="H13" s="11" t="s">
        <v>35</v>
      </c>
      <c r="I13" s="13" t="s">
        <v>332</v>
      </c>
    </row>
    <row r="14" customFormat="false" ht="30" hidden="false" customHeight="true" outlineLevel="0" collapsed="false">
      <c r="A14" s="6" t="s">
        <v>333</v>
      </c>
      <c r="B14" s="11" t="s">
        <v>329</v>
      </c>
      <c r="C14" s="43" t="s">
        <v>334</v>
      </c>
      <c r="D14" s="44" t="s">
        <v>335</v>
      </c>
      <c r="E14" s="45" t="str">
        <f aca="false">IFERROR(webservice(C14),"SIN CONEXION")</f>
        <v>SIN CONEXION</v>
      </c>
      <c r="F14" s="45" t="str">
        <f aca="false">IFERROR(MID(E14,SEARCH(""""&amp;D14&amp;""":",E14)+LEN(D14)+3,32),"n/d")</f>
        <v>n/d</v>
      </c>
      <c r="G14" s="46" t="str">
        <f aca="false">IFERROR(VALUE(SUBSTITUTE(LEFT(SUBSTITUTE(SUBSTITUTE(F14,"""",""),"[",""),MIN(IFERROR(SEARCH(",",SUBSTITUTE(SUBSTITUTE(F14,"""",""),"[","")),99),IFERROR(SEARCH("}",SUBSTITUTE(SUBSTITUTE(F14,"""",""),"[","")),99),IFERROR(SEARCH("]",SUBSTITUTE(SUBSTITUTE(F14,"""",""),"[","")),99))-1),".",MID(1/2,2,1))),"n/d")</f>
        <v>n/d</v>
      </c>
      <c r="H14" s="11" t="s">
        <v>336</v>
      </c>
      <c r="I14" s="13" t="s">
        <v>337</v>
      </c>
    </row>
    <row r="15" customFormat="false" ht="30" hidden="false" customHeight="true" outlineLevel="0" collapsed="false">
      <c r="A15" s="6" t="s">
        <v>338</v>
      </c>
      <c r="B15" s="11" t="s">
        <v>339</v>
      </c>
      <c r="C15" s="43" t="s">
        <v>340</v>
      </c>
      <c r="D15" s="44" t="s">
        <v>341</v>
      </c>
      <c r="E15" s="45" t="str">
        <f aca="false">IFERROR(webservice(C15),"SIN CONEXION")</f>
        <v>SIN CONEXION</v>
      </c>
      <c r="F15" s="45" t="str">
        <f aca="false">IFERROR(MID(E15,SEARCH(""""&amp;D15&amp;""":",E15)+LEN(D15)+3,32),"n/d")</f>
        <v>n/d</v>
      </c>
      <c r="G15" s="46" t="str">
        <f aca="false">IFERROR(VALUE(SUBSTITUTE(LEFT(SUBSTITUTE(SUBSTITUTE(F15,"""",""),"[",""),MIN(IFERROR(SEARCH(",",SUBSTITUTE(SUBSTITUTE(F15,"""",""),"[","")),99),IFERROR(SEARCH("}",SUBSTITUTE(SUBSTITUTE(F15,"""",""),"[","")),99),IFERROR(SEARCH("]",SUBSTITUTE(SUBSTITUTE(F15,"""",""),"[","")),99))-1),".",MID(1/2,2,1))),"n/d")</f>
        <v>n/d</v>
      </c>
      <c r="H15" s="11" t="s">
        <v>342</v>
      </c>
      <c r="I15" s="13" t="s">
        <v>343</v>
      </c>
    </row>
    <row r="16" customFormat="false" ht="30" hidden="false" customHeight="true" outlineLevel="0" collapsed="false">
      <c r="A16" s="6" t="s">
        <v>344</v>
      </c>
      <c r="B16" s="11" t="s">
        <v>339</v>
      </c>
      <c r="C16" s="43" t="s">
        <v>345</v>
      </c>
      <c r="D16" s="44" t="s">
        <v>341</v>
      </c>
      <c r="E16" s="45" t="str">
        <f aca="false">IFERROR(webservice(C16),"SIN CONEXION")</f>
        <v>SIN CONEXION</v>
      </c>
      <c r="F16" s="45" t="str">
        <f aca="false">IFERROR(MID(E16,SEARCH(""""&amp;D16&amp;""":",E16)+LEN(D16)+3,32),"n/d")</f>
        <v>n/d</v>
      </c>
      <c r="G16" s="46" t="str">
        <f aca="false">IFERROR(VALUE(SUBSTITUTE(LEFT(SUBSTITUTE(SUBSTITUTE(F16,"""",""),"[",""),MIN(IFERROR(SEARCH(",",SUBSTITUTE(SUBSTITUTE(F16,"""",""),"[","")),99),IFERROR(SEARCH("}",SUBSTITUTE(SUBSTITUTE(F16,"""",""),"[","")),99),IFERROR(SEARCH("]",SUBSTITUTE(SUBSTITUTE(F16,"""",""),"[","")),99))-1),".",MID(1/2,2,1))),"n/d")</f>
        <v>n/d</v>
      </c>
      <c r="H16" s="11" t="s">
        <v>342</v>
      </c>
      <c r="I16" s="13" t="s">
        <v>346</v>
      </c>
    </row>
    <row r="17" customFormat="false" ht="30" hidden="false" customHeight="true" outlineLevel="0" collapsed="false">
      <c r="A17" s="6" t="s">
        <v>347</v>
      </c>
      <c r="B17" s="11" t="s">
        <v>348</v>
      </c>
      <c r="C17" s="43" t="s">
        <v>349</v>
      </c>
      <c r="D17" s="44" t="s">
        <v>350</v>
      </c>
      <c r="E17" s="45" t="str">
        <f aca="false">IFERROR(webservice(C17),"SIN CONEXION")</f>
        <v>SIN CONEXION</v>
      </c>
      <c r="F17" s="45" t="str">
        <f aca="false">IFERROR(MID(E17,SEARCH(""""&amp;D17&amp;""":",E17)+LEN(D17)+3,32),"n/d")</f>
        <v>n/d</v>
      </c>
      <c r="G17" s="46" t="str">
        <f aca="false">IFERROR(VALUE(SUBSTITUTE(LEFT(SUBSTITUTE(SUBSTITUTE(F17,"""",""),"[",""),MIN(IFERROR(SEARCH(",",SUBSTITUTE(SUBSTITUTE(F17,"""",""),"[","")),99),IFERROR(SEARCH("}",SUBSTITUTE(SUBSTITUTE(F17,"""",""),"[","")),99),IFERROR(SEARCH("]",SUBSTITUTE(SUBSTITUTE(F17,"""",""),"[","")),99))-1),".",MID(1/2,2,1))),"n/d")</f>
        <v>n/d</v>
      </c>
      <c r="H17" s="11" t="s">
        <v>305</v>
      </c>
      <c r="I17" s="13" t="s">
        <v>351</v>
      </c>
    </row>
    <row r="18" customFormat="false" ht="30" hidden="false" customHeight="true" outlineLevel="0" collapsed="false">
      <c r="A18" s="6" t="s">
        <v>352</v>
      </c>
      <c r="B18" s="11" t="s">
        <v>348</v>
      </c>
      <c r="C18" s="43" t="s">
        <v>353</v>
      </c>
      <c r="D18" s="44" t="s">
        <v>354</v>
      </c>
      <c r="E18" s="45" t="str">
        <f aca="false">IFERROR(webservice(C18),"SIN CONEXION")</f>
        <v>SIN CONEXION</v>
      </c>
      <c r="F18" s="45" t="str">
        <f aca="false">IFERROR(MID(E18,SEARCH(""""&amp;D18&amp;""":",E18)+LEN(D18)+3,32),"n/d")</f>
        <v>n/d</v>
      </c>
      <c r="G18" s="46" t="str">
        <f aca="false">IFERROR(VALUE(SUBSTITUTE(LEFT(SUBSTITUTE(SUBSTITUTE(F18,"""",""),"[",""),MIN(IFERROR(SEARCH(",",SUBSTITUTE(SUBSTITUTE(F18,"""",""),"[","")),99),IFERROR(SEARCH("}",SUBSTITUTE(SUBSTITUTE(F18,"""",""),"[","")),99),IFERROR(SEARCH("]",SUBSTITUTE(SUBSTITUTE(F18,"""",""),"[","")),99))-1),".",MID(1/2,2,1))),"n/d")</f>
        <v>n/d</v>
      </c>
      <c r="H18" s="11" t="s">
        <v>355</v>
      </c>
      <c r="I18" s="13" t="s">
        <v>356</v>
      </c>
    </row>
    <row r="19" customFormat="false" ht="30" hidden="false" customHeight="true" outlineLevel="0" collapsed="false">
      <c r="A19" s="6" t="s">
        <v>357</v>
      </c>
      <c r="B19" s="11" t="s">
        <v>358</v>
      </c>
      <c r="C19" s="43" t="s">
        <v>359</v>
      </c>
      <c r="D19" s="44" t="s">
        <v>360</v>
      </c>
      <c r="E19" s="45" t="str">
        <f aca="false">IFERROR(webservice(C19),"SIN CONEXION")</f>
        <v>SIN CONEXION</v>
      </c>
      <c r="F19" s="45" t="str">
        <f aca="false">IFERROR(MID(E19,SEARCH(""""&amp;D19&amp;""":",E19)+LEN(D19)+3,32),"n/d")</f>
        <v>n/d</v>
      </c>
      <c r="G19" s="46" t="str">
        <f aca="false">IFERROR(VALUE(SUBSTITUTE(LEFT(SUBSTITUTE(SUBSTITUTE(F19,"""",""),"[",""),MIN(IFERROR(SEARCH(",",SUBSTITUTE(SUBSTITUTE(F19,"""",""),"[","")),99),IFERROR(SEARCH("}",SUBSTITUTE(SUBSTITUTE(F19,"""",""),"[","")),99),IFERROR(SEARCH("]",SUBSTITUTE(SUBSTITUTE(F19,"""",""),"[","")),99))-1),".",MID(1/2,2,1))),"n/d")</f>
        <v>n/d</v>
      </c>
      <c r="H19" s="11" t="s">
        <v>305</v>
      </c>
      <c r="I19" s="13" t="s">
        <v>361</v>
      </c>
    </row>
    <row r="20" customFormat="false" ht="30" hidden="false" customHeight="true" outlineLevel="0" collapsed="false">
      <c r="A20" s="6" t="s">
        <v>362</v>
      </c>
      <c r="B20" s="11" t="s">
        <v>363</v>
      </c>
      <c r="C20" s="43" t="s">
        <v>364</v>
      </c>
      <c r="D20" s="44" t="s">
        <v>365</v>
      </c>
      <c r="E20" s="45" t="str">
        <f aca="false">IFERROR(webservice(C20),"SIN CONEXION")</f>
        <v>SIN CONEXION</v>
      </c>
      <c r="F20" s="45" t="str">
        <f aca="false">IFERROR(MID(E20,SEARCH(""""&amp;D20&amp;""":",E20)+LEN(D20)+3,32),"n/d")</f>
        <v>n/d</v>
      </c>
      <c r="G20" s="46" t="str">
        <f aca="false">IFERROR(VALUE(SUBSTITUTE(LEFT(SUBSTITUTE(SUBSTITUTE(F20,"""",""),"[",""),MIN(IFERROR(SEARCH(",",SUBSTITUTE(SUBSTITUTE(F20,"""",""),"[","")),99),IFERROR(SEARCH("}",SUBSTITUTE(SUBSTITUTE(F20,"""",""),"[","")),99),IFERROR(SEARCH("]",SUBSTITUTE(SUBSTITUTE(F20,"""",""),"[","")),99))-1),".",MID(1/2,2,1))),"n/d")</f>
        <v>n/d</v>
      </c>
      <c r="H20" s="11" t="s">
        <v>366</v>
      </c>
      <c r="I20" s="13" t="s">
        <v>367</v>
      </c>
    </row>
    <row r="21" customFormat="false" ht="30" hidden="false" customHeight="true" outlineLevel="0" collapsed="false">
      <c r="A21" s="6" t="s">
        <v>368</v>
      </c>
      <c r="B21" s="11" t="s">
        <v>363</v>
      </c>
      <c r="C21" s="43" t="s">
        <v>369</v>
      </c>
      <c r="D21" s="44" t="s">
        <v>365</v>
      </c>
      <c r="E21" s="45" t="str">
        <f aca="false">IFERROR(webservice(C21),"SIN CONEXION")</f>
        <v>SIN CONEXION</v>
      </c>
      <c r="F21" s="45" t="str">
        <f aca="false">IFERROR(MID(E21,SEARCH(""""&amp;D21&amp;""":",E21)+LEN(D21)+3,32),"n/d")</f>
        <v>n/d</v>
      </c>
      <c r="G21" s="46" t="str">
        <f aca="false">IFERROR(VALUE(SUBSTITUTE(LEFT(SUBSTITUTE(SUBSTITUTE(F21,"""",""),"[",""),MIN(IFERROR(SEARCH(",",SUBSTITUTE(SUBSTITUTE(F21,"""",""),"[","")),99),IFERROR(SEARCH("}",SUBSTITUTE(SUBSTITUTE(F21,"""",""),"[","")),99),IFERROR(SEARCH("]",SUBSTITUTE(SUBSTITUTE(F21,"""",""),"[","")),99))-1),".",MID(1/2,2,1))),"n/d")</f>
        <v>n/d</v>
      </c>
      <c r="H21" s="11" t="s">
        <v>366</v>
      </c>
      <c r="I21" s="13" t="s">
        <v>370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5" min="4" style="1" width="18"/>
    <col collapsed="false" customWidth="true" hidden="false" outlineLevel="0" max="7" min="6" style="1" width="20"/>
    <col collapsed="false" customWidth="true" hidden="false" outlineLevel="0" max="8" min="8" style="1" width="46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41" t="s">
        <v>371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372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373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374</v>
      </c>
      <c r="B5" s="5"/>
      <c r="C5" s="5" t="s">
        <v>133</v>
      </c>
      <c r="D5" s="5" t="s">
        <v>8</v>
      </c>
      <c r="E5" s="5" t="s">
        <v>65</v>
      </c>
      <c r="F5" s="5" t="s">
        <v>375</v>
      </c>
      <c r="G5" s="5" t="s">
        <v>376</v>
      </c>
      <c r="H5" s="5" t="s">
        <v>71</v>
      </c>
      <c r="I5" s="5"/>
    </row>
    <row r="6" customFormat="false" ht="15" hidden="false" customHeight="true" outlineLevel="0" collapsed="false">
      <c r="A6" s="6" t="s">
        <v>377</v>
      </c>
      <c r="B6" s="14"/>
      <c r="C6" s="32" t="n">
        <v>487680000</v>
      </c>
      <c r="D6" s="11" t="s">
        <v>13</v>
      </c>
      <c r="E6" s="47" t="s">
        <v>378</v>
      </c>
      <c r="F6" s="12" t="s">
        <v>378</v>
      </c>
      <c r="G6" s="11" t="s">
        <v>379</v>
      </c>
      <c r="H6" s="13" t="s">
        <v>380</v>
      </c>
      <c r="I6" s="14"/>
    </row>
    <row r="7" customFormat="false" ht="15" hidden="false" customHeight="true" outlineLevel="0" collapsed="false">
      <c r="A7" s="6" t="s">
        <v>381</v>
      </c>
      <c r="B7" s="14"/>
      <c r="C7" s="32" t="n">
        <v>0</v>
      </c>
      <c r="D7" s="11" t="s">
        <v>13</v>
      </c>
      <c r="E7" s="47" t="n">
        <v>800000000</v>
      </c>
      <c r="F7" s="12" t="str">
        <f aca="false">IF(C7&gt;=E7,"OK","BAJO")</f>
        <v>BAJO</v>
      </c>
      <c r="G7" s="11" t="s">
        <v>378</v>
      </c>
      <c r="H7" s="13" t="s">
        <v>382</v>
      </c>
      <c r="I7" s="14"/>
    </row>
    <row r="8" customFormat="false" ht="15" hidden="false" customHeight="true" outlineLevel="0" collapsed="false">
      <c r="A8" s="6" t="s">
        <v>383</v>
      </c>
      <c r="B8" s="14"/>
      <c r="C8" s="32" t="n">
        <v>97691</v>
      </c>
      <c r="D8" s="11" t="s">
        <v>305</v>
      </c>
      <c r="E8" s="47" t="s">
        <v>378</v>
      </c>
      <c r="F8" s="12" t="s">
        <v>378</v>
      </c>
      <c r="G8" s="11" t="s">
        <v>384</v>
      </c>
      <c r="H8" s="13" t="s">
        <v>385</v>
      </c>
      <c r="I8" s="14"/>
    </row>
    <row r="9" customFormat="false" ht="15" hidden="false" customHeight="true" outlineLevel="0" collapsed="false">
      <c r="A9" s="6" t="s">
        <v>386</v>
      </c>
      <c r="B9" s="14"/>
      <c r="C9" s="32" t="n">
        <v>360000000</v>
      </c>
      <c r="D9" s="11" t="s">
        <v>13</v>
      </c>
      <c r="E9" s="47" t="s">
        <v>378</v>
      </c>
      <c r="F9" s="12" t="s">
        <v>378</v>
      </c>
      <c r="G9" s="11" t="s">
        <v>387</v>
      </c>
      <c r="H9" s="13" t="s">
        <v>388</v>
      </c>
      <c r="I9" s="14"/>
    </row>
    <row r="10" customFormat="false" ht="15" hidden="false" customHeight="true" outlineLevel="0" collapsed="false">
      <c r="A10" s="6" t="s">
        <v>389</v>
      </c>
      <c r="B10" s="14"/>
      <c r="C10" s="32" t="n">
        <v>127680000</v>
      </c>
      <c r="D10" s="11" t="s">
        <v>13</v>
      </c>
      <c r="E10" s="47" t="s">
        <v>378</v>
      </c>
      <c r="F10" s="12" t="s">
        <v>378</v>
      </c>
      <c r="G10" s="11" t="s">
        <v>390</v>
      </c>
      <c r="H10" s="13" t="s">
        <v>391</v>
      </c>
      <c r="I10" s="14"/>
    </row>
    <row r="11" customFormat="false" ht="15" hidden="false" customHeight="true" outlineLevel="0" collapsed="false">
      <c r="A11" s="6" t="s">
        <v>392</v>
      </c>
      <c r="B11" s="14"/>
      <c r="C11" s="32" t="n">
        <v>56480000000</v>
      </c>
      <c r="D11" s="11" t="s">
        <v>13</v>
      </c>
      <c r="E11" s="47" t="s">
        <v>378</v>
      </c>
      <c r="F11" s="12" t="s">
        <v>378</v>
      </c>
      <c r="G11" s="11" t="s">
        <v>393</v>
      </c>
      <c r="H11" s="13" t="s">
        <v>394</v>
      </c>
      <c r="I11" s="14"/>
    </row>
    <row r="12" customFormat="false" ht="21.75" hidden="false" customHeight="true" outlineLevel="0" collapsed="false">
      <c r="A12" s="6" t="s">
        <v>395</v>
      </c>
      <c r="B12" s="14"/>
      <c r="C12" s="32" t="n">
        <v>1</v>
      </c>
      <c r="D12" s="11" t="s">
        <v>396</v>
      </c>
      <c r="E12" s="47" t="n">
        <v>1</v>
      </c>
      <c r="F12" s="12" t="str">
        <f aca="false">IF(C12&gt;=E12,"OK","BAJO")</f>
        <v>OK</v>
      </c>
      <c r="G12" s="11" t="s">
        <v>397</v>
      </c>
      <c r="H12" s="13" t="s">
        <v>398</v>
      </c>
      <c r="I12" s="14"/>
    </row>
    <row r="13" customFormat="false" ht="15" hidden="false" customHeight="true" outlineLevel="0" collapsed="false">
      <c r="A13" s="4" t="s">
        <v>399</v>
      </c>
      <c r="B13" s="4"/>
      <c r="C13" s="4"/>
      <c r="D13" s="4"/>
      <c r="E13" s="4"/>
      <c r="F13" s="4"/>
      <c r="G13" s="4"/>
      <c r="H13" s="4"/>
      <c r="I13" s="4"/>
    </row>
    <row r="14" customFormat="false" ht="30" hidden="false" customHeight="true" outlineLevel="0" collapsed="false">
      <c r="A14" s="5" t="s">
        <v>400</v>
      </c>
      <c r="B14" s="5"/>
      <c r="C14" s="5" t="s">
        <v>133</v>
      </c>
      <c r="D14" s="5" t="s">
        <v>401</v>
      </c>
      <c r="E14" s="5" t="s">
        <v>402</v>
      </c>
      <c r="F14" s="5" t="s">
        <v>403</v>
      </c>
      <c r="G14" s="5" t="s">
        <v>404</v>
      </c>
      <c r="H14" s="5" t="s">
        <v>405</v>
      </c>
      <c r="I14" s="5"/>
    </row>
    <row r="15" customFormat="false" ht="25.5" hidden="false" customHeight="true" outlineLevel="0" collapsed="false">
      <c r="A15" s="6" t="s">
        <v>406</v>
      </c>
      <c r="B15" s="14"/>
      <c r="C15" s="48" t="n">
        <f aca="false">IFERROR(C6/C8,0)</f>
        <v>4992.06682294172</v>
      </c>
      <c r="D15" s="49" t="s">
        <v>407</v>
      </c>
      <c r="E15" s="50" t="s">
        <v>378</v>
      </c>
      <c r="F15" s="27" t="s">
        <v>378</v>
      </c>
      <c r="G15" s="11" t="s">
        <v>408</v>
      </c>
      <c r="H15" s="13" t="s">
        <v>409</v>
      </c>
      <c r="I15" s="14"/>
    </row>
    <row r="16" customFormat="false" ht="25.5" hidden="false" customHeight="true" outlineLevel="0" collapsed="false">
      <c r="A16" s="6" t="s">
        <v>410</v>
      </c>
      <c r="B16" s="14"/>
      <c r="C16" s="51" t="n">
        <f aca="false">IFERROR(C9/C6,0)</f>
        <v>0.738188976377953</v>
      </c>
      <c r="D16" s="49" t="s">
        <v>411</v>
      </c>
      <c r="E16" s="52" t="n">
        <v>0.75</v>
      </c>
      <c r="F16" s="27" t="str">
        <f aca="false">IF(C16&gt;=E16,"CUMPLE","NO CUMPLE")</f>
        <v>NO CUMPLE</v>
      </c>
      <c r="G16" s="11" t="s">
        <v>412</v>
      </c>
      <c r="H16" s="13" t="s">
        <v>413</v>
      </c>
      <c r="I16" s="14"/>
    </row>
    <row r="17" customFormat="false" ht="25.5" hidden="false" customHeight="true" outlineLevel="0" collapsed="false">
      <c r="A17" s="6" t="s">
        <v>414</v>
      </c>
      <c r="B17" s="14"/>
      <c r="C17" s="53" t="n">
        <f aca="false">IFERROR(C6/C11,0)</f>
        <v>0.00863456090651558</v>
      </c>
      <c r="D17" s="49" t="s">
        <v>415</v>
      </c>
      <c r="E17" s="52" t="n">
        <v>0.025</v>
      </c>
      <c r="F17" s="27" t="str">
        <f aca="false">IF(C17&gt;=E17,"CUMPLE","NO CUMPLE")</f>
        <v>NO CUMPLE</v>
      </c>
      <c r="G17" s="11" t="s">
        <v>416</v>
      </c>
      <c r="H17" s="13" t="s">
        <v>417</v>
      </c>
      <c r="I17" s="14"/>
    </row>
    <row r="18" customFormat="false" ht="25.5" hidden="false" customHeight="true" outlineLevel="0" collapsed="false">
      <c r="A18" s="6" t="s">
        <v>418</v>
      </c>
      <c r="B18" s="14"/>
      <c r="C18" s="54" t="n">
        <f aca="false">IFERROR((C6/C11)/0.04,0)</f>
        <v>0.21586402266289</v>
      </c>
      <c r="D18" s="49" t="s">
        <v>419</v>
      </c>
      <c r="E18" s="50" t="n">
        <v>1</v>
      </c>
      <c r="F18" s="27" t="str">
        <f aca="false">IF(C18&gt;=E18,"CUMPLE","NO CUMPLE")</f>
        <v>NO CUMPLE</v>
      </c>
      <c r="G18" s="11" t="s">
        <v>420</v>
      </c>
      <c r="H18" s="13" t="s">
        <v>421</v>
      </c>
      <c r="I18" s="14"/>
    </row>
    <row r="19" customFormat="false" ht="25.5" hidden="false" customHeight="true" outlineLevel="0" collapsed="false">
      <c r="A19" s="6" t="s">
        <v>422</v>
      </c>
      <c r="B19" s="14"/>
      <c r="C19" s="53" t="n">
        <f aca="false">IFERROR(IF(C6&lt;500000000,0.014,IF(C6&lt;1500000000,0.0275,IF(C6&lt;3000000000,0.0475,0.09))),0)</f>
        <v>0.014</v>
      </c>
      <c r="D19" s="49" t="s">
        <v>415</v>
      </c>
      <c r="E19" s="50" t="s">
        <v>378</v>
      </c>
      <c r="F19" s="27" t="s">
        <v>378</v>
      </c>
      <c r="G19" s="11" t="s">
        <v>423</v>
      </c>
      <c r="H19" s="13" t="s">
        <v>424</v>
      </c>
      <c r="I19" s="14"/>
    </row>
    <row r="20" customFormat="false" ht="25.5" hidden="false" customHeight="true" outlineLevel="0" collapsed="false">
      <c r="A20" s="6" t="s">
        <v>425</v>
      </c>
      <c r="B20" s="14"/>
      <c r="C20" s="53" t="n">
        <f aca="false">IFERROR((77712-76909)/76909,0)</f>
        <v>0.0104409106866557</v>
      </c>
      <c r="D20" s="49" t="s">
        <v>415</v>
      </c>
      <c r="E20" s="50" t="s">
        <v>378</v>
      </c>
      <c r="F20" s="27" t="s">
        <v>378</v>
      </c>
      <c r="G20" s="11" t="s">
        <v>426</v>
      </c>
      <c r="H20" s="13" t="s">
        <v>427</v>
      </c>
      <c r="I20" s="14"/>
    </row>
    <row r="21" customFormat="false" ht="25.5" hidden="false" customHeight="true" outlineLevel="0" collapsed="false">
      <c r="A21" s="6" t="s">
        <v>428</v>
      </c>
      <c r="B21" s="14"/>
      <c r="C21" s="55" t="n">
        <f aca="false">IFERROR(C20-C19,0)</f>
        <v>-0.00355908931334434</v>
      </c>
      <c r="D21" s="49" t="s">
        <v>429</v>
      </c>
      <c r="E21" s="50" t="s">
        <v>378</v>
      </c>
      <c r="F21" s="27" t="s">
        <v>378</v>
      </c>
      <c r="G21" s="11" t="s">
        <v>430</v>
      </c>
      <c r="H21" s="13" t="s">
        <v>431</v>
      </c>
      <c r="I21" s="14"/>
    </row>
    <row r="22" customFormat="false" ht="25.5" hidden="false" customHeight="true" outlineLevel="0" collapsed="false">
      <c r="A22" s="6" t="s">
        <v>432</v>
      </c>
      <c r="B22" s="14"/>
      <c r="C22" s="56" t="n">
        <f aca="false">(IF(C7&gt;=800000000,1,0))+(IF(C6/C11&gt;=0.025,1.5,0))+(IF(C9/C6&gt;=0.8,1,0))+(IF('1_Dashboard'!E8&lt;=0.0001,1,0))+(IF(C12&gt;0,0.5,0))+(IF(C6&gt;=1000000000,1,0))</f>
        <v>1.5</v>
      </c>
      <c r="D22" s="49" t="s">
        <v>433</v>
      </c>
      <c r="E22" s="50" t="n">
        <v>4</v>
      </c>
      <c r="F22" s="27" t="str">
        <f aca="false">IF(C22&gt;=E22,"CUMPLE","NO CUMPLE")</f>
        <v>NO CUMPLE</v>
      </c>
      <c r="G22" s="11" t="s">
        <v>434</v>
      </c>
      <c r="H22" s="13" t="s">
        <v>435</v>
      </c>
      <c r="I22" s="14"/>
    </row>
    <row r="24" customFormat="false" ht="15" hidden="false" customHeight="true" outlineLevel="0" collapsed="false">
      <c r="A24" s="4" t="s">
        <v>436</v>
      </c>
      <c r="B24" s="4"/>
      <c r="C24" s="4"/>
      <c r="D24" s="4"/>
      <c r="E24" s="4"/>
      <c r="F24" s="4"/>
      <c r="G24" s="4"/>
      <c r="H24" s="4"/>
      <c r="I24" s="4"/>
    </row>
    <row r="25" customFormat="false" ht="30" hidden="false" customHeight="true" outlineLevel="0" collapsed="false">
      <c r="A25" s="5" t="s">
        <v>437</v>
      </c>
      <c r="B25" s="5"/>
      <c r="C25" s="5" t="s">
        <v>438</v>
      </c>
      <c r="D25" s="5" t="s">
        <v>439</v>
      </c>
      <c r="E25" s="5" t="s">
        <v>440</v>
      </c>
      <c r="F25" s="5" t="s">
        <v>441</v>
      </c>
      <c r="G25" s="5" t="s">
        <v>442</v>
      </c>
      <c r="H25" s="5" t="s">
        <v>10</v>
      </c>
      <c r="I25" s="5"/>
    </row>
    <row r="26" customFormat="false" ht="25.5" hidden="false" customHeight="true" outlineLevel="0" collapsed="false">
      <c r="A26" s="6" t="s">
        <v>443</v>
      </c>
      <c r="B26" s="14"/>
      <c r="C26" s="57" t="n">
        <v>0.014</v>
      </c>
      <c r="D26" s="58" t="n">
        <f aca="false">C26*3</f>
        <v>0.042</v>
      </c>
      <c r="E26" s="58" t="n">
        <f aca="false">C26*5</f>
        <v>0.07</v>
      </c>
      <c r="F26" s="58" t="n">
        <f aca="false">C26*10</f>
        <v>0.14</v>
      </c>
      <c r="G26" s="59" t="s">
        <v>444</v>
      </c>
      <c r="H26" s="13" t="s">
        <v>445</v>
      </c>
      <c r="I26" s="14"/>
    </row>
    <row r="27" customFormat="false" ht="25.5" hidden="false" customHeight="true" outlineLevel="0" collapsed="false">
      <c r="A27" s="6" t="s">
        <v>446</v>
      </c>
      <c r="B27" s="14"/>
      <c r="C27" s="57" t="n">
        <v>0.0275</v>
      </c>
      <c r="D27" s="58" t="n">
        <f aca="false">C27*3</f>
        <v>0.0825</v>
      </c>
      <c r="E27" s="58" t="n">
        <f aca="false">C27*5</f>
        <v>0.1375</v>
      </c>
      <c r="F27" s="58" t="n">
        <f aca="false">C27*10</f>
        <v>0.275</v>
      </c>
      <c r="G27" s="59" t="s">
        <v>447</v>
      </c>
      <c r="H27" s="13" t="s">
        <v>445</v>
      </c>
      <c r="I27" s="14"/>
    </row>
    <row r="28" customFormat="false" ht="25.5" hidden="false" customHeight="true" outlineLevel="0" collapsed="false">
      <c r="A28" s="6" t="s">
        <v>448</v>
      </c>
      <c r="B28" s="14"/>
      <c r="C28" s="57" t="n">
        <v>0.0475</v>
      </c>
      <c r="D28" s="58" t="n">
        <f aca="false">C28*3</f>
        <v>0.1425</v>
      </c>
      <c r="E28" s="58" t="n">
        <f aca="false">C28*5</f>
        <v>0.2375</v>
      </c>
      <c r="F28" s="58" t="n">
        <f aca="false">C28*10</f>
        <v>0.475</v>
      </c>
      <c r="G28" s="59" t="s">
        <v>449</v>
      </c>
      <c r="H28" s="13" t="s">
        <v>445</v>
      </c>
      <c r="I28" s="14"/>
    </row>
    <row r="29" customFormat="false" ht="25.5" hidden="false" customHeight="true" outlineLevel="0" collapsed="false">
      <c r="A29" s="6" t="s">
        <v>450</v>
      </c>
      <c r="B29" s="14"/>
      <c r="C29" s="57" t="n">
        <v>0.09</v>
      </c>
      <c r="D29" s="58" t="n">
        <f aca="false">C29*3</f>
        <v>0.27</v>
      </c>
      <c r="E29" s="58" t="n">
        <f aca="false">C29*5</f>
        <v>0.45</v>
      </c>
      <c r="F29" s="58" t="n">
        <f aca="false">C29*10</f>
        <v>0.9</v>
      </c>
      <c r="G29" s="59" t="s">
        <v>451</v>
      </c>
      <c r="H29" s="13" t="s">
        <v>445</v>
      </c>
      <c r="I29" s="14"/>
    </row>
    <row r="31" customFormat="false" ht="15" hidden="false" customHeight="true" outlineLevel="0" collapsed="false">
      <c r="A31" s="4" t="s">
        <v>452</v>
      </c>
      <c r="B31" s="4"/>
      <c r="C31" s="4"/>
      <c r="D31" s="4"/>
      <c r="E31" s="4"/>
      <c r="F31" s="4"/>
      <c r="G31" s="4"/>
      <c r="H31" s="4"/>
      <c r="I31" s="4"/>
    </row>
    <row r="32" customFormat="false" ht="30" hidden="false" customHeight="true" outlineLevel="0" collapsed="false">
      <c r="A32" s="5" t="s">
        <v>453</v>
      </c>
      <c r="B32" s="5"/>
      <c r="C32" s="5" t="s">
        <v>454</v>
      </c>
      <c r="D32" s="5" t="s">
        <v>455</v>
      </c>
      <c r="E32" s="5" t="s">
        <v>456</v>
      </c>
      <c r="F32" s="5" t="s">
        <v>457</v>
      </c>
      <c r="G32" s="5" t="s">
        <v>5</v>
      </c>
      <c r="H32" s="5" t="s">
        <v>9</v>
      </c>
      <c r="I32" s="5"/>
    </row>
    <row r="33" customFormat="false" ht="15" hidden="false" customHeight="true" outlineLevel="0" collapsed="false">
      <c r="A33" s="6" t="s">
        <v>458</v>
      </c>
      <c r="B33" s="14"/>
      <c r="C33" s="32" t="n">
        <v>691060000</v>
      </c>
      <c r="D33" s="12" t="s">
        <v>459</v>
      </c>
      <c r="E33" s="60" t="n">
        <v>0.85</v>
      </c>
      <c r="F33" s="12" t="s">
        <v>460</v>
      </c>
      <c r="G33" s="11" t="s">
        <v>461</v>
      </c>
      <c r="H33" s="13" t="str">
        <f aca="false">IF(D33="LONGS","Bajista: el lado concurrido se esta rompiendo","Alcista: cobertura forzada")</f>
        <v>Alcista: cobertura forzada</v>
      </c>
      <c r="I33" s="14"/>
    </row>
    <row r="34" customFormat="false" ht="15" hidden="false" customHeight="true" outlineLevel="0" collapsed="false">
      <c r="A34" s="6" t="s">
        <v>462</v>
      </c>
      <c r="B34" s="14"/>
      <c r="C34" s="32" t="n">
        <v>7200000000</v>
      </c>
      <c r="D34" s="12" t="s">
        <v>459</v>
      </c>
      <c r="E34" s="60" t="n">
        <v>0.9</v>
      </c>
      <c r="F34" s="12" t="s">
        <v>463</v>
      </c>
      <c r="G34" s="11" t="s">
        <v>464</v>
      </c>
      <c r="H34" s="13" t="str">
        <f aca="false">IF(D34="LONGS","Bajista: el lado concurrido se esta rompiendo","Alcista: cobertura forzada")</f>
        <v>Alcista: cobertura forzada</v>
      </c>
      <c r="I34" s="14"/>
    </row>
    <row r="35" customFormat="false" ht="15" hidden="false" customHeight="true" outlineLevel="0" collapsed="false">
      <c r="A35" s="6" t="s">
        <v>465</v>
      </c>
      <c r="B35" s="14"/>
      <c r="C35" s="32" t="n">
        <v>6400000000</v>
      </c>
      <c r="D35" s="12" t="s">
        <v>459</v>
      </c>
      <c r="E35" s="60" t="n">
        <v>0.9</v>
      </c>
      <c r="F35" s="12" t="s">
        <v>466</v>
      </c>
      <c r="G35" s="11" t="s">
        <v>467</v>
      </c>
      <c r="H35" s="13" t="str">
        <f aca="false">IF(D35="LONGS","Bajista: el lado concurrido se esta rompiendo","Alcista: cobertura forzada")</f>
        <v>Alcista: cobertura forzada</v>
      </c>
      <c r="I35" s="14"/>
    </row>
    <row r="36" customFormat="false" ht="15" hidden="false" customHeight="true" outlineLevel="0" collapsed="false">
      <c r="A36" s="6" t="s">
        <v>468</v>
      </c>
      <c r="B36" s="14"/>
      <c r="C36" s="32" t="n">
        <v>160470000</v>
      </c>
      <c r="D36" s="12" t="s">
        <v>459</v>
      </c>
      <c r="E36" s="60" t="n">
        <v>1</v>
      </c>
      <c r="F36" s="12" t="s">
        <v>469</v>
      </c>
      <c r="G36" s="11" t="s">
        <v>470</v>
      </c>
      <c r="H36" s="13" t="str">
        <f aca="false">IF(D36="LONGS","Bajista: el lado concurrido se esta rompiendo","Alcista: cobertura forzada")</f>
        <v>Alcista: cobertura forzada</v>
      </c>
      <c r="I36" s="14"/>
    </row>
    <row r="37" customFormat="false" ht="15" hidden="false" customHeight="true" outlineLevel="0" collapsed="false">
      <c r="A37" s="6" t="s">
        <v>471</v>
      </c>
      <c r="B37" s="14"/>
      <c r="C37" s="32" t="n">
        <v>487680000</v>
      </c>
      <c r="D37" s="12" t="s">
        <v>472</v>
      </c>
      <c r="E37" s="60" t="n">
        <v>0.74</v>
      </c>
      <c r="F37" s="12" t="s">
        <v>473</v>
      </c>
      <c r="G37" s="11" t="s">
        <v>474</v>
      </c>
      <c r="H37" s="13" t="str">
        <f aca="false">IF(D37="LONGS","Bajista: el lado concurrido se esta rompiendo","Alcista: cobertura forzada")</f>
        <v>Bajista: el lado concurrido se esta rompiendo</v>
      </c>
      <c r="I37" s="14"/>
    </row>
    <row r="38" customFormat="false" ht="30" hidden="false" customHeight="true" outlineLevel="0" collapsed="false">
      <c r="A38" s="22" t="s">
        <v>475</v>
      </c>
      <c r="C38" s="61" t="str">
        <f aca="false">IF(C17&lt;0.025,"PURGA INCOMPLETA - queda combustible de longs abajo - NO comprar la primera cascada","PURGA COMPLETA - el suelo es defendible")</f>
        <v>PURGA INCOMPLETA - queda combustible de longs abajo - NO comprar la primera cascada</v>
      </c>
      <c r="D38" s="61"/>
      <c r="E38" s="61"/>
      <c r="F38" s="61"/>
      <c r="G38" s="61"/>
      <c r="H38" s="61"/>
    </row>
  </sheetData>
  <mergeCells count="7">
    <mergeCell ref="A1:I1"/>
    <mergeCell ref="A2:I2"/>
    <mergeCell ref="A4:I4"/>
    <mergeCell ref="A13:I13"/>
    <mergeCell ref="A24:I24"/>
    <mergeCell ref="A31:I31"/>
    <mergeCell ref="C38:H38"/>
  </mergeCells>
  <conditionalFormatting sqref="F15:F22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3" topLeftCell="A4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9" min="7" style="0" width="17"/>
    <col collapsed="false" customWidth="true" hidden="false" outlineLevel="0" max="10" min="10" style="0" width="44"/>
    <col collapsed="false" customWidth="true" hidden="false" outlineLevel="0" max="11" min="11" style="0" width="17"/>
  </cols>
  <sheetData>
    <row r="1" customFormat="false" ht="21.75" hidden="false" customHeight="true" outlineLevel="0" collapsed="false">
      <c r="A1" s="41" t="s">
        <v>476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customFormat="false" ht="15" hidden="false" customHeight="false" outlineLevel="0" collapsed="false">
      <c r="A2" s="62" t="s">
        <v>477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4" customFormat="false" ht="15" hidden="false" customHeight="false" outlineLevel="0" collapsed="false">
      <c r="A4" s="40" t="s">
        <v>478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customFormat="false" ht="15" hidden="false" customHeight="true" outlineLevel="0" collapsed="false">
      <c r="A5" s="37" t="s">
        <v>479</v>
      </c>
      <c r="B5" s="63" t="n">
        <f aca="false">IF(COUNT('12_Datos_5m'!$F$5:$F$504)=0,'1_Dashboard'!E6,INDEX('12_Datos_5m'!$F$5:$F$504,COUNT('12_Datos_5m'!$F$5:$F$504)))</f>
        <v>77477</v>
      </c>
      <c r="C5" s="63"/>
      <c r="D5" s="13" t="s">
        <v>480</v>
      </c>
      <c r="E5" s="13"/>
      <c r="F5" s="13"/>
      <c r="G5" s="13"/>
      <c r="H5" s="13"/>
      <c r="I5" s="13"/>
      <c r="J5" s="13"/>
      <c r="K5" s="13"/>
    </row>
    <row r="6" customFormat="false" ht="15" hidden="false" customHeight="true" outlineLevel="0" collapsed="false">
      <c r="A6" s="37" t="s">
        <v>481</v>
      </c>
      <c r="B6" s="57" t="n">
        <v>0.004</v>
      </c>
      <c r="C6" s="57"/>
      <c r="D6" s="13" t="s">
        <v>482</v>
      </c>
      <c r="E6" s="13"/>
      <c r="F6" s="13"/>
      <c r="G6" s="13"/>
      <c r="H6" s="13"/>
      <c r="I6" s="13"/>
      <c r="J6" s="13"/>
      <c r="K6" s="13"/>
    </row>
    <row r="7" customFormat="false" ht="15" hidden="false" customHeight="true" outlineLevel="0" collapsed="false">
      <c r="A7" s="37" t="s">
        <v>483</v>
      </c>
      <c r="B7" s="64" t="n">
        <v>24</v>
      </c>
      <c r="C7" s="64"/>
      <c r="D7" s="13" t="s">
        <v>484</v>
      </c>
      <c r="E7" s="13"/>
      <c r="F7" s="13"/>
      <c r="G7" s="13"/>
      <c r="H7" s="13"/>
      <c r="I7" s="13"/>
      <c r="J7" s="13"/>
      <c r="K7" s="13"/>
    </row>
    <row r="8" customFormat="false" ht="15" hidden="false" customHeight="true" outlineLevel="0" collapsed="false">
      <c r="A8" s="37" t="s">
        <v>485</v>
      </c>
      <c r="B8" s="57" t="n">
        <v>0.005</v>
      </c>
      <c r="C8" s="57"/>
      <c r="D8" s="13" t="s">
        <v>486</v>
      </c>
      <c r="E8" s="13"/>
      <c r="F8" s="13"/>
      <c r="G8" s="13"/>
      <c r="H8" s="13"/>
      <c r="I8" s="13"/>
      <c r="J8" s="13"/>
      <c r="K8" s="13"/>
    </row>
    <row r="9" customFormat="false" ht="15" hidden="false" customHeight="true" outlineLevel="0" collapsed="false">
      <c r="A9" s="37" t="s">
        <v>487</v>
      </c>
      <c r="B9" s="18" t="n">
        <v>0.05</v>
      </c>
      <c r="C9" s="18"/>
      <c r="D9" s="13" t="s">
        <v>488</v>
      </c>
      <c r="E9" s="13"/>
      <c r="F9" s="13"/>
      <c r="G9" s="13"/>
      <c r="H9" s="13"/>
      <c r="I9" s="13"/>
      <c r="J9" s="13"/>
      <c r="K9" s="13"/>
    </row>
    <row r="10" customFormat="false" ht="15" hidden="false" customHeight="true" outlineLevel="0" collapsed="false">
      <c r="A10" s="37" t="s">
        <v>489</v>
      </c>
      <c r="B10" s="60" t="n">
        <v>0.25</v>
      </c>
      <c r="C10" s="60"/>
      <c r="D10" s="13" t="s">
        <v>490</v>
      </c>
      <c r="E10" s="13"/>
      <c r="F10" s="13"/>
      <c r="G10" s="13"/>
      <c r="H10" s="13"/>
      <c r="I10" s="13"/>
      <c r="J10" s="13"/>
      <c r="K10" s="13"/>
    </row>
    <row r="11" customFormat="false" ht="15" hidden="false" customHeight="true" outlineLevel="0" collapsed="false">
      <c r="A11" s="37" t="s">
        <v>491</v>
      </c>
      <c r="B11" s="18" t="n">
        <v>0.02</v>
      </c>
      <c r="C11" s="18"/>
      <c r="D11" s="13" t="s">
        <v>492</v>
      </c>
      <c r="E11" s="13"/>
      <c r="F11" s="13"/>
      <c r="G11" s="13"/>
      <c r="H11" s="13"/>
      <c r="I11" s="13"/>
      <c r="J11" s="13"/>
      <c r="K11" s="13"/>
    </row>
    <row r="13" customFormat="false" ht="15" hidden="false" customHeight="false" outlineLevel="0" collapsed="false">
      <c r="A13" s="40" t="s">
        <v>493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customFormat="false" ht="30" hidden="false" customHeight="true" outlineLevel="0" collapsed="false">
      <c r="A14" s="5" t="s">
        <v>494</v>
      </c>
      <c r="B14" s="5" t="s">
        <v>495</v>
      </c>
      <c r="C14" s="5" t="s">
        <v>68</v>
      </c>
      <c r="D14" s="5" t="s">
        <v>496</v>
      </c>
      <c r="E14" s="5" t="s">
        <v>497</v>
      </c>
      <c r="F14" s="5"/>
      <c r="G14" s="5"/>
      <c r="H14" s="5"/>
      <c r="I14" s="5"/>
      <c r="J14" s="5" t="s">
        <v>10</v>
      </c>
      <c r="K14" s="5"/>
    </row>
    <row r="15" customFormat="false" ht="15" hidden="false" customHeight="false" outlineLevel="0" collapsed="false">
      <c r="A15" s="37" t="s">
        <v>498</v>
      </c>
      <c r="B15" s="65" t="n">
        <v>5</v>
      </c>
      <c r="C15" s="60" t="n">
        <v>0.15</v>
      </c>
      <c r="D15" s="66" t="n">
        <f aca="false">-(1/B15-$B$6)</f>
        <v>-0.196</v>
      </c>
      <c r="E15" s="66" t="n">
        <f aca="false">1/B15-$B$6</f>
        <v>0.196</v>
      </c>
      <c r="F15" s="34"/>
      <c r="G15" s="34"/>
      <c r="H15" s="34"/>
      <c r="I15" s="34"/>
      <c r="J15" s="13" t="s">
        <v>499</v>
      </c>
      <c r="K15" s="34"/>
    </row>
    <row r="16" customFormat="false" ht="15" hidden="false" customHeight="false" outlineLevel="0" collapsed="false">
      <c r="A16" s="37" t="s">
        <v>500</v>
      </c>
      <c r="B16" s="65" t="n">
        <v>10</v>
      </c>
      <c r="C16" s="60" t="n">
        <v>0.3</v>
      </c>
      <c r="D16" s="66" t="n">
        <f aca="false">-(1/B16-$B$6)</f>
        <v>-0.096</v>
      </c>
      <c r="E16" s="66" t="n">
        <f aca="false">1/B16-$B$6</f>
        <v>0.096</v>
      </c>
      <c r="F16" s="34"/>
      <c r="G16" s="34"/>
      <c r="H16" s="34"/>
      <c r="I16" s="34"/>
      <c r="J16" s="13" t="s">
        <v>501</v>
      </c>
      <c r="K16" s="34"/>
    </row>
    <row r="17" customFormat="false" ht="15" hidden="false" customHeight="false" outlineLevel="0" collapsed="false">
      <c r="A17" s="37" t="s">
        <v>502</v>
      </c>
      <c r="B17" s="65" t="n">
        <v>25</v>
      </c>
      <c r="C17" s="60" t="n">
        <v>0.3</v>
      </c>
      <c r="D17" s="66" t="n">
        <f aca="false">-(1/B17-$B$6)</f>
        <v>-0.036</v>
      </c>
      <c r="E17" s="66" t="n">
        <f aca="false">1/B17-$B$6</f>
        <v>0.036</v>
      </c>
      <c r="F17" s="34"/>
      <c r="G17" s="34"/>
      <c r="H17" s="34"/>
      <c r="I17" s="34"/>
      <c r="J17" s="13" t="s">
        <v>503</v>
      </c>
      <c r="K17" s="34"/>
    </row>
    <row r="18" customFormat="false" ht="15" hidden="false" customHeight="false" outlineLevel="0" collapsed="false">
      <c r="A18" s="37" t="s">
        <v>504</v>
      </c>
      <c r="B18" s="65" t="n">
        <v>50</v>
      </c>
      <c r="C18" s="60" t="n">
        <v>0.15</v>
      </c>
      <c r="D18" s="66" t="n">
        <f aca="false">-(1/B18-$B$6)</f>
        <v>-0.016</v>
      </c>
      <c r="E18" s="66" t="n">
        <f aca="false">1/B18-$B$6</f>
        <v>0.016</v>
      </c>
      <c r="F18" s="34"/>
      <c r="G18" s="34"/>
      <c r="H18" s="34"/>
      <c r="I18" s="34"/>
      <c r="J18" s="13" t="s">
        <v>505</v>
      </c>
      <c r="K18" s="34"/>
    </row>
    <row r="19" customFormat="false" ht="15" hidden="false" customHeight="false" outlineLevel="0" collapsed="false">
      <c r="A19" s="37" t="s">
        <v>506</v>
      </c>
      <c r="B19" s="65" t="n">
        <v>100</v>
      </c>
      <c r="C19" s="60" t="n">
        <v>0.1</v>
      </c>
      <c r="D19" s="66" t="n">
        <f aca="false">-(1/B19-$B$6)</f>
        <v>-0.006</v>
      </c>
      <c r="E19" s="66" t="n">
        <f aca="false">1/B19-$B$6</f>
        <v>0.006</v>
      </c>
      <c r="F19" s="34"/>
      <c r="G19" s="34"/>
      <c r="H19" s="34"/>
      <c r="I19" s="34"/>
      <c r="J19" s="13" t="s">
        <v>507</v>
      </c>
      <c r="K19" s="34"/>
    </row>
    <row r="20" customFormat="false" ht="15" hidden="false" customHeight="false" outlineLevel="0" collapsed="false">
      <c r="A20" s="37" t="s">
        <v>508</v>
      </c>
      <c r="C20" s="67" t="n">
        <f aca="false">SUM(C15:C19)</f>
        <v>1</v>
      </c>
      <c r="D20" s="68" t="str">
        <f aca="false">IF(ABS(C20-1)&lt;0.001,"OK","CORRIGE LOS PESOS")</f>
        <v>OK</v>
      </c>
    </row>
    <row r="22" customFormat="false" ht="15" hidden="false" customHeight="false" outlineLevel="0" collapsed="false">
      <c r="A22" s="40" t="s">
        <v>509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customFormat="false" ht="15" hidden="false" customHeight="true" outlineLevel="0" collapsed="false">
      <c r="A23" s="37" t="s">
        <v>510</v>
      </c>
      <c r="B23" s="69" t="n">
        <f aca="false">SUMIFS($G$44:$G$104,$F$44:$F$104,"&gt;="&amp;-$B$9,$F$44:$F$104,"&lt;=0")</f>
        <v>0</v>
      </c>
      <c r="C23" s="69"/>
      <c r="D23" s="13" t="s">
        <v>511</v>
      </c>
      <c r="E23" s="13"/>
      <c r="F23" s="13"/>
      <c r="G23" s="13"/>
      <c r="H23" s="13"/>
      <c r="I23" s="13"/>
      <c r="J23" s="13"/>
      <c r="K23" s="13"/>
    </row>
    <row r="24" customFormat="false" ht="15" hidden="false" customHeight="true" outlineLevel="0" collapsed="false">
      <c r="A24" s="37" t="s">
        <v>512</v>
      </c>
      <c r="B24" s="69" t="n">
        <f aca="false">SUMIFS($H$44:$H$104,$F$44:$F$104,"&lt;="&amp;$B$9,$F$44:$F$104,"&gt;=0")</f>
        <v>0</v>
      </c>
      <c r="C24" s="69"/>
      <c r="D24" s="13" t="s">
        <v>513</v>
      </c>
      <c r="E24" s="13"/>
      <c r="F24" s="13"/>
      <c r="G24" s="13"/>
      <c r="H24" s="13"/>
      <c r="I24" s="13"/>
      <c r="J24" s="13"/>
      <c r="K24" s="13"/>
    </row>
    <row r="25" customFormat="false" ht="15" hidden="false" customHeight="true" outlineLevel="0" collapsed="false">
      <c r="A25" s="37" t="s">
        <v>514</v>
      </c>
      <c r="B25" s="70" t="str">
        <f aca="false">IF(B24=0,IF(B23=0,"n/d",99),B23/B24)</f>
        <v>n/d</v>
      </c>
      <c r="C25" s="70"/>
      <c r="D25" s="13" t="s">
        <v>515</v>
      </c>
      <c r="E25" s="13"/>
      <c r="F25" s="13"/>
      <c r="G25" s="13"/>
      <c r="H25" s="13"/>
      <c r="I25" s="13"/>
      <c r="J25" s="13"/>
      <c r="K25" s="13"/>
    </row>
    <row r="26" customFormat="false" ht="15" hidden="false" customHeight="true" outlineLevel="0" collapsed="false">
      <c r="A26" s="37" t="s">
        <v>516</v>
      </c>
      <c r="B26" s="71" t="str">
        <f aca="false">IF(NOT(ISNUMBER(B25)),"SIN DATOS",IF(B25&gt;1.5,"IMAN BAJISTA",IF(B25&lt;0.67,"IMAN ALCISTA","EQUILIBRADO")))</f>
        <v>SIN DATOS</v>
      </c>
      <c r="C26" s="71"/>
      <c r="D26" s="13" t="s">
        <v>517</v>
      </c>
      <c r="E26" s="13"/>
      <c r="F26" s="13"/>
      <c r="G26" s="13"/>
      <c r="H26" s="13"/>
      <c r="I26" s="13"/>
      <c r="J26" s="13"/>
      <c r="K26" s="13"/>
    </row>
    <row r="27" customFormat="false" ht="15" hidden="false" customHeight="true" outlineLevel="0" collapsed="false">
      <c r="A27" s="37" t="s">
        <v>518</v>
      </c>
      <c r="B27" s="72" t="str">
        <f aca="false">IF(MAX($G$44:$G$104)=0,"n/d",INDEX($C$44:$C$104,MATCH(MAX($G$44:$G$104),$G$44:$G$104,0)))</f>
        <v>n/d</v>
      </c>
      <c r="C27" s="72"/>
      <c r="D27" s="13" t="s">
        <v>519</v>
      </c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37" t="s">
        <v>520</v>
      </c>
      <c r="B28" s="69" t="n">
        <f aca="false">MAX($G$44:$G$104)</f>
        <v>0</v>
      </c>
      <c r="C28" s="69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true" outlineLevel="0" collapsed="false">
      <c r="A29" s="37" t="s">
        <v>521</v>
      </c>
      <c r="B29" s="72" t="str">
        <f aca="false">IF(MAX($H$44:$H$104)=0,"n/d",INDEX($C$44:$C$104,MATCH(MAX($H$44:$H$104),$H$44:$H$104,0)))</f>
        <v>n/d</v>
      </c>
      <c r="C29" s="72"/>
      <c r="D29" s="13" t="s">
        <v>522</v>
      </c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37" t="s">
        <v>523</v>
      </c>
      <c r="B30" s="69" t="n">
        <f aca="false">MAX($H$44:$H$104)</f>
        <v>0</v>
      </c>
      <c r="C30" s="69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true" outlineLevel="0" collapsed="false">
      <c r="A31" s="37" t="s">
        <v>524</v>
      </c>
      <c r="B31" s="73" t="str">
        <f aca="false">IF(MAX($G$44:$G$104)=0,"n/d",_xlfn.MAXIFS($B$44:$B$104,$B$44:$B$104,"&lt;=0",$G$44:$G$104,"&gt;="&amp;$B$10*MAX($G$44:$G$104)))</f>
        <v>n/d</v>
      </c>
      <c r="C31" s="73"/>
      <c r="D31" s="13" t="s">
        <v>525</v>
      </c>
      <c r="E31" s="13"/>
      <c r="F31" s="13"/>
      <c r="G31" s="13"/>
      <c r="H31" s="13"/>
      <c r="I31" s="13"/>
      <c r="J31" s="13"/>
      <c r="K31" s="13"/>
    </row>
    <row r="32" customFormat="false" ht="15" hidden="false" customHeight="true" outlineLevel="0" collapsed="false">
      <c r="A32" s="37" t="s">
        <v>526</v>
      </c>
      <c r="B32" s="72" t="str">
        <f aca="false">IF(ISNUMBER(B31),$B$5*(1+B31*$B$8),"n/d")</f>
        <v>n/d</v>
      </c>
      <c r="C32" s="72"/>
      <c r="D32" s="13" t="s">
        <v>527</v>
      </c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37" t="s">
        <v>528</v>
      </c>
      <c r="B33" s="74" t="str">
        <f aca="false">IF(ISNUMBER(B32),B32/$B$5-1,"n/d")</f>
        <v>n/d</v>
      </c>
      <c r="C33" s="74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true" outlineLevel="0" collapsed="false">
      <c r="A34" s="37" t="s">
        <v>529</v>
      </c>
      <c r="B34" s="73" t="str">
        <f aca="false">IF(MAX($H$44:$H$104)=0,"n/d",_xlfn.MINIFS($B$44:$B$104,$B$44:$B$104,"&gt;=0",$H$44:$H$104,"&gt;="&amp;$B$10*MAX($H$44:$H$104)))</f>
        <v>n/d</v>
      </c>
      <c r="C34" s="73"/>
      <c r="D34" s="13" t="s">
        <v>525</v>
      </c>
      <c r="E34" s="13"/>
      <c r="F34" s="13"/>
      <c r="G34" s="13"/>
      <c r="H34" s="13"/>
      <c r="I34" s="13"/>
      <c r="J34" s="13"/>
      <c r="K34" s="13"/>
    </row>
    <row r="35" customFormat="false" ht="15" hidden="false" customHeight="true" outlineLevel="0" collapsed="false">
      <c r="A35" s="37" t="s">
        <v>530</v>
      </c>
      <c r="B35" s="72" t="str">
        <f aca="false">IF(ISNUMBER(B34),$B$5*(1+B34*$B$8),"n/d")</f>
        <v>n/d</v>
      </c>
      <c r="C35" s="72"/>
      <c r="D35" s="13" t="s">
        <v>531</v>
      </c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37" t="s">
        <v>532</v>
      </c>
      <c r="B36" s="74" t="str">
        <f aca="false">IF(ISNUMBER(B35),B35/$B$5-1,"n/d")</f>
        <v>n/d</v>
      </c>
      <c r="C36" s="74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true" outlineLevel="0" collapsed="false">
      <c r="A37" s="37" t="s">
        <v>533</v>
      </c>
      <c r="B37" s="69" t="n">
        <f aca="false">SUMIFS($G$44:$G$104,$F$44:$F$104,"&gt;="&amp;-$B$11,$F$44:$F$104,"&lt;=0")</f>
        <v>0</v>
      </c>
      <c r="C37" s="69"/>
      <c r="D37" s="13" t="s">
        <v>534</v>
      </c>
      <c r="E37" s="13"/>
      <c r="F37" s="13"/>
      <c r="G37" s="13"/>
      <c r="H37" s="13"/>
      <c r="I37" s="13"/>
      <c r="J37" s="13"/>
      <c r="K37" s="13"/>
    </row>
    <row r="38" customFormat="false" ht="15" hidden="false" customHeight="true" outlineLevel="0" collapsed="false">
      <c r="A38" s="37" t="s">
        <v>535</v>
      </c>
      <c r="B38" s="70" t="str">
        <f aca="false">IF(COUNT('12_Datos_5m'!$G$5:$G$504)=0,"n/d",B37/AVERAGE('12_Datos_5m'!$G$5:$G$504))</f>
        <v>n/d</v>
      </c>
      <c r="C38" s="70"/>
      <c r="D38" s="13" t="s">
        <v>536</v>
      </c>
      <c r="E38" s="13"/>
      <c r="F38" s="13"/>
      <c r="G38" s="13"/>
      <c r="H38" s="13"/>
      <c r="I38" s="13"/>
      <c r="J38" s="13"/>
      <c r="K38" s="13"/>
    </row>
    <row r="39" customFormat="false" ht="15" hidden="false" customHeight="true" outlineLevel="0" collapsed="false">
      <c r="A39" s="37" t="s">
        <v>537</v>
      </c>
      <c r="B39" s="69" t="n">
        <f aca="false">SUM('14_Motor_Liq'!$AH$5:$AH$504)</f>
        <v>0</v>
      </c>
      <c r="C39" s="69"/>
      <c r="D39" s="13" t="s">
        <v>538</v>
      </c>
      <c r="E39" s="13"/>
      <c r="F39" s="13"/>
      <c r="G39" s="13"/>
      <c r="H39" s="13"/>
      <c r="I39" s="13"/>
      <c r="J39" s="13"/>
      <c r="K39" s="13"/>
    </row>
    <row r="40" customFormat="false" ht="15" hidden="false" customHeight="false" outlineLevel="0" collapsed="false">
      <c r="A40" s="37" t="s">
        <v>539</v>
      </c>
      <c r="B40" s="69" t="n">
        <f aca="false">SUM('14_Motor_Liq'!$AI$5:$AI$504)</f>
        <v>0</v>
      </c>
      <c r="C40" s="69"/>
      <c r="D40" s="13"/>
      <c r="E40" s="13"/>
      <c r="F40" s="13"/>
      <c r="G40" s="13"/>
      <c r="H40" s="13"/>
      <c r="I40" s="13"/>
      <c r="J40" s="13"/>
      <c r="K40" s="13"/>
    </row>
    <row r="41" customFormat="false" ht="30" hidden="false" customHeight="true" outlineLevel="0" collapsed="false">
      <c r="A41" s="37" t="s">
        <v>540</v>
      </c>
      <c r="B41" s="61" t="str">
        <f aca="false">IF(B26="SIN DATOS","Instala qBase5m para activar el mapa",B26&amp;" | primer cluster long en "&amp;IF(ISNUMBER(B32),ROUND(B32,0)&amp;" ("&amp;ROUND(B33*100,1)&amp;"%)","n/d")&amp;" | primer cluster short en "&amp;IF(ISNUMBER(B35),ROUND(B35,0)&amp;" (+"&amp;ROUND(B36*100,1)&amp;"%)","n/d")&amp;IF(AND(ISNUMBER(B38),N(B38)&gt;3)," | CASCADA AUTOALIMENTABLE",""))</f>
        <v>Instala qBase5m para activar el mapa</v>
      </c>
      <c r="C41" s="61"/>
      <c r="D41" s="61"/>
      <c r="E41" s="61"/>
      <c r="F41" s="61"/>
      <c r="G41" s="61"/>
      <c r="H41" s="61"/>
      <c r="I41" s="61"/>
      <c r="J41" s="61"/>
      <c r="K41" s="61"/>
    </row>
    <row r="42" customFormat="false" ht="15" hidden="false" customHeight="false" outlineLevel="0" collapsed="false">
      <c r="A42" s="40" t="s">
        <v>541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customFormat="false" ht="30" hidden="false" customHeight="true" outlineLevel="0" collapsed="false">
      <c r="A43" s="5" t="s">
        <v>542</v>
      </c>
      <c r="B43" s="5" t="s">
        <v>543</v>
      </c>
      <c r="C43" s="5" t="s">
        <v>544</v>
      </c>
      <c r="D43" s="5" t="s">
        <v>545</v>
      </c>
      <c r="E43" s="5" t="s">
        <v>546</v>
      </c>
      <c r="F43" s="5" t="s">
        <v>547</v>
      </c>
      <c r="G43" s="5" t="s">
        <v>548</v>
      </c>
      <c r="H43" s="5" t="s">
        <v>549</v>
      </c>
      <c r="I43" s="5" t="s">
        <v>550</v>
      </c>
      <c r="J43" s="5" t="s">
        <v>551</v>
      </c>
      <c r="K43" s="5" t="s">
        <v>552</v>
      </c>
    </row>
    <row r="44" customFormat="false" ht="15" hidden="false" customHeight="false" outlineLevel="0" collapsed="false">
      <c r="A44" s="75" t="str">
        <f aca="false">IF(B44=0,"&lt;&lt; PRECIO ACTUAL",IF(AND(G44&gt;0,G44=MAX($G$44:$G$104)),"CLUSTER LONG MAYOR",IF(AND(H44&gt;0,H44=MAX($H$44:$H$104)),"CLUSTER SHORT MAYOR",IF(AND(ISNUMBER($B$31),B44=$B$31),"primer cluster long",IF(AND(ISNUMBER($B$34),B44=$B$34),"primer cluster short","")))))</f>
        <v/>
      </c>
      <c r="B44" s="76" t="n">
        <v>30</v>
      </c>
      <c r="C44" s="77" t="n">
        <f aca="false">$B$5*(1+B44*$B$8)</f>
        <v>89098.55</v>
      </c>
      <c r="D44" s="78" t="n">
        <f aca="false">$B$5*(1+(B44-0.5)*$B$8)</f>
        <v>88904.8575</v>
      </c>
      <c r="E44" s="78" t="n">
        <f aca="false">$B$5*(1+(B44+0.5)*$B$8)</f>
        <v>89292.2425</v>
      </c>
      <c r="F44" s="79" t="n">
        <f aca="false">B44*$B$8</f>
        <v>0.15</v>
      </c>
      <c r="G44" s="80" t="n">
        <f aca="false">SUMIFS('14_Motor_Liq'!$N$5:$N$504,'14_Motor_Liq'!$M$5:$M$504,"&gt;="&amp;D44,'14_Motor_Liq'!$M$5:$M$504,"&lt;"&amp;E44)+SUMIFS('14_Motor_Liq'!$R$5:$R$504,'14_Motor_Liq'!$Q$5:$Q$504,"&gt;="&amp;D44,'14_Motor_Liq'!$Q$5:$Q$504,"&lt;"&amp;E44)+SUMIFS('14_Motor_Liq'!$V$5:$V$504,'14_Motor_Liq'!$U$5:$U$504,"&gt;="&amp;D44,'14_Motor_Liq'!$U$5:$U$504,"&lt;"&amp;E44)+SUMIFS('14_Motor_Liq'!$Z$5:$Z$504,'14_Motor_Liq'!$Y$5:$Y$504,"&gt;="&amp;D44,'14_Motor_Liq'!$Y$5:$Y$504,"&lt;"&amp;E44)+SUMIFS('14_Motor_Liq'!$AD$5:$AD$504,'14_Motor_Liq'!$AC$5:$AC$504,"&gt;="&amp;D44,'14_Motor_Liq'!$AC$5:$AC$504,"&lt;"&amp;E44)</f>
        <v>0</v>
      </c>
      <c r="H44" s="81" t="n">
        <f aca="false">SUMIFS('14_Motor_Liq'!$P$5:$P$504,'14_Motor_Liq'!$O$5:$O$504,"&gt;="&amp;D44,'14_Motor_Liq'!$O$5:$O$504,"&lt;"&amp;E44)+SUMIFS('14_Motor_Liq'!$T$5:$T$504,'14_Motor_Liq'!$S$5:$S$504,"&gt;="&amp;D44,'14_Motor_Liq'!$S$5:$S$504,"&lt;"&amp;E44)+SUMIFS('14_Motor_Liq'!$X$5:$X$504,'14_Motor_Liq'!$W$5:$W$504,"&gt;="&amp;D44,'14_Motor_Liq'!$W$5:$W$504,"&lt;"&amp;E44)+SUMIFS('14_Motor_Liq'!$AB$5:$AB$504,'14_Motor_Liq'!$AA$5:$AA$504,"&gt;="&amp;D44,'14_Motor_Liq'!$AA$5:$AA$504,"&lt;"&amp;E44)+SUMIFS('14_Motor_Liq'!$AF$5:$AF$504,'14_Motor_Liq'!$AE$5:$AE$504,"&gt;="&amp;D44,'14_Motor_Liq'!$AE$5:$AE$504,"&lt;"&amp;E44)</f>
        <v>0</v>
      </c>
      <c r="I44" s="82" t="n">
        <f aca="false">G44+H44</f>
        <v>0</v>
      </c>
      <c r="J44" s="83" t="str">
        <f aca="false">IF(MAX($I$44:$I$104)=0,"",REPT("|",ROUND(I44/MAX($I$44:$I$104)*45,0)))</f>
        <v/>
      </c>
      <c r="K44" s="84" t="n">
        <f aca="false">IF(B44&gt;0,SUMIFS($H$44:$H$104,$B$44:$B$104,"&gt;=0",$B$44:$B$104,"&lt;="&amp;B44),IF(B44&lt;0,SUMIFS($G$44:$G$104,$B$44:$B$104,"&lt;=0",$B$44:$B$104,"&gt;="&amp;B44),G44+H44))</f>
        <v>0</v>
      </c>
    </row>
    <row r="45" customFormat="false" ht="15" hidden="false" customHeight="false" outlineLevel="0" collapsed="false">
      <c r="A45" s="75" t="str">
        <f aca="false">IF(B45=0,"&lt;&lt; PRECIO ACTUAL",IF(AND(G45&gt;0,G45=MAX($G$44:$G$104)),"CLUSTER LONG MAYOR",IF(AND(H45&gt;0,H45=MAX($H$44:$H$104)),"CLUSTER SHORT MAYOR",IF(AND(ISNUMBER($B$31),B45=$B$31),"primer cluster long",IF(AND(ISNUMBER($B$34),B45=$B$34),"primer cluster short","")))))</f>
        <v/>
      </c>
      <c r="B45" s="76" t="n">
        <v>29</v>
      </c>
      <c r="C45" s="77" t="n">
        <f aca="false">$B$5*(1+B45*$B$8)</f>
        <v>88711.165</v>
      </c>
      <c r="D45" s="78" t="n">
        <f aca="false">$B$5*(1+(B45-0.5)*$B$8)</f>
        <v>88517.4725</v>
      </c>
      <c r="E45" s="78" t="n">
        <f aca="false">$B$5*(1+(B45+0.5)*$B$8)</f>
        <v>88904.8575</v>
      </c>
      <c r="F45" s="79" t="n">
        <f aca="false">B45*$B$8</f>
        <v>0.145</v>
      </c>
      <c r="G45" s="80" t="n">
        <f aca="false">SUMIFS('14_Motor_Liq'!$N$5:$N$504,'14_Motor_Liq'!$M$5:$M$504,"&gt;="&amp;D45,'14_Motor_Liq'!$M$5:$M$504,"&lt;"&amp;E45)+SUMIFS('14_Motor_Liq'!$R$5:$R$504,'14_Motor_Liq'!$Q$5:$Q$504,"&gt;="&amp;D45,'14_Motor_Liq'!$Q$5:$Q$504,"&lt;"&amp;E45)+SUMIFS('14_Motor_Liq'!$V$5:$V$504,'14_Motor_Liq'!$U$5:$U$504,"&gt;="&amp;D45,'14_Motor_Liq'!$U$5:$U$504,"&lt;"&amp;E45)+SUMIFS('14_Motor_Liq'!$Z$5:$Z$504,'14_Motor_Liq'!$Y$5:$Y$504,"&gt;="&amp;D45,'14_Motor_Liq'!$Y$5:$Y$504,"&lt;"&amp;E45)+SUMIFS('14_Motor_Liq'!$AD$5:$AD$504,'14_Motor_Liq'!$AC$5:$AC$504,"&gt;="&amp;D45,'14_Motor_Liq'!$AC$5:$AC$504,"&lt;"&amp;E45)</f>
        <v>0</v>
      </c>
      <c r="H45" s="81" t="n">
        <f aca="false">SUMIFS('14_Motor_Liq'!$P$5:$P$504,'14_Motor_Liq'!$O$5:$O$504,"&gt;="&amp;D45,'14_Motor_Liq'!$O$5:$O$504,"&lt;"&amp;E45)+SUMIFS('14_Motor_Liq'!$T$5:$T$504,'14_Motor_Liq'!$S$5:$S$504,"&gt;="&amp;D45,'14_Motor_Liq'!$S$5:$S$504,"&lt;"&amp;E45)+SUMIFS('14_Motor_Liq'!$X$5:$X$504,'14_Motor_Liq'!$W$5:$W$504,"&gt;="&amp;D45,'14_Motor_Liq'!$W$5:$W$504,"&lt;"&amp;E45)+SUMIFS('14_Motor_Liq'!$AB$5:$AB$504,'14_Motor_Liq'!$AA$5:$AA$504,"&gt;="&amp;D45,'14_Motor_Liq'!$AA$5:$AA$504,"&lt;"&amp;E45)+SUMIFS('14_Motor_Liq'!$AF$5:$AF$504,'14_Motor_Liq'!$AE$5:$AE$504,"&gt;="&amp;D45,'14_Motor_Liq'!$AE$5:$AE$504,"&lt;"&amp;E45)</f>
        <v>0</v>
      </c>
      <c r="I45" s="82" t="n">
        <f aca="false">G45+H45</f>
        <v>0</v>
      </c>
      <c r="J45" s="83" t="str">
        <f aca="false">IF(MAX($I$44:$I$104)=0,"",REPT("|",ROUND(I45/MAX($I$44:$I$104)*45,0)))</f>
        <v/>
      </c>
      <c r="K45" s="84" t="n">
        <f aca="false">IF(B45&gt;0,SUMIFS($H$44:$H$104,$B$44:$B$104,"&gt;=0",$B$44:$B$104,"&lt;="&amp;B45),IF(B45&lt;0,SUMIFS($G$44:$G$104,$B$44:$B$104,"&lt;=0",$B$44:$B$104,"&gt;="&amp;B45),G45+H45))</f>
        <v>0</v>
      </c>
    </row>
    <row r="46" customFormat="false" ht="15" hidden="false" customHeight="false" outlineLevel="0" collapsed="false">
      <c r="A46" s="75" t="str">
        <f aca="false">IF(B46=0,"&lt;&lt; PRECIO ACTUAL",IF(AND(G46&gt;0,G46=MAX($G$44:$G$104)),"CLUSTER LONG MAYOR",IF(AND(H46&gt;0,H46=MAX($H$44:$H$104)),"CLUSTER SHORT MAYOR",IF(AND(ISNUMBER($B$31),B46=$B$31),"primer cluster long",IF(AND(ISNUMBER($B$34),B46=$B$34),"primer cluster short","")))))</f>
        <v/>
      </c>
      <c r="B46" s="76" t="n">
        <v>28</v>
      </c>
      <c r="C46" s="77" t="n">
        <f aca="false">$B$5*(1+B46*$B$8)</f>
        <v>88323.78</v>
      </c>
      <c r="D46" s="78" t="n">
        <f aca="false">$B$5*(1+(B46-0.5)*$B$8)</f>
        <v>88130.0875</v>
      </c>
      <c r="E46" s="78" t="n">
        <f aca="false">$B$5*(1+(B46+0.5)*$B$8)</f>
        <v>88517.4725</v>
      </c>
      <c r="F46" s="79" t="n">
        <f aca="false">B46*$B$8</f>
        <v>0.14</v>
      </c>
      <c r="G46" s="80" t="n">
        <f aca="false">SUMIFS('14_Motor_Liq'!$N$5:$N$504,'14_Motor_Liq'!$M$5:$M$504,"&gt;="&amp;D46,'14_Motor_Liq'!$M$5:$M$504,"&lt;"&amp;E46)+SUMIFS('14_Motor_Liq'!$R$5:$R$504,'14_Motor_Liq'!$Q$5:$Q$504,"&gt;="&amp;D46,'14_Motor_Liq'!$Q$5:$Q$504,"&lt;"&amp;E46)+SUMIFS('14_Motor_Liq'!$V$5:$V$504,'14_Motor_Liq'!$U$5:$U$504,"&gt;="&amp;D46,'14_Motor_Liq'!$U$5:$U$504,"&lt;"&amp;E46)+SUMIFS('14_Motor_Liq'!$Z$5:$Z$504,'14_Motor_Liq'!$Y$5:$Y$504,"&gt;="&amp;D46,'14_Motor_Liq'!$Y$5:$Y$504,"&lt;"&amp;E46)+SUMIFS('14_Motor_Liq'!$AD$5:$AD$504,'14_Motor_Liq'!$AC$5:$AC$504,"&gt;="&amp;D46,'14_Motor_Liq'!$AC$5:$AC$504,"&lt;"&amp;E46)</f>
        <v>0</v>
      </c>
      <c r="H46" s="81" t="n">
        <f aca="false">SUMIFS('14_Motor_Liq'!$P$5:$P$504,'14_Motor_Liq'!$O$5:$O$504,"&gt;="&amp;D46,'14_Motor_Liq'!$O$5:$O$504,"&lt;"&amp;E46)+SUMIFS('14_Motor_Liq'!$T$5:$T$504,'14_Motor_Liq'!$S$5:$S$504,"&gt;="&amp;D46,'14_Motor_Liq'!$S$5:$S$504,"&lt;"&amp;E46)+SUMIFS('14_Motor_Liq'!$X$5:$X$504,'14_Motor_Liq'!$W$5:$W$504,"&gt;="&amp;D46,'14_Motor_Liq'!$W$5:$W$504,"&lt;"&amp;E46)+SUMIFS('14_Motor_Liq'!$AB$5:$AB$504,'14_Motor_Liq'!$AA$5:$AA$504,"&gt;="&amp;D46,'14_Motor_Liq'!$AA$5:$AA$504,"&lt;"&amp;E46)+SUMIFS('14_Motor_Liq'!$AF$5:$AF$504,'14_Motor_Liq'!$AE$5:$AE$504,"&gt;="&amp;D46,'14_Motor_Liq'!$AE$5:$AE$504,"&lt;"&amp;E46)</f>
        <v>0</v>
      </c>
      <c r="I46" s="82" t="n">
        <f aca="false">G46+H46</f>
        <v>0</v>
      </c>
      <c r="J46" s="83" t="str">
        <f aca="false">IF(MAX($I$44:$I$104)=0,"",REPT("|",ROUND(I46/MAX($I$44:$I$104)*45,0)))</f>
        <v/>
      </c>
      <c r="K46" s="84" t="n">
        <f aca="false">IF(B46&gt;0,SUMIFS($H$44:$H$104,$B$44:$B$104,"&gt;=0",$B$44:$B$104,"&lt;="&amp;B46),IF(B46&lt;0,SUMIFS($G$44:$G$104,$B$44:$B$104,"&lt;=0",$B$44:$B$104,"&gt;="&amp;B46),G46+H46))</f>
        <v>0</v>
      </c>
    </row>
    <row r="47" customFormat="false" ht="15" hidden="false" customHeight="false" outlineLevel="0" collapsed="false">
      <c r="A47" s="75" t="str">
        <f aca="false">IF(B47=0,"&lt;&lt; PRECIO ACTUAL",IF(AND(G47&gt;0,G47=MAX($G$44:$G$104)),"CLUSTER LONG MAYOR",IF(AND(H47&gt;0,H47=MAX($H$44:$H$104)),"CLUSTER SHORT MAYOR",IF(AND(ISNUMBER($B$31),B47=$B$31),"primer cluster long",IF(AND(ISNUMBER($B$34),B47=$B$34),"primer cluster short","")))))</f>
        <v/>
      </c>
      <c r="B47" s="76" t="n">
        <v>27</v>
      </c>
      <c r="C47" s="77" t="n">
        <f aca="false">$B$5*(1+B47*$B$8)</f>
        <v>87936.395</v>
      </c>
      <c r="D47" s="78" t="n">
        <f aca="false">$B$5*(1+(B47-0.5)*$B$8)</f>
        <v>87742.7025</v>
      </c>
      <c r="E47" s="78" t="n">
        <f aca="false">$B$5*(1+(B47+0.5)*$B$8)</f>
        <v>88130.0875</v>
      </c>
      <c r="F47" s="79" t="n">
        <f aca="false">B47*$B$8</f>
        <v>0.135</v>
      </c>
      <c r="G47" s="80" t="n">
        <f aca="false">SUMIFS('14_Motor_Liq'!$N$5:$N$504,'14_Motor_Liq'!$M$5:$M$504,"&gt;="&amp;D47,'14_Motor_Liq'!$M$5:$M$504,"&lt;"&amp;E47)+SUMIFS('14_Motor_Liq'!$R$5:$R$504,'14_Motor_Liq'!$Q$5:$Q$504,"&gt;="&amp;D47,'14_Motor_Liq'!$Q$5:$Q$504,"&lt;"&amp;E47)+SUMIFS('14_Motor_Liq'!$V$5:$V$504,'14_Motor_Liq'!$U$5:$U$504,"&gt;="&amp;D47,'14_Motor_Liq'!$U$5:$U$504,"&lt;"&amp;E47)+SUMIFS('14_Motor_Liq'!$Z$5:$Z$504,'14_Motor_Liq'!$Y$5:$Y$504,"&gt;="&amp;D47,'14_Motor_Liq'!$Y$5:$Y$504,"&lt;"&amp;E47)+SUMIFS('14_Motor_Liq'!$AD$5:$AD$504,'14_Motor_Liq'!$AC$5:$AC$504,"&gt;="&amp;D47,'14_Motor_Liq'!$AC$5:$AC$504,"&lt;"&amp;E47)</f>
        <v>0</v>
      </c>
      <c r="H47" s="81" t="n">
        <f aca="false">SUMIFS('14_Motor_Liq'!$P$5:$P$504,'14_Motor_Liq'!$O$5:$O$504,"&gt;="&amp;D47,'14_Motor_Liq'!$O$5:$O$504,"&lt;"&amp;E47)+SUMIFS('14_Motor_Liq'!$T$5:$T$504,'14_Motor_Liq'!$S$5:$S$504,"&gt;="&amp;D47,'14_Motor_Liq'!$S$5:$S$504,"&lt;"&amp;E47)+SUMIFS('14_Motor_Liq'!$X$5:$X$504,'14_Motor_Liq'!$W$5:$W$504,"&gt;="&amp;D47,'14_Motor_Liq'!$W$5:$W$504,"&lt;"&amp;E47)+SUMIFS('14_Motor_Liq'!$AB$5:$AB$504,'14_Motor_Liq'!$AA$5:$AA$504,"&gt;="&amp;D47,'14_Motor_Liq'!$AA$5:$AA$504,"&lt;"&amp;E47)+SUMIFS('14_Motor_Liq'!$AF$5:$AF$504,'14_Motor_Liq'!$AE$5:$AE$504,"&gt;="&amp;D47,'14_Motor_Liq'!$AE$5:$AE$504,"&lt;"&amp;E47)</f>
        <v>0</v>
      </c>
      <c r="I47" s="82" t="n">
        <f aca="false">G47+H47</f>
        <v>0</v>
      </c>
      <c r="J47" s="83" t="str">
        <f aca="false">IF(MAX($I$44:$I$104)=0,"",REPT("|",ROUND(I47/MAX($I$44:$I$104)*45,0)))</f>
        <v/>
      </c>
      <c r="K47" s="84" t="n">
        <f aca="false">IF(B47&gt;0,SUMIFS($H$44:$H$104,$B$44:$B$104,"&gt;=0",$B$44:$B$104,"&lt;="&amp;B47),IF(B47&lt;0,SUMIFS($G$44:$G$104,$B$44:$B$104,"&lt;=0",$B$44:$B$104,"&gt;="&amp;B47),G47+H47))</f>
        <v>0</v>
      </c>
    </row>
    <row r="48" customFormat="false" ht="15" hidden="false" customHeight="false" outlineLevel="0" collapsed="false">
      <c r="A48" s="75" t="str">
        <f aca="false">IF(B48=0,"&lt;&lt; PRECIO ACTUAL",IF(AND(G48&gt;0,G48=MAX($G$44:$G$104)),"CLUSTER LONG MAYOR",IF(AND(H48&gt;0,H48=MAX($H$44:$H$104)),"CLUSTER SHORT MAYOR",IF(AND(ISNUMBER($B$31),B48=$B$31),"primer cluster long",IF(AND(ISNUMBER($B$34),B48=$B$34),"primer cluster short","")))))</f>
        <v/>
      </c>
      <c r="B48" s="76" t="n">
        <v>26</v>
      </c>
      <c r="C48" s="77" t="n">
        <f aca="false">$B$5*(1+B48*$B$8)</f>
        <v>87549.01</v>
      </c>
      <c r="D48" s="78" t="n">
        <f aca="false">$B$5*(1+(B48-0.5)*$B$8)</f>
        <v>87355.3175</v>
      </c>
      <c r="E48" s="78" t="n">
        <f aca="false">$B$5*(1+(B48+0.5)*$B$8)</f>
        <v>87742.7025</v>
      </c>
      <c r="F48" s="79" t="n">
        <f aca="false">B48*$B$8</f>
        <v>0.13</v>
      </c>
      <c r="G48" s="80" t="n">
        <f aca="false">SUMIFS('14_Motor_Liq'!$N$5:$N$504,'14_Motor_Liq'!$M$5:$M$504,"&gt;="&amp;D48,'14_Motor_Liq'!$M$5:$M$504,"&lt;"&amp;E48)+SUMIFS('14_Motor_Liq'!$R$5:$R$504,'14_Motor_Liq'!$Q$5:$Q$504,"&gt;="&amp;D48,'14_Motor_Liq'!$Q$5:$Q$504,"&lt;"&amp;E48)+SUMIFS('14_Motor_Liq'!$V$5:$V$504,'14_Motor_Liq'!$U$5:$U$504,"&gt;="&amp;D48,'14_Motor_Liq'!$U$5:$U$504,"&lt;"&amp;E48)+SUMIFS('14_Motor_Liq'!$Z$5:$Z$504,'14_Motor_Liq'!$Y$5:$Y$504,"&gt;="&amp;D48,'14_Motor_Liq'!$Y$5:$Y$504,"&lt;"&amp;E48)+SUMIFS('14_Motor_Liq'!$AD$5:$AD$504,'14_Motor_Liq'!$AC$5:$AC$504,"&gt;="&amp;D48,'14_Motor_Liq'!$AC$5:$AC$504,"&lt;"&amp;E48)</f>
        <v>0</v>
      </c>
      <c r="H48" s="81" t="n">
        <f aca="false">SUMIFS('14_Motor_Liq'!$P$5:$P$504,'14_Motor_Liq'!$O$5:$O$504,"&gt;="&amp;D48,'14_Motor_Liq'!$O$5:$O$504,"&lt;"&amp;E48)+SUMIFS('14_Motor_Liq'!$T$5:$T$504,'14_Motor_Liq'!$S$5:$S$504,"&gt;="&amp;D48,'14_Motor_Liq'!$S$5:$S$504,"&lt;"&amp;E48)+SUMIFS('14_Motor_Liq'!$X$5:$X$504,'14_Motor_Liq'!$W$5:$W$504,"&gt;="&amp;D48,'14_Motor_Liq'!$W$5:$W$504,"&lt;"&amp;E48)+SUMIFS('14_Motor_Liq'!$AB$5:$AB$504,'14_Motor_Liq'!$AA$5:$AA$504,"&gt;="&amp;D48,'14_Motor_Liq'!$AA$5:$AA$504,"&lt;"&amp;E48)+SUMIFS('14_Motor_Liq'!$AF$5:$AF$504,'14_Motor_Liq'!$AE$5:$AE$504,"&gt;="&amp;D48,'14_Motor_Liq'!$AE$5:$AE$504,"&lt;"&amp;E48)</f>
        <v>0</v>
      </c>
      <c r="I48" s="82" t="n">
        <f aca="false">G48+H48</f>
        <v>0</v>
      </c>
      <c r="J48" s="83" t="str">
        <f aca="false">IF(MAX($I$44:$I$104)=0,"",REPT("|",ROUND(I48/MAX($I$44:$I$104)*45,0)))</f>
        <v/>
      </c>
      <c r="K48" s="84" t="n">
        <f aca="false">IF(B48&gt;0,SUMIFS($H$44:$H$104,$B$44:$B$104,"&gt;=0",$B$44:$B$104,"&lt;="&amp;B48),IF(B48&lt;0,SUMIFS($G$44:$G$104,$B$44:$B$104,"&lt;=0",$B$44:$B$104,"&gt;="&amp;B48),G48+H48))</f>
        <v>0</v>
      </c>
    </row>
    <row r="49" customFormat="false" ht="15" hidden="false" customHeight="false" outlineLevel="0" collapsed="false">
      <c r="A49" s="75" t="str">
        <f aca="false">IF(B49=0,"&lt;&lt; PRECIO ACTUAL",IF(AND(G49&gt;0,G49=MAX($G$44:$G$104)),"CLUSTER LONG MAYOR",IF(AND(H49&gt;0,H49=MAX($H$44:$H$104)),"CLUSTER SHORT MAYOR",IF(AND(ISNUMBER($B$31),B49=$B$31),"primer cluster long",IF(AND(ISNUMBER($B$34),B49=$B$34),"primer cluster short","")))))</f>
        <v/>
      </c>
      <c r="B49" s="76" t="n">
        <v>25</v>
      </c>
      <c r="C49" s="77" t="n">
        <f aca="false">$B$5*(1+B49*$B$8)</f>
        <v>87161.625</v>
      </c>
      <c r="D49" s="78" t="n">
        <f aca="false">$B$5*(1+(B49-0.5)*$B$8)</f>
        <v>86967.9325</v>
      </c>
      <c r="E49" s="78" t="n">
        <f aca="false">$B$5*(1+(B49+0.5)*$B$8)</f>
        <v>87355.3175</v>
      </c>
      <c r="F49" s="79" t="n">
        <f aca="false">B49*$B$8</f>
        <v>0.125</v>
      </c>
      <c r="G49" s="80" t="n">
        <f aca="false">SUMIFS('14_Motor_Liq'!$N$5:$N$504,'14_Motor_Liq'!$M$5:$M$504,"&gt;="&amp;D49,'14_Motor_Liq'!$M$5:$M$504,"&lt;"&amp;E49)+SUMIFS('14_Motor_Liq'!$R$5:$R$504,'14_Motor_Liq'!$Q$5:$Q$504,"&gt;="&amp;D49,'14_Motor_Liq'!$Q$5:$Q$504,"&lt;"&amp;E49)+SUMIFS('14_Motor_Liq'!$V$5:$V$504,'14_Motor_Liq'!$U$5:$U$504,"&gt;="&amp;D49,'14_Motor_Liq'!$U$5:$U$504,"&lt;"&amp;E49)+SUMIFS('14_Motor_Liq'!$Z$5:$Z$504,'14_Motor_Liq'!$Y$5:$Y$504,"&gt;="&amp;D49,'14_Motor_Liq'!$Y$5:$Y$504,"&lt;"&amp;E49)+SUMIFS('14_Motor_Liq'!$AD$5:$AD$504,'14_Motor_Liq'!$AC$5:$AC$504,"&gt;="&amp;D49,'14_Motor_Liq'!$AC$5:$AC$504,"&lt;"&amp;E49)</f>
        <v>0</v>
      </c>
      <c r="H49" s="81" t="n">
        <f aca="false">SUMIFS('14_Motor_Liq'!$P$5:$P$504,'14_Motor_Liq'!$O$5:$O$504,"&gt;="&amp;D49,'14_Motor_Liq'!$O$5:$O$504,"&lt;"&amp;E49)+SUMIFS('14_Motor_Liq'!$T$5:$T$504,'14_Motor_Liq'!$S$5:$S$504,"&gt;="&amp;D49,'14_Motor_Liq'!$S$5:$S$504,"&lt;"&amp;E49)+SUMIFS('14_Motor_Liq'!$X$5:$X$504,'14_Motor_Liq'!$W$5:$W$504,"&gt;="&amp;D49,'14_Motor_Liq'!$W$5:$W$504,"&lt;"&amp;E49)+SUMIFS('14_Motor_Liq'!$AB$5:$AB$504,'14_Motor_Liq'!$AA$5:$AA$504,"&gt;="&amp;D49,'14_Motor_Liq'!$AA$5:$AA$504,"&lt;"&amp;E49)+SUMIFS('14_Motor_Liq'!$AF$5:$AF$504,'14_Motor_Liq'!$AE$5:$AE$504,"&gt;="&amp;D49,'14_Motor_Liq'!$AE$5:$AE$504,"&lt;"&amp;E49)</f>
        <v>0</v>
      </c>
      <c r="I49" s="82" t="n">
        <f aca="false">G49+H49</f>
        <v>0</v>
      </c>
      <c r="J49" s="83" t="str">
        <f aca="false">IF(MAX($I$44:$I$104)=0,"",REPT("|",ROUND(I49/MAX($I$44:$I$104)*45,0)))</f>
        <v/>
      </c>
      <c r="K49" s="84" t="n">
        <f aca="false">IF(B49&gt;0,SUMIFS($H$44:$H$104,$B$44:$B$104,"&gt;=0",$B$44:$B$104,"&lt;="&amp;B49),IF(B49&lt;0,SUMIFS($G$44:$G$104,$B$44:$B$104,"&lt;=0",$B$44:$B$104,"&gt;="&amp;B49),G49+H49))</f>
        <v>0</v>
      </c>
    </row>
    <row r="50" customFormat="false" ht="15" hidden="false" customHeight="false" outlineLevel="0" collapsed="false">
      <c r="A50" s="75" t="str">
        <f aca="false">IF(B50=0,"&lt;&lt; PRECIO ACTUAL",IF(AND(G50&gt;0,G50=MAX($G$44:$G$104)),"CLUSTER LONG MAYOR",IF(AND(H50&gt;0,H50=MAX($H$44:$H$104)),"CLUSTER SHORT MAYOR",IF(AND(ISNUMBER($B$31),B50=$B$31),"primer cluster long",IF(AND(ISNUMBER($B$34),B50=$B$34),"primer cluster short","")))))</f>
        <v/>
      </c>
      <c r="B50" s="76" t="n">
        <v>24</v>
      </c>
      <c r="C50" s="77" t="n">
        <f aca="false">$B$5*(1+B50*$B$8)</f>
        <v>86774.24</v>
      </c>
      <c r="D50" s="78" t="n">
        <f aca="false">$B$5*(1+(B50-0.5)*$B$8)</f>
        <v>86580.5475</v>
      </c>
      <c r="E50" s="78" t="n">
        <f aca="false">$B$5*(1+(B50+0.5)*$B$8)</f>
        <v>86967.9325</v>
      </c>
      <c r="F50" s="79" t="n">
        <f aca="false">B50*$B$8</f>
        <v>0.12</v>
      </c>
      <c r="G50" s="80" t="n">
        <f aca="false">SUMIFS('14_Motor_Liq'!$N$5:$N$504,'14_Motor_Liq'!$M$5:$M$504,"&gt;="&amp;D50,'14_Motor_Liq'!$M$5:$M$504,"&lt;"&amp;E50)+SUMIFS('14_Motor_Liq'!$R$5:$R$504,'14_Motor_Liq'!$Q$5:$Q$504,"&gt;="&amp;D50,'14_Motor_Liq'!$Q$5:$Q$504,"&lt;"&amp;E50)+SUMIFS('14_Motor_Liq'!$V$5:$V$504,'14_Motor_Liq'!$U$5:$U$504,"&gt;="&amp;D50,'14_Motor_Liq'!$U$5:$U$504,"&lt;"&amp;E50)+SUMIFS('14_Motor_Liq'!$Z$5:$Z$504,'14_Motor_Liq'!$Y$5:$Y$504,"&gt;="&amp;D50,'14_Motor_Liq'!$Y$5:$Y$504,"&lt;"&amp;E50)+SUMIFS('14_Motor_Liq'!$AD$5:$AD$504,'14_Motor_Liq'!$AC$5:$AC$504,"&gt;="&amp;D50,'14_Motor_Liq'!$AC$5:$AC$504,"&lt;"&amp;E50)</f>
        <v>0</v>
      </c>
      <c r="H50" s="81" t="n">
        <f aca="false">SUMIFS('14_Motor_Liq'!$P$5:$P$504,'14_Motor_Liq'!$O$5:$O$504,"&gt;="&amp;D50,'14_Motor_Liq'!$O$5:$O$504,"&lt;"&amp;E50)+SUMIFS('14_Motor_Liq'!$T$5:$T$504,'14_Motor_Liq'!$S$5:$S$504,"&gt;="&amp;D50,'14_Motor_Liq'!$S$5:$S$504,"&lt;"&amp;E50)+SUMIFS('14_Motor_Liq'!$X$5:$X$504,'14_Motor_Liq'!$W$5:$W$504,"&gt;="&amp;D50,'14_Motor_Liq'!$W$5:$W$504,"&lt;"&amp;E50)+SUMIFS('14_Motor_Liq'!$AB$5:$AB$504,'14_Motor_Liq'!$AA$5:$AA$504,"&gt;="&amp;D50,'14_Motor_Liq'!$AA$5:$AA$504,"&lt;"&amp;E50)+SUMIFS('14_Motor_Liq'!$AF$5:$AF$504,'14_Motor_Liq'!$AE$5:$AE$504,"&gt;="&amp;D50,'14_Motor_Liq'!$AE$5:$AE$504,"&lt;"&amp;E50)</f>
        <v>0</v>
      </c>
      <c r="I50" s="82" t="n">
        <f aca="false">G50+H50</f>
        <v>0</v>
      </c>
      <c r="J50" s="83" t="str">
        <f aca="false">IF(MAX($I$44:$I$104)=0,"",REPT("|",ROUND(I50/MAX($I$44:$I$104)*45,0)))</f>
        <v/>
      </c>
      <c r="K50" s="84" t="n">
        <f aca="false">IF(B50&gt;0,SUMIFS($H$44:$H$104,$B$44:$B$104,"&gt;=0",$B$44:$B$104,"&lt;="&amp;B50),IF(B50&lt;0,SUMIFS($G$44:$G$104,$B$44:$B$104,"&lt;=0",$B$44:$B$104,"&gt;="&amp;B50),G50+H50))</f>
        <v>0</v>
      </c>
    </row>
    <row r="51" customFormat="false" ht="15" hidden="false" customHeight="false" outlineLevel="0" collapsed="false">
      <c r="A51" s="75" t="str">
        <f aca="false">IF(B51=0,"&lt;&lt; PRECIO ACTUAL",IF(AND(G51&gt;0,G51=MAX($G$44:$G$104)),"CLUSTER LONG MAYOR",IF(AND(H51&gt;0,H51=MAX($H$44:$H$104)),"CLUSTER SHORT MAYOR",IF(AND(ISNUMBER($B$31),B51=$B$31),"primer cluster long",IF(AND(ISNUMBER($B$34),B51=$B$34),"primer cluster short","")))))</f>
        <v/>
      </c>
      <c r="B51" s="76" t="n">
        <v>23</v>
      </c>
      <c r="C51" s="77" t="n">
        <f aca="false">$B$5*(1+B51*$B$8)</f>
        <v>86386.855</v>
      </c>
      <c r="D51" s="78" t="n">
        <f aca="false">$B$5*(1+(B51-0.5)*$B$8)</f>
        <v>86193.1625</v>
      </c>
      <c r="E51" s="78" t="n">
        <f aca="false">$B$5*(1+(B51+0.5)*$B$8)</f>
        <v>86580.5475</v>
      </c>
      <c r="F51" s="79" t="n">
        <f aca="false">B51*$B$8</f>
        <v>0.115</v>
      </c>
      <c r="G51" s="80" t="n">
        <f aca="false">SUMIFS('14_Motor_Liq'!$N$5:$N$504,'14_Motor_Liq'!$M$5:$M$504,"&gt;="&amp;D51,'14_Motor_Liq'!$M$5:$M$504,"&lt;"&amp;E51)+SUMIFS('14_Motor_Liq'!$R$5:$R$504,'14_Motor_Liq'!$Q$5:$Q$504,"&gt;="&amp;D51,'14_Motor_Liq'!$Q$5:$Q$504,"&lt;"&amp;E51)+SUMIFS('14_Motor_Liq'!$V$5:$V$504,'14_Motor_Liq'!$U$5:$U$504,"&gt;="&amp;D51,'14_Motor_Liq'!$U$5:$U$504,"&lt;"&amp;E51)+SUMIFS('14_Motor_Liq'!$Z$5:$Z$504,'14_Motor_Liq'!$Y$5:$Y$504,"&gt;="&amp;D51,'14_Motor_Liq'!$Y$5:$Y$504,"&lt;"&amp;E51)+SUMIFS('14_Motor_Liq'!$AD$5:$AD$504,'14_Motor_Liq'!$AC$5:$AC$504,"&gt;="&amp;D51,'14_Motor_Liq'!$AC$5:$AC$504,"&lt;"&amp;E51)</f>
        <v>0</v>
      </c>
      <c r="H51" s="81" t="n">
        <f aca="false">SUMIFS('14_Motor_Liq'!$P$5:$P$504,'14_Motor_Liq'!$O$5:$O$504,"&gt;="&amp;D51,'14_Motor_Liq'!$O$5:$O$504,"&lt;"&amp;E51)+SUMIFS('14_Motor_Liq'!$T$5:$T$504,'14_Motor_Liq'!$S$5:$S$504,"&gt;="&amp;D51,'14_Motor_Liq'!$S$5:$S$504,"&lt;"&amp;E51)+SUMIFS('14_Motor_Liq'!$X$5:$X$504,'14_Motor_Liq'!$W$5:$W$504,"&gt;="&amp;D51,'14_Motor_Liq'!$W$5:$W$504,"&lt;"&amp;E51)+SUMIFS('14_Motor_Liq'!$AB$5:$AB$504,'14_Motor_Liq'!$AA$5:$AA$504,"&gt;="&amp;D51,'14_Motor_Liq'!$AA$5:$AA$504,"&lt;"&amp;E51)+SUMIFS('14_Motor_Liq'!$AF$5:$AF$504,'14_Motor_Liq'!$AE$5:$AE$504,"&gt;="&amp;D51,'14_Motor_Liq'!$AE$5:$AE$504,"&lt;"&amp;E51)</f>
        <v>0</v>
      </c>
      <c r="I51" s="82" t="n">
        <f aca="false">G51+H51</f>
        <v>0</v>
      </c>
      <c r="J51" s="83" t="str">
        <f aca="false">IF(MAX($I$44:$I$104)=0,"",REPT("|",ROUND(I51/MAX($I$44:$I$104)*45,0)))</f>
        <v/>
      </c>
      <c r="K51" s="84" t="n">
        <f aca="false">IF(B51&gt;0,SUMIFS($H$44:$H$104,$B$44:$B$104,"&gt;=0",$B$44:$B$104,"&lt;="&amp;B51),IF(B51&lt;0,SUMIFS($G$44:$G$104,$B$44:$B$104,"&lt;=0",$B$44:$B$104,"&gt;="&amp;B51),G51+H51))</f>
        <v>0</v>
      </c>
    </row>
    <row r="52" customFormat="false" ht="15" hidden="false" customHeight="false" outlineLevel="0" collapsed="false">
      <c r="A52" s="75" t="str">
        <f aca="false">IF(B52=0,"&lt;&lt; PRECIO ACTUAL",IF(AND(G52&gt;0,G52=MAX($G$44:$G$104)),"CLUSTER LONG MAYOR",IF(AND(H52&gt;0,H52=MAX($H$44:$H$104)),"CLUSTER SHORT MAYOR",IF(AND(ISNUMBER($B$31),B52=$B$31),"primer cluster long",IF(AND(ISNUMBER($B$34),B52=$B$34),"primer cluster short","")))))</f>
        <v/>
      </c>
      <c r="B52" s="76" t="n">
        <v>22</v>
      </c>
      <c r="C52" s="77" t="n">
        <f aca="false">$B$5*(1+B52*$B$8)</f>
        <v>85999.47</v>
      </c>
      <c r="D52" s="78" t="n">
        <f aca="false">$B$5*(1+(B52-0.5)*$B$8)</f>
        <v>85805.7775</v>
      </c>
      <c r="E52" s="78" t="n">
        <f aca="false">$B$5*(1+(B52+0.5)*$B$8)</f>
        <v>86193.1625</v>
      </c>
      <c r="F52" s="79" t="n">
        <f aca="false">B52*$B$8</f>
        <v>0.11</v>
      </c>
      <c r="G52" s="80" t="n">
        <f aca="false">SUMIFS('14_Motor_Liq'!$N$5:$N$504,'14_Motor_Liq'!$M$5:$M$504,"&gt;="&amp;D52,'14_Motor_Liq'!$M$5:$M$504,"&lt;"&amp;E52)+SUMIFS('14_Motor_Liq'!$R$5:$R$504,'14_Motor_Liq'!$Q$5:$Q$504,"&gt;="&amp;D52,'14_Motor_Liq'!$Q$5:$Q$504,"&lt;"&amp;E52)+SUMIFS('14_Motor_Liq'!$V$5:$V$504,'14_Motor_Liq'!$U$5:$U$504,"&gt;="&amp;D52,'14_Motor_Liq'!$U$5:$U$504,"&lt;"&amp;E52)+SUMIFS('14_Motor_Liq'!$Z$5:$Z$504,'14_Motor_Liq'!$Y$5:$Y$504,"&gt;="&amp;D52,'14_Motor_Liq'!$Y$5:$Y$504,"&lt;"&amp;E52)+SUMIFS('14_Motor_Liq'!$AD$5:$AD$504,'14_Motor_Liq'!$AC$5:$AC$504,"&gt;="&amp;D52,'14_Motor_Liq'!$AC$5:$AC$504,"&lt;"&amp;E52)</f>
        <v>0</v>
      </c>
      <c r="H52" s="81" t="n">
        <f aca="false">SUMIFS('14_Motor_Liq'!$P$5:$P$504,'14_Motor_Liq'!$O$5:$O$504,"&gt;="&amp;D52,'14_Motor_Liq'!$O$5:$O$504,"&lt;"&amp;E52)+SUMIFS('14_Motor_Liq'!$T$5:$T$504,'14_Motor_Liq'!$S$5:$S$504,"&gt;="&amp;D52,'14_Motor_Liq'!$S$5:$S$504,"&lt;"&amp;E52)+SUMIFS('14_Motor_Liq'!$X$5:$X$504,'14_Motor_Liq'!$W$5:$W$504,"&gt;="&amp;D52,'14_Motor_Liq'!$W$5:$W$504,"&lt;"&amp;E52)+SUMIFS('14_Motor_Liq'!$AB$5:$AB$504,'14_Motor_Liq'!$AA$5:$AA$504,"&gt;="&amp;D52,'14_Motor_Liq'!$AA$5:$AA$504,"&lt;"&amp;E52)+SUMIFS('14_Motor_Liq'!$AF$5:$AF$504,'14_Motor_Liq'!$AE$5:$AE$504,"&gt;="&amp;D52,'14_Motor_Liq'!$AE$5:$AE$504,"&lt;"&amp;E52)</f>
        <v>0</v>
      </c>
      <c r="I52" s="82" t="n">
        <f aca="false">G52+H52</f>
        <v>0</v>
      </c>
      <c r="J52" s="83" t="str">
        <f aca="false">IF(MAX($I$44:$I$104)=0,"",REPT("|",ROUND(I52/MAX($I$44:$I$104)*45,0)))</f>
        <v/>
      </c>
      <c r="K52" s="84" t="n">
        <f aca="false">IF(B52&gt;0,SUMIFS($H$44:$H$104,$B$44:$B$104,"&gt;=0",$B$44:$B$104,"&lt;="&amp;B52),IF(B52&lt;0,SUMIFS($G$44:$G$104,$B$44:$B$104,"&lt;=0",$B$44:$B$104,"&gt;="&amp;B52),G52+H52))</f>
        <v>0</v>
      </c>
    </row>
    <row r="53" customFormat="false" ht="15" hidden="false" customHeight="false" outlineLevel="0" collapsed="false">
      <c r="A53" s="75" t="str">
        <f aca="false">IF(B53=0,"&lt;&lt; PRECIO ACTUAL",IF(AND(G53&gt;0,G53=MAX($G$44:$G$104)),"CLUSTER LONG MAYOR",IF(AND(H53&gt;0,H53=MAX($H$44:$H$104)),"CLUSTER SHORT MAYOR",IF(AND(ISNUMBER($B$31),B53=$B$31),"primer cluster long",IF(AND(ISNUMBER($B$34),B53=$B$34),"primer cluster short","")))))</f>
        <v/>
      </c>
      <c r="B53" s="76" t="n">
        <v>21</v>
      </c>
      <c r="C53" s="77" t="n">
        <f aca="false">$B$5*(1+B53*$B$8)</f>
        <v>85612.085</v>
      </c>
      <c r="D53" s="78" t="n">
        <f aca="false">$B$5*(1+(B53-0.5)*$B$8)</f>
        <v>85418.3925</v>
      </c>
      <c r="E53" s="78" t="n">
        <f aca="false">$B$5*(1+(B53+0.5)*$B$8)</f>
        <v>85805.7775</v>
      </c>
      <c r="F53" s="79" t="n">
        <f aca="false">B53*$B$8</f>
        <v>0.105</v>
      </c>
      <c r="G53" s="80" t="n">
        <f aca="false">SUMIFS('14_Motor_Liq'!$N$5:$N$504,'14_Motor_Liq'!$M$5:$M$504,"&gt;="&amp;D53,'14_Motor_Liq'!$M$5:$M$504,"&lt;"&amp;E53)+SUMIFS('14_Motor_Liq'!$R$5:$R$504,'14_Motor_Liq'!$Q$5:$Q$504,"&gt;="&amp;D53,'14_Motor_Liq'!$Q$5:$Q$504,"&lt;"&amp;E53)+SUMIFS('14_Motor_Liq'!$V$5:$V$504,'14_Motor_Liq'!$U$5:$U$504,"&gt;="&amp;D53,'14_Motor_Liq'!$U$5:$U$504,"&lt;"&amp;E53)+SUMIFS('14_Motor_Liq'!$Z$5:$Z$504,'14_Motor_Liq'!$Y$5:$Y$504,"&gt;="&amp;D53,'14_Motor_Liq'!$Y$5:$Y$504,"&lt;"&amp;E53)+SUMIFS('14_Motor_Liq'!$AD$5:$AD$504,'14_Motor_Liq'!$AC$5:$AC$504,"&gt;="&amp;D53,'14_Motor_Liq'!$AC$5:$AC$504,"&lt;"&amp;E53)</f>
        <v>0</v>
      </c>
      <c r="H53" s="81" t="n">
        <f aca="false">SUMIFS('14_Motor_Liq'!$P$5:$P$504,'14_Motor_Liq'!$O$5:$O$504,"&gt;="&amp;D53,'14_Motor_Liq'!$O$5:$O$504,"&lt;"&amp;E53)+SUMIFS('14_Motor_Liq'!$T$5:$T$504,'14_Motor_Liq'!$S$5:$S$504,"&gt;="&amp;D53,'14_Motor_Liq'!$S$5:$S$504,"&lt;"&amp;E53)+SUMIFS('14_Motor_Liq'!$X$5:$X$504,'14_Motor_Liq'!$W$5:$W$504,"&gt;="&amp;D53,'14_Motor_Liq'!$W$5:$W$504,"&lt;"&amp;E53)+SUMIFS('14_Motor_Liq'!$AB$5:$AB$504,'14_Motor_Liq'!$AA$5:$AA$504,"&gt;="&amp;D53,'14_Motor_Liq'!$AA$5:$AA$504,"&lt;"&amp;E53)+SUMIFS('14_Motor_Liq'!$AF$5:$AF$504,'14_Motor_Liq'!$AE$5:$AE$504,"&gt;="&amp;D53,'14_Motor_Liq'!$AE$5:$AE$504,"&lt;"&amp;E53)</f>
        <v>0</v>
      </c>
      <c r="I53" s="82" t="n">
        <f aca="false">G53+H53</f>
        <v>0</v>
      </c>
      <c r="J53" s="83" t="str">
        <f aca="false">IF(MAX($I$44:$I$104)=0,"",REPT("|",ROUND(I53/MAX($I$44:$I$104)*45,0)))</f>
        <v/>
      </c>
      <c r="K53" s="84" t="n">
        <f aca="false">IF(B53&gt;0,SUMIFS($H$44:$H$104,$B$44:$B$104,"&gt;=0",$B$44:$B$104,"&lt;="&amp;B53),IF(B53&lt;0,SUMIFS($G$44:$G$104,$B$44:$B$104,"&lt;=0",$B$44:$B$104,"&gt;="&amp;B53),G53+H53))</f>
        <v>0</v>
      </c>
    </row>
    <row r="54" customFormat="false" ht="15" hidden="false" customHeight="false" outlineLevel="0" collapsed="false">
      <c r="A54" s="75" t="str">
        <f aca="false">IF(B54=0,"&lt;&lt; PRECIO ACTUAL",IF(AND(G54&gt;0,G54=MAX($G$44:$G$104)),"CLUSTER LONG MAYOR",IF(AND(H54&gt;0,H54=MAX($H$44:$H$104)),"CLUSTER SHORT MAYOR",IF(AND(ISNUMBER($B$31),B54=$B$31),"primer cluster long",IF(AND(ISNUMBER($B$34),B54=$B$34),"primer cluster short","")))))</f>
        <v/>
      </c>
      <c r="B54" s="76" t="n">
        <v>20</v>
      </c>
      <c r="C54" s="77" t="n">
        <f aca="false">$B$5*(1+B54*$B$8)</f>
        <v>85224.7</v>
      </c>
      <c r="D54" s="78" t="n">
        <f aca="false">$B$5*(1+(B54-0.5)*$B$8)</f>
        <v>85031.0075</v>
      </c>
      <c r="E54" s="78" t="n">
        <f aca="false">$B$5*(1+(B54+0.5)*$B$8)</f>
        <v>85418.3925</v>
      </c>
      <c r="F54" s="79" t="n">
        <f aca="false">B54*$B$8</f>
        <v>0.1</v>
      </c>
      <c r="G54" s="80" t="n">
        <f aca="false">SUMIFS('14_Motor_Liq'!$N$5:$N$504,'14_Motor_Liq'!$M$5:$M$504,"&gt;="&amp;D54,'14_Motor_Liq'!$M$5:$M$504,"&lt;"&amp;E54)+SUMIFS('14_Motor_Liq'!$R$5:$R$504,'14_Motor_Liq'!$Q$5:$Q$504,"&gt;="&amp;D54,'14_Motor_Liq'!$Q$5:$Q$504,"&lt;"&amp;E54)+SUMIFS('14_Motor_Liq'!$V$5:$V$504,'14_Motor_Liq'!$U$5:$U$504,"&gt;="&amp;D54,'14_Motor_Liq'!$U$5:$U$504,"&lt;"&amp;E54)+SUMIFS('14_Motor_Liq'!$Z$5:$Z$504,'14_Motor_Liq'!$Y$5:$Y$504,"&gt;="&amp;D54,'14_Motor_Liq'!$Y$5:$Y$504,"&lt;"&amp;E54)+SUMIFS('14_Motor_Liq'!$AD$5:$AD$504,'14_Motor_Liq'!$AC$5:$AC$504,"&gt;="&amp;D54,'14_Motor_Liq'!$AC$5:$AC$504,"&lt;"&amp;E54)</f>
        <v>0</v>
      </c>
      <c r="H54" s="81" t="n">
        <f aca="false">SUMIFS('14_Motor_Liq'!$P$5:$P$504,'14_Motor_Liq'!$O$5:$O$504,"&gt;="&amp;D54,'14_Motor_Liq'!$O$5:$O$504,"&lt;"&amp;E54)+SUMIFS('14_Motor_Liq'!$T$5:$T$504,'14_Motor_Liq'!$S$5:$S$504,"&gt;="&amp;D54,'14_Motor_Liq'!$S$5:$S$504,"&lt;"&amp;E54)+SUMIFS('14_Motor_Liq'!$X$5:$X$504,'14_Motor_Liq'!$W$5:$W$504,"&gt;="&amp;D54,'14_Motor_Liq'!$W$5:$W$504,"&lt;"&amp;E54)+SUMIFS('14_Motor_Liq'!$AB$5:$AB$504,'14_Motor_Liq'!$AA$5:$AA$504,"&gt;="&amp;D54,'14_Motor_Liq'!$AA$5:$AA$504,"&lt;"&amp;E54)+SUMIFS('14_Motor_Liq'!$AF$5:$AF$504,'14_Motor_Liq'!$AE$5:$AE$504,"&gt;="&amp;D54,'14_Motor_Liq'!$AE$5:$AE$504,"&lt;"&amp;E54)</f>
        <v>0</v>
      </c>
      <c r="I54" s="82" t="n">
        <f aca="false">G54+H54</f>
        <v>0</v>
      </c>
      <c r="J54" s="83" t="str">
        <f aca="false">IF(MAX($I$44:$I$104)=0,"",REPT("|",ROUND(I54/MAX($I$44:$I$104)*45,0)))</f>
        <v/>
      </c>
      <c r="K54" s="84" t="n">
        <f aca="false">IF(B54&gt;0,SUMIFS($H$44:$H$104,$B$44:$B$104,"&gt;=0",$B$44:$B$104,"&lt;="&amp;B54),IF(B54&lt;0,SUMIFS($G$44:$G$104,$B$44:$B$104,"&lt;=0",$B$44:$B$104,"&gt;="&amp;B54),G54+H54))</f>
        <v>0</v>
      </c>
    </row>
    <row r="55" customFormat="false" ht="15" hidden="false" customHeight="false" outlineLevel="0" collapsed="false">
      <c r="A55" s="75" t="str">
        <f aca="false">IF(B55=0,"&lt;&lt; PRECIO ACTUAL",IF(AND(G55&gt;0,G55=MAX($G$44:$G$104)),"CLUSTER LONG MAYOR",IF(AND(H55&gt;0,H55=MAX($H$44:$H$104)),"CLUSTER SHORT MAYOR",IF(AND(ISNUMBER($B$31),B55=$B$31),"primer cluster long",IF(AND(ISNUMBER($B$34),B55=$B$34),"primer cluster short","")))))</f>
        <v/>
      </c>
      <c r="B55" s="76" t="n">
        <v>19</v>
      </c>
      <c r="C55" s="77" t="n">
        <f aca="false">$B$5*(1+B55*$B$8)</f>
        <v>84837.315</v>
      </c>
      <c r="D55" s="78" t="n">
        <f aca="false">$B$5*(1+(B55-0.5)*$B$8)</f>
        <v>84643.6225</v>
      </c>
      <c r="E55" s="78" t="n">
        <f aca="false">$B$5*(1+(B55+0.5)*$B$8)</f>
        <v>85031.0075</v>
      </c>
      <c r="F55" s="79" t="n">
        <f aca="false">B55*$B$8</f>
        <v>0.095</v>
      </c>
      <c r="G55" s="80" t="n">
        <f aca="false">SUMIFS('14_Motor_Liq'!$N$5:$N$504,'14_Motor_Liq'!$M$5:$M$504,"&gt;="&amp;D55,'14_Motor_Liq'!$M$5:$M$504,"&lt;"&amp;E55)+SUMIFS('14_Motor_Liq'!$R$5:$R$504,'14_Motor_Liq'!$Q$5:$Q$504,"&gt;="&amp;D55,'14_Motor_Liq'!$Q$5:$Q$504,"&lt;"&amp;E55)+SUMIFS('14_Motor_Liq'!$V$5:$V$504,'14_Motor_Liq'!$U$5:$U$504,"&gt;="&amp;D55,'14_Motor_Liq'!$U$5:$U$504,"&lt;"&amp;E55)+SUMIFS('14_Motor_Liq'!$Z$5:$Z$504,'14_Motor_Liq'!$Y$5:$Y$504,"&gt;="&amp;D55,'14_Motor_Liq'!$Y$5:$Y$504,"&lt;"&amp;E55)+SUMIFS('14_Motor_Liq'!$AD$5:$AD$504,'14_Motor_Liq'!$AC$5:$AC$504,"&gt;="&amp;D55,'14_Motor_Liq'!$AC$5:$AC$504,"&lt;"&amp;E55)</f>
        <v>0</v>
      </c>
      <c r="H55" s="81" t="n">
        <f aca="false">SUMIFS('14_Motor_Liq'!$P$5:$P$504,'14_Motor_Liq'!$O$5:$O$504,"&gt;="&amp;D55,'14_Motor_Liq'!$O$5:$O$504,"&lt;"&amp;E55)+SUMIFS('14_Motor_Liq'!$T$5:$T$504,'14_Motor_Liq'!$S$5:$S$504,"&gt;="&amp;D55,'14_Motor_Liq'!$S$5:$S$504,"&lt;"&amp;E55)+SUMIFS('14_Motor_Liq'!$X$5:$X$504,'14_Motor_Liq'!$W$5:$W$504,"&gt;="&amp;D55,'14_Motor_Liq'!$W$5:$W$504,"&lt;"&amp;E55)+SUMIFS('14_Motor_Liq'!$AB$5:$AB$504,'14_Motor_Liq'!$AA$5:$AA$504,"&gt;="&amp;D55,'14_Motor_Liq'!$AA$5:$AA$504,"&lt;"&amp;E55)+SUMIFS('14_Motor_Liq'!$AF$5:$AF$504,'14_Motor_Liq'!$AE$5:$AE$504,"&gt;="&amp;D55,'14_Motor_Liq'!$AE$5:$AE$504,"&lt;"&amp;E55)</f>
        <v>0</v>
      </c>
      <c r="I55" s="82" t="n">
        <f aca="false">G55+H55</f>
        <v>0</v>
      </c>
      <c r="J55" s="83" t="str">
        <f aca="false">IF(MAX($I$44:$I$104)=0,"",REPT("|",ROUND(I55/MAX($I$44:$I$104)*45,0)))</f>
        <v/>
      </c>
      <c r="K55" s="84" t="n">
        <f aca="false">IF(B55&gt;0,SUMIFS($H$44:$H$104,$B$44:$B$104,"&gt;=0",$B$44:$B$104,"&lt;="&amp;B55),IF(B55&lt;0,SUMIFS($G$44:$G$104,$B$44:$B$104,"&lt;=0",$B$44:$B$104,"&gt;="&amp;B55),G55+H55))</f>
        <v>0</v>
      </c>
    </row>
    <row r="56" customFormat="false" ht="15" hidden="false" customHeight="false" outlineLevel="0" collapsed="false">
      <c r="A56" s="75" t="str">
        <f aca="false">IF(B56=0,"&lt;&lt; PRECIO ACTUAL",IF(AND(G56&gt;0,G56=MAX($G$44:$G$104)),"CLUSTER LONG MAYOR",IF(AND(H56&gt;0,H56=MAX($H$44:$H$104)),"CLUSTER SHORT MAYOR",IF(AND(ISNUMBER($B$31),B56=$B$31),"primer cluster long",IF(AND(ISNUMBER($B$34),B56=$B$34),"primer cluster short","")))))</f>
        <v/>
      </c>
      <c r="B56" s="76" t="n">
        <v>18</v>
      </c>
      <c r="C56" s="77" t="n">
        <f aca="false">$B$5*(1+B56*$B$8)</f>
        <v>84449.93</v>
      </c>
      <c r="D56" s="78" t="n">
        <f aca="false">$B$5*(1+(B56-0.5)*$B$8)</f>
        <v>84256.2375</v>
      </c>
      <c r="E56" s="78" t="n">
        <f aca="false">$B$5*(1+(B56+0.5)*$B$8)</f>
        <v>84643.6225</v>
      </c>
      <c r="F56" s="79" t="n">
        <f aca="false">B56*$B$8</f>
        <v>0.09</v>
      </c>
      <c r="G56" s="80" t="n">
        <f aca="false">SUMIFS('14_Motor_Liq'!$N$5:$N$504,'14_Motor_Liq'!$M$5:$M$504,"&gt;="&amp;D56,'14_Motor_Liq'!$M$5:$M$504,"&lt;"&amp;E56)+SUMIFS('14_Motor_Liq'!$R$5:$R$504,'14_Motor_Liq'!$Q$5:$Q$504,"&gt;="&amp;D56,'14_Motor_Liq'!$Q$5:$Q$504,"&lt;"&amp;E56)+SUMIFS('14_Motor_Liq'!$V$5:$V$504,'14_Motor_Liq'!$U$5:$U$504,"&gt;="&amp;D56,'14_Motor_Liq'!$U$5:$U$504,"&lt;"&amp;E56)+SUMIFS('14_Motor_Liq'!$Z$5:$Z$504,'14_Motor_Liq'!$Y$5:$Y$504,"&gt;="&amp;D56,'14_Motor_Liq'!$Y$5:$Y$504,"&lt;"&amp;E56)+SUMIFS('14_Motor_Liq'!$AD$5:$AD$504,'14_Motor_Liq'!$AC$5:$AC$504,"&gt;="&amp;D56,'14_Motor_Liq'!$AC$5:$AC$504,"&lt;"&amp;E56)</f>
        <v>0</v>
      </c>
      <c r="H56" s="81" t="n">
        <f aca="false">SUMIFS('14_Motor_Liq'!$P$5:$P$504,'14_Motor_Liq'!$O$5:$O$504,"&gt;="&amp;D56,'14_Motor_Liq'!$O$5:$O$504,"&lt;"&amp;E56)+SUMIFS('14_Motor_Liq'!$T$5:$T$504,'14_Motor_Liq'!$S$5:$S$504,"&gt;="&amp;D56,'14_Motor_Liq'!$S$5:$S$504,"&lt;"&amp;E56)+SUMIFS('14_Motor_Liq'!$X$5:$X$504,'14_Motor_Liq'!$W$5:$W$504,"&gt;="&amp;D56,'14_Motor_Liq'!$W$5:$W$504,"&lt;"&amp;E56)+SUMIFS('14_Motor_Liq'!$AB$5:$AB$504,'14_Motor_Liq'!$AA$5:$AA$504,"&gt;="&amp;D56,'14_Motor_Liq'!$AA$5:$AA$504,"&lt;"&amp;E56)+SUMIFS('14_Motor_Liq'!$AF$5:$AF$504,'14_Motor_Liq'!$AE$5:$AE$504,"&gt;="&amp;D56,'14_Motor_Liq'!$AE$5:$AE$504,"&lt;"&amp;E56)</f>
        <v>0</v>
      </c>
      <c r="I56" s="82" t="n">
        <f aca="false">G56+H56</f>
        <v>0</v>
      </c>
      <c r="J56" s="83" t="str">
        <f aca="false">IF(MAX($I$44:$I$104)=0,"",REPT("|",ROUND(I56/MAX($I$44:$I$104)*45,0)))</f>
        <v/>
      </c>
      <c r="K56" s="84" t="n">
        <f aca="false">IF(B56&gt;0,SUMIFS($H$44:$H$104,$B$44:$B$104,"&gt;=0",$B$44:$B$104,"&lt;="&amp;B56),IF(B56&lt;0,SUMIFS($G$44:$G$104,$B$44:$B$104,"&lt;=0",$B$44:$B$104,"&gt;="&amp;B56),G56+H56))</f>
        <v>0</v>
      </c>
    </row>
    <row r="57" customFormat="false" ht="15" hidden="false" customHeight="false" outlineLevel="0" collapsed="false">
      <c r="A57" s="75" t="str">
        <f aca="false">IF(B57=0,"&lt;&lt; PRECIO ACTUAL",IF(AND(G57&gt;0,G57=MAX($G$44:$G$104)),"CLUSTER LONG MAYOR",IF(AND(H57&gt;0,H57=MAX($H$44:$H$104)),"CLUSTER SHORT MAYOR",IF(AND(ISNUMBER($B$31),B57=$B$31),"primer cluster long",IF(AND(ISNUMBER($B$34),B57=$B$34),"primer cluster short","")))))</f>
        <v/>
      </c>
      <c r="B57" s="76" t="n">
        <v>17</v>
      </c>
      <c r="C57" s="77" t="n">
        <f aca="false">$B$5*(1+B57*$B$8)</f>
        <v>84062.545</v>
      </c>
      <c r="D57" s="78" t="n">
        <f aca="false">$B$5*(1+(B57-0.5)*$B$8)</f>
        <v>83868.8525</v>
      </c>
      <c r="E57" s="78" t="n">
        <f aca="false">$B$5*(1+(B57+0.5)*$B$8)</f>
        <v>84256.2375</v>
      </c>
      <c r="F57" s="79" t="n">
        <f aca="false">B57*$B$8</f>
        <v>0.085</v>
      </c>
      <c r="G57" s="80" t="n">
        <f aca="false">SUMIFS('14_Motor_Liq'!$N$5:$N$504,'14_Motor_Liq'!$M$5:$M$504,"&gt;="&amp;D57,'14_Motor_Liq'!$M$5:$M$504,"&lt;"&amp;E57)+SUMIFS('14_Motor_Liq'!$R$5:$R$504,'14_Motor_Liq'!$Q$5:$Q$504,"&gt;="&amp;D57,'14_Motor_Liq'!$Q$5:$Q$504,"&lt;"&amp;E57)+SUMIFS('14_Motor_Liq'!$V$5:$V$504,'14_Motor_Liq'!$U$5:$U$504,"&gt;="&amp;D57,'14_Motor_Liq'!$U$5:$U$504,"&lt;"&amp;E57)+SUMIFS('14_Motor_Liq'!$Z$5:$Z$504,'14_Motor_Liq'!$Y$5:$Y$504,"&gt;="&amp;D57,'14_Motor_Liq'!$Y$5:$Y$504,"&lt;"&amp;E57)+SUMIFS('14_Motor_Liq'!$AD$5:$AD$504,'14_Motor_Liq'!$AC$5:$AC$504,"&gt;="&amp;D57,'14_Motor_Liq'!$AC$5:$AC$504,"&lt;"&amp;E57)</f>
        <v>0</v>
      </c>
      <c r="H57" s="81" t="n">
        <f aca="false">SUMIFS('14_Motor_Liq'!$P$5:$P$504,'14_Motor_Liq'!$O$5:$O$504,"&gt;="&amp;D57,'14_Motor_Liq'!$O$5:$O$504,"&lt;"&amp;E57)+SUMIFS('14_Motor_Liq'!$T$5:$T$504,'14_Motor_Liq'!$S$5:$S$504,"&gt;="&amp;D57,'14_Motor_Liq'!$S$5:$S$504,"&lt;"&amp;E57)+SUMIFS('14_Motor_Liq'!$X$5:$X$504,'14_Motor_Liq'!$W$5:$W$504,"&gt;="&amp;D57,'14_Motor_Liq'!$W$5:$W$504,"&lt;"&amp;E57)+SUMIFS('14_Motor_Liq'!$AB$5:$AB$504,'14_Motor_Liq'!$AA$5:$AA$504,"&gt;="&amp;D57,'14_Motor_Liq'!$AA$5:$AA$504,"&lt;"&amp;E57)+SUMIFS('14_Motor_Liq'!$AF$5:$AF$504,'14_Motor_Liq'!$AE$5:$AE$504,"&gt;="&amp;D57,'14_Motor_Liq'!$AE$5:$AE$504,"&lt;"&amp;E57)</f>
        <v>0</v>
      </c>
      <c r="I57" s="82" t="n">
        <f aca="false">G57+H57</f>
        <v>0</v>
      </c>
      <c r="J57" s="83" t="str">
        <f aca="false">IF(MAX($I$44:$I$104)=0,"",REPT("|",ROUND(I57/MAX($I$44:$I$104)*45,0)))</f>
        <v/>
      </c>
      <c r="K57" s="84" t="n">
        <f aca="false">IF(B57&gt;0,SUMIFS($H$44:$H$104,$B$44:$B$104,"&gt;=0",$B$44:$B$104,"&lt;="&amp;B57),IF(B57&lt;0,SUMIFS($G$44:$G$104,$B$44:$B$104,"&lt;=0",$B$44:$B$104,"&gt;="&amp;B57),G57+H57))</f>
        <v>0</v>
      </c>
    </row>
    <row r="58" customFormat="false" ht="15" hidden="false" customHeight="false" outlineLevel="0" collapsed="false">
      <c r="A58" s="75" t="str">
        <f aca="false">IF(B58=0,"&lt;&lt; PRECIO ACTUAL",IF(AND(G58&gt;0,G58=MAX($G$44:$G$104)),"CLUSTER LONG MAYOR",IF(AND(H58&gt;0,H58=MAX($H$44:$H$104)),"CLUSTER SHORT MAYOR",IF(AND(ISNUMBER($B$31),B58=$B$31),"primer cluster long",IF(AND(ISNUMBER($B$34),B58=$B$34),"primer cluster short","")))))</f>
        <v/>
      </c>
      <c r="B58" s="76" t="n">
        <v>16</v>
      </c>
      <c r="C58" s="77" t="n">
        <f aca="false">$B$5*(1+B58*$B$8)</f>
        <v>83675.16</v>
      </c>
      <c r="D58" s="78" t="n">
        <f aca="false">$B$5*(1+(B58-0.5)*$B$8)</f>
        <v>83481.4675</v>
      </c>
      <c r="E58" s="78" t="n">
        <f aca="false">$B$5*(1+(B58+0.5)*$B$8)</f>
        <v>83868.8525</v>
      </c>
      <c r="F58" s="79" t="n">
        <f aca="false">B58*$B$8</f>
        <v>0.08</v>
      </c>
      <c r="G58" s="80" t="n">
        <f aca="false">SUMIFS('14_Motor_Liq'!$N$5:$N$504,'14_Motor_Liq'!$M$5:$M$504,"&gt;="&amp;D58,'14_Motor_Liq'!$M$5:$M$504,"&lt;"&amp;E58)+SUMIFS('14_Motor_Liq'!$R$5:$R$504,'14_Motor_Liq'!$Q$5:$Q$504,"&gt;="&amp;D58,'14_Motor_Liq'!$Q$5:$Q$504,"&lt;"&amp;E58)+SUMIFS('14_Motor_Liq'!$V$5:$V$504,'14_Motor_Liq'!$U$5:$U$504,"&gt;="&amp;D58,'14_Motor_Liq'!$U$5:$U$504,"&lt;"&amp;E58)+SUMIFS('14_Motor_Liq'!$Z$5:$Z$504,'14_Motor_Liq'!$Y$5:$Y$504,"&gt;="&amp;D58,'14_Motor_Liq'!$Y$5:$Y$504,"&lt;"&amp;E58)+SUMIFS('14_Motor_Liq'!$AD$5:$AD$504,'14_Motor_Liq'!$AC$5:$AC$504,"&gt;="&amp;D58,'14_Motor_Liq'!$AC$5:$AC$504,"&lt;"&amp;E58)</f>
        <v>0</v>
      </c>
      <c r="H58" s="81" t="n">
        <f aca="false">SUMIFS('14_Motor_Liq'!$P$5:$P$504,'14_Motor_Liq'!$O$5:$O$504,"&gt;="&amp;D58,'14_Motor_Liq'!$O$5:$O$504,"&lt;"&amp;E58)+SUMIFS('14_Motor_Liq'!$T$5:$T$504,'14_Motor_Liq'!$S$5:$S$504,"&gt;="&amp;D58,'14_Motor_Liq'!$S$5:$S$504,"&lt;"&amp;E58)+SUMIFS('14_Motor_Liq'!$X$5:$X$504,'14_Motor_Liq'!$W$5:$W$504,"&gt;="&amp;D58,'14_Motor_Liq'!$W$5:$W$504,"&lt;"&amp;E58)+SUMIFS('14_Motor_Liq'!$AB$5:$AB$504,'14_Motor_Liq'!$AA$5:$AA$504,"&gt;="&amp;D58,'14_Motor_Liq'!$AA$5:$AA$504,"&lt;"&amp;E58)+SUMIFS('14_Motor_Liq'!$AF$5:$AF$504,'14_Motor_Liq'!$AE$5:$AE$504,"&gt;="&amp;D58,'14_Motor_Liq'!$AE$5:$AE$504,"&lt;"&amp;E58)</f>
        <v>0</v>
      </c>
      <c r="I58" s="82" t="n">
        <f aca="false">G58+H58</f>
        <v>0</v>
      </c>
      <c r="J58" s="83" t="str">
        <f aca="false">IF(MAX($I$44:$I$104)=0,"",REPT("|",ROUND(I58/MAX($I$44:$I$104)*45,0)))</f>
        <v/>
      </c>
      <c r="K58" s="84" t="n">
        <f aca="false">IF(B58&gt;0,SUMIFS($H$44:$H$104,$B$44:$B$104,"&gt;=0",$B$44:$B$104,"&lt;="&amp;B58),IF(B58&lt;0,SUMIFS($G$44:$G$104,$B$44:$B$104,"&lt;=0",$B$44:$B$104,"&gt;="&amp;B58),G58+H58))</f>
        <v>0</v>
      </c>
    </row>
    <row r="59" customFormat="false" ht="15" hidden="false" customHeight="false" outlineLevel="0" collapsed="false">
      <c r="A59" s="75" t="str">
        <f aca="false">IF(B59=0,"&lt;&lt; PRECIO ACTUAL",IF(AND(G59&gt;0,G59=MAX($G$44:$G$104)),"CLUSTER LONG MAYOR",IF(AND(H59&gt;0,H59=MAX($H$44:$H$104)),"CLUSTER SHORT MAYOR",IF(AND(ISNUMBER($B$31),B59=$B$31),"primer cluster long",IF(AND(ISNUMBER($B$34),B59=$B$34),"primer cluster short","")))))</f>
        <v/>
      </c>
      <c r="B59" s="76" t="n">
        <v>15</v>
      </c>
      <c r="C59" s="77" t="n">
        <f aca="false">$B$5*(1+B59*$B$8)</f>
        <v>83287.775</v>
      </c>
      <c r="D59" s="78" t="n">
        <f aca="false">$B$5*(1+(B59-0.5)*$B$8)</f>
        <v>83094.0825</v>
      </c>
      <c r="E59" s="78" t="n">
        <f aca="false">$B$5*(1+(B59+0.5)*$B$8)</f>
        <v>83481.4675</v>
      </c>
      <c r="F59" s="79" t="n">
        <f aca="false">B59*$B$8</f>
        <v>0.075</v>
      </c>
      <c r="G59" s="80" t="n">
        <f aca="false">SUMIFS('14_Motor_Liq'!$N$5:$N$504,'14_Motor_Liq'!$M$5:$M$504,"&gt;="&amp;D59,'14_Motor_Liq'!$M$5:$M$504,"&lt;"&amp;E59)+SUMIFS('14_Motor_Liq'!$R$5:$R$504,'14_Motor_Liq'!$Q$5:$Q$504,"&gt;="&amp;D59,'14_Motor_Liq'!$Q$5:$Q$504,"&lt;"&amp;E59)+SUMIFS('14_Motor_Liq'!$V$5:$V$504,'14_Motor_Liq'!$U$5:$U$504,"&gt;="&amp;D59,'14_Motor_Liq'!$U$5:$U$504,"&lt;"&amp;E59)+SUMIFS('14_Motor_Liq'!$Z$5:$Z$504,'14_Motor_Liq'!$Y$5:$Y$504,"&gt;="&amp;D59,'14_Motor_Liq'!$Y$5:$Y$504,"&lt;"&amp;E59)+SUMIFS('14_Motor_Liq'!$AD$5:$AD$504,'14_Motor_Liq'!$AC$5:$AC$504,"&gt;="&amp;D59,'14_Motor_Liq'!$AC$5:$AC$504,"&lt;"&amp;E59)</f>
        <v>0</v>
      </c>
      <c r="H59" s="81" t="n">
        <f aca="false">SUMIFS('14_Motor_Liq'!$P$5:$P$504,'14_Motor_Liq'!$O$5:$O$504,"&gt;="&amp;D59,'14_Motor_Liq'!$O$5:$O$504,"&lt;"&amp;E59)+SUMIFS('14_Motor_Liq'!$T$5:$T$504,'14_Motor_Liq'!$S$5:$S$504,"&gt;="&amp;D59,'14_Motor_Liq'!$S$5:$S$504,"&lt;"&amp;E59)+SUMIFS('14_Motor_Liq'!$X$5:$X$504,'14_Motor_Liq'!$W$5:$W$504,"&gt;="&amp;D59,'14_Motor_Liq'!$W$5:$W$504,"&lt;"&amp;E59)+SUMIFS('14_Motor_Liq'!$AB$5:$AB$504,'14_Motor_Liq'!$AA$5:$AA$504,"&gt;="&amp;D59,'14_Motor_Liq'!$AA$5:$AA$504,"&lt;"&amp;E59)+SUMIFS('14_Motor_Liq'!$AF$5:$AF$504,'14_Motor_Liq'!$AE$5:$AE$504,"&gt;="&amp;D59,'14_Motor_Liq'!$AE$5:$AE$504,"&lt;"&amp;E59)</f>
        <v>0</v>
      </c>
      <c r="I59" s="82" t="n">
        <f aca="false">G59+H59</f>
        <v>0</v>
      </c>
      <c r="J59" s="83" t="str">
        <f aca="false">IF(MAX($I$44:$I$104)=0,"",REPT("|",ROUND(I59/MAX($I$44:$I$104)*45,0)))</f>
        <v/>
      </c>
      <c r="K59" s="84" t="n">
        <f aca="false">IF(B59&gt;0,SUMIFS($H$44:$H$104,$B$44:$B$104,"&gt;=0",$B$44:$B$104,"&lt;="&amp;B59),IF(B59&lt;0,SUMIFS($G$44:$G$104,$B$44:$B$104,"&lt;=0",$B$44:$B$104,"&gt;="&amp;B59),G59+H59))</f>
        <v>0</v>
      </c>
    </row>
    <row r="60" customFormat="false" ht="15" hidden="false" customHeight="false" outlineLevel="0" collapsed="false">
      <c r="A60" s="75" t="str">
        <f aca="false">IF(B60=0,"&lt;&lt; PRECIO ACTUAL",IF(AND(G60&gt;0,G60=MAX($G$44:$G$104)),"CLUSTER LONG MAYOR",IF(AND(H60&gt;0,H60=MAX($H$44:$H$104)),"CLUSTER SHORT MAYOR",IF(AND(ISNUMBER($B$31),B60=$B$31),"primer cluster long",IF(AND(ISNUMBER($B$34),B60=$B$34),"primer cluster short","")))))</f>
        <v/>
      </c>
      <c r="B60" s="76" t="n">
        <v>14</v>
      </c>
      <c r="C60" s="77" t="n">
        <f aca="false">$B$5*(1+B60*$B$8)</f>
        <v>82900.39</v>
      </c>
      <c r="D60" s="78" t="n">
        <f aca="false">$B$5*(1+(B60-0.5)*$B$8)</f>
        <v>82706.6975</v>
      </c>
      <c r="E60" s="78" t="n">
        <f aca="false">$B$5*(1+(B60+0.5)*$B$8)</f>
        <v>83094.0825</v>
      </c>
      <c r="F60" s="79" t="n">
        <f aca="false">B60*$B$8</f>
        <v>0.07</v>
      </c>
      <c r="G60" s="80" t="n">
        <f aca="false">SUMIFS('14_Motor_Liq'!$N$5:$N$504,'14_Motor_Liq'!$M$5:$M$504,"&gt;="&amp;D60,'14_Motor_Liq'!$M$5:$M$504,"&lt;"&amp;E60)+SUMIFS('14_Motor_Liq'!$R$5:$R$504,'14_Motor_Liq'!$Q$5:$Q$504,"&gt;="&amp;D60,'14_Motor_Liq'!$Q$5:$Q$504,"&lt;"&amp;E60)+SUMIFS('14_Motor_Liq'!$V$5:$V$504,'14_Motor_Liq'!$U$5:$U$504,"&gt;="&amp;D60,'14_Motor_Liq'!$U$5:$U$504,"&lt;"&amp;E60)+SUMIFS('14_Motor_Liq'!$Z$5:$Z$504,'14_Motor_Liq'!$Y$5:$Y$504,"&gt;="&amp;D60,'14_Motor_Liq'!$Y$5:$Y$504,"&lt;"&amp;E60)+SUMIFS('14_Motor_Liq'!$AD$5:$AD$504,'14_Motor_Liq'!$AC$5:$AC$504,"&gt;="&amp;D60,'14_Motor_Liq'!$AC$5:$AC$504,"&lt;"&amp;E60)</f>
        <v>0</v>
      </c>
      <c r="H60" s="81" t="n">
        <f aca="false">SUMIFS('14_Motor_Liq'!$P$5:$P$504,'14_Motor_Liq'!$O$5:$O$504,"&gt;="&amp;D60,'14_Motor_Liq'!$O$5:$O$504,"&lt;"&amp;E60)+SUMIFS('14_Motor_Liq'!$T$5:$T$504,'14_Motor_Liq'!$S$5:$S$504,"&gt;="&amp;D60,'14_Motor_Liq'!$S$5:$S$504,"&lt;"&amp;E60)+SUMIFS('14_Motor_Liq'!$X$5:$X$504,'14_Motor_Liq'!$W$5:$W$504,"&gt;="&amp;D60,'14_Motor_Liq'!$W$5:$W$504,"&lt;"&amp;E60)+SUMIFS('14_Motor_Liq'!$AB$5:$AB$504,'14_Motor_Liq'!$AA$5:$AA$504,"&gt;="&amp;D60,'14_Motor_Liq'!$AA$5:$AA$504,"&lt;"&amp;E60)+SUMIFS('14_Motor_Liq'!$AF$5:$AF$504,'14_Motor_Liq'!$AE$5:$AE$504,"&gt;="&amp;D60,'14_Motor_Liq'!$AE$5:$AE$504,"&lt;"&amp;E60)</f>
        <v>0</v>
      </c>
      <c r="I60" s="82" t="n">
        <f aca="false">G60+H60</f>
        <v>0</v>
      </c>
      <c r="J60" s="83" t="str">
        <f aca="false">IF(MAX($I$44:$I$104)=0,"",REPT("|",ROUND(I60/MAX($I$44:$I$104)*45,0)))</f>
        <v/>
      </c>
      <c r="K60" s="84" t="n">
        <f aca="false">IF(B60&gt;0,SUMIFS($H$44:$H$104,$B$44:$B$104,"&gt;=0",$B$44:$B$104,"&lt;="&amp;B60),IF(B60&lt;0,SUMIFS($G$44:$G$104,$B$44:$B$104,"&lt;=0",$B$44:$B$104,"&gt;="&amp;B60),G60+H60))</f>
        <v>0</v>
      </c>
    </row>
    <row r="61" customFormat="false" ht="15" hidden="false" customHeight="false" outlineLevel="0" collapsed="false">
      <c r="A61" s="75" t="str">
        <f aca="false">IF(B61=0,"&lt;&lt; PRECIO ACTUAL",IF(AND(G61&gt;0,G61=MAX($G$44:$G$104)),"CLUSTER LONG MAYOR",IF(AND(H61&gt;0,H61=MAX($H$44:$H$104)),"CLUSTER SHORT MAYOR",IF(AND(ISNUMBER($B$31),B61=$B$31),"primer cluster long",IF(AND(ISNUMBER($B$34),B61=$B$34),"primer cluster short","")))))</f>
        <v/>
      </c>
      <c r="B61" s="76" t="n">
        <v>13</v>
      </c>
      <c r="C61" s="77" t="n">
        <f aca="false">$B$5*(1+B61*$B$8)</f>
        <v>82513.005</v>
      </c>
      <c r="D61" s="78" t="n">
        <f aca="false">$B$5*(1+(B61-0.5)*$B$8)</f>
        <v>82319.3125</v>
      </c>
      <c r="E61" s="78" t="n">
        <f aca="false">$B$5*(1+(B61+0.5)*$B$8)</f>
        <v>82706.6975</v>
      </c>
      <c r="F61" s="79" t="n">
        <f aca="false">B61*$B$8</f>
        <v>0.065</v>
      </c>
      <c r="G61" s="80" t="n">
        <f aca="false">SUMIFS('14_Motor_Liq'!$N$5:$N$504,'14_Motor_Liq'!$M$5:$M$504,"&gt;="&amp;D61,'14_Motor_Liq'!$M$5:$M$504,"&lt;"&amp;E61)+SUMIFS('14_Motor_Liq'!$R$5:$R$504,'14_Motor_Liq'!$Q$5:$Q$504,"&gt;="&amp;D61,'14_Motor_Liq'!$Q$5:$Q$504,"&lt;"&amp;E61)+SUMIFS('14_Motor_Liq'!$V$5:$V$504,'14_Motor_Liq'!$U$5:$U$504,"&gt;="&amp;D61,'14_Motor_Liq'!$U$5:$U$504,"&lt;"&amp;E61)+SUMIFS('14_Motor_Liq'!$Z$5:$Z$504,'14_Motor_Liq'!$Y$5:$Y$504,"&gt;="&amp;D61,'14_Motor_Liq'!$Y$5:$Y$504,"&lt;"&amp;E61)+SUMIFS('14_Motor_Liq'!$AD$5:$AD$504,'14_Motor_Liq'!$AC$5:$AC$504,"&gt;="&amp;D61,'14_Motor_Liq'!$AC$5:$AC$504,"&lt;"&amp;E61)</f>
        <v>0</v>
      </c>
      <c r="H61" s="81" t="n">
        <f aca="false">SUMIFS('14_Motor_Liq'!$P$5:$P$504,'14_Motor_Liq'!$O$5:$O$504,"&gt;="&amp;D61,'14_Motor_Liq'!$O$5:$O$504,"&lt;"&amp;E61)+SUMIFS('14_Motor_Liq'!$T$5:$T$504,'14_Motor_Liq'!$S$5:$S$504,"&gt;="&amp;D61,'14_Motor_Liq'!$S$5:$S$504,"&lt;"&amp;E61)+SUMIFS('14_Motor_Liq'!$X$5:$X$504,'14_Motor_Liq'!$W$5:$W$504,"&gt;="&amp;D61,'14_Motor_Liq'!$W$5:$W$504,"&lt;"&amp;E61)+SUMIFS('14_Motor_Liq'!$AB$5:$AB$504,'14_Motor_Liq'!$AA$5:$AA$504,"&gt;="&amp;D61,'14_Motor_Liq'!$AA$5:$AA$504,"&lt;"&amp;E61)+SUMIFS('14_Motor_Liq'!$AF$5:$AF$504,'14_Motor_Liq'!$AE$5:$AE$504,"&gt;="&amp;D61,'14_Motor_Liq'!$AE$5:$AE$504,"&lt;"&amp;E61)</f>
        <v>0</v>
      </c>
      <c r="I61" s="82" t="n">
        <f aca="false">G61+H61</f>
        <v>0</v>
      </c>
      <c r="J61" s="83" t="str">
        <f aca="false">IF(MAX($I$44:$I$104)=0,"",REPT("|",ROUND(I61/MAX($I$44:$I$104)*45,0)))</f>
        <v/>
      </c>
      <c r="K61" s="84" t="n">
        <f aca="false">IF(B61&gt;0,SUMIFS($H$44:$H$104,$B$44:$B$104,"&gt;=0",$B$44:$B$104,"&lt;="&amp;B61),IF(B61&lt;0,SUMIFS($G$44:$G$104,$B$44:$B$104,"&lt;=0",$B$44:$B$104,"&gt;="&amp;B61),G61+H61))</f>
        <v>0</v>
      </c>
    </row>
    <row r="62" customFormat="false" ht="15" hidden="false" customHeight="false" outlineLevel="0" collapsed="false">
      <c r="A62" s="75" t="str">
        <f aca="false">IF(B62=0,"&lt;&lt; PRECIO ACTUAL",IF(AND(G62&gt;0,G62=MAX($G$44:$G$104)),"CLUSTER LONG MAYOR",IF(AND(H62&gt;0,H62=MAX($H$44:$H$104)),"CLUSTER SHORT MAYOR",IF(AND(ISNUMBER($B$31),B62=$B$31),"primer cluster long",IF(AND(ISNUMBER($B$34),B62=$B$34),"primer cluster short","")))))</f>
        <v/>
      </c>
      <c r="B62" s="76" t="n">
        <v>12</v>
      </c>
      <c r="C62" s="77" t="n">
        <f aca="false">$B$5*(1+B62*$B$8)</f>
        <v>82125.62</v>
      </c>
      <c r="D62" s="78" t="n">
        <f aca="false">$B$5*(1+(B62-0.5)*$B$8)</f>
        <v>81931.9275</v>
      </c>
      <c r="E62" s="78" t="n">
        <f aca="false">$B$5*(1+(B62+0.5)*$B$8)</f>
        <v>82319.3125</v>
      </c>
      <c r="F62" s="79" t="n">
        <f aca="false">B62*$B$8</f>
        <v>0.06</v>
      </c>
      <c r="G62" s="80" t="n">
        <f aca="false">SUMIFS('14_Motor_Liq'!$N$5:$N$504,'14_Motor_Liq'!$M$5:$M$504,"&gt;="&amp;D62,'14_Motor_Liq'!$M$5:$M$504,"&lt;"&amp;E62)+SUMIFS('14_Motor_Liq'!$R$5:$R$504,'14_Motor_Liq'!$Q$5:$Q$504,"&gt;="&amp;D62,'14_Motor_Liq'!$Q$5:$Q$504,"&lt;"&amp;E62)+SUMIFS('14_Motor_Liq'!$V$5:$V$504,'14_Motor_Liq'!$U$5:$U$504,"&gt;="&amp;D62,'14_Motor_Liq'!$U$5:$U$504,"&lt;"&amp;E62)+SUMIFS('14_Motor_Liq'!$Z$5:$Z$504,'14_Motor_Liq'!$Y$5:$Y$504,"&gt;="&amp;D62,'14_Motor_Liq'!$Y$5:$Y$504,"&lt;"&amp;E62)+SUMIFS('14_Motor_Liq'!$AD$5:$AD$504,'14_Motor_Liq'!$AC$5:$AC$504,"&gt;="&amp;D62,'14_Motor_Liq'!$AC$5:$AC$504,"&lt;"&amp;E62)</f>
        <v>0</v>
      </c>
      <c r="H62" s="81" t="n">
        <f aca="false">SUMIFS('14_Motor_Liq'!$P$5:$P$504,'14_Motor_Liq'!$O$5:$O$504,"&gt;="&amp;D62,'14_Motor_Liq'!$O$5:$O$504,"&lt;"&amp;E62)+SUMIFS('14_Motor_Liq'!$T$5:$T$504,'14_Motor_Liq'!$S$5:$S$504,"&gt;="&amp;D62,'14_Motor_Liq'!$S$5:$S$504,"&lt;"&amp;E62)+SUMIFS('14_Motor_Liq'!$X$5:$X$504,'14_Motor_Liq'!$W$5:$W$504,"&gt;="&amp;D62,'14_Motor_Liq'!$W$5:$W$504,"&lt;"&amp;E62)+SUMIFS('14_Motor_Liq'!$AB$5:$AB$504,'14_Motor_Liq'!$AA$5:$AA$504,"&gt;="&amp;D62,'14_Motor_Liq'!$AA$5:$AA$504,"&lt;"&amp;E62)+SUMIFS('14_Motor_Liq'!$AF$5:$AF$504,'14_Motor_Liq'!$AE$5:$AE$504,"&gt;="&amp;D62,'14_Motor_Liq'!$AE$5:$AE$504,"&lt;"&amp;E62)</f>
        <v>0</v>
      </c>
      <c r="I62" s="82" t="n">
        <f aca="false">G62+H62</f>
        <v>0</v>
      </c>
      <c r="J62" s="83" t="str">
        <f aca="false">IF(MAX($I$44:$I$104)=0,"",REPT("|",ROUND(I62/MAX($I$44:$I$104)*45,0)))</f>
        <v/>
      </c>
      <c r="K62" s="84" t="n">
        <f aca="false">IF(B62&gt;0,SUMIFS($H$44:$H$104,$B$44:$B$104,"&gt;=0",$B$44:$B$104,"&lt;="&amp;B62),IF(B62&lt;0,SUMIFS($G$44:$G$104,$B$44:$B$104,"&lt;=0",$B$44:$B$104,"&gt;="&amp;B62),G62+H62))</f>
        <v>0</v>
      </c>
    </row>
    <row r="63" customFormat="false" ht="15" hidden="false" customHeight="false" outlineLevel="0" collapsed="false">
      <c r="A63" s="75" t="str">
        <f aca="false">IF(B63=0,"&lt;&lt; PRECIO ACTUAL",IF(AND(G63&gt;0,G63=MAX($G$44:$G$104)),"CLUSTER LONG MAYOR",IF(AND(H63&gt;0,H63=MAX($H$44:$H$104)),"CLUSTER SHORT MAYOR",IF(AND(ISNUMBER($B$31),B63=$B$31),"primer cluster long",IF(AND(ISNUMBER($B$34),B63=$B$34),"primer cluster short","")))))</f>
        <v/>
      </c>
      <c r="B63" s="76" t="n">
        <v>11</v>
      </c>
      <c r="C63" s="77" t="n">
        <f aca="false">$B$5*(1+B63*$B$8)</f>
        <v>81738.235</v>
      </c>
      <c r="D63" s="78" t="n">
        <f aca="false">$B$5*(1+(B63-0.5)*$B$8)</f>
        <v>81544.5425</v>
      </c>
      <c r="E63" s="78" t="n">
        <f aca="false">$B$5*(1+(B63+0.5)*$B$8)</f>
        <v>81931.9275</v>
      </c>
      <c r="F63" s="79" t="n">
        <f aca="false">B63*$B$8</f>
        <v>0.055</v>
      </c>
      <c r="G63" s="80" t="n">
        <f aca="false">SUMIFS('14_Motor_Liq'!$N$5:$N$504,'14_Motor_Liq'!$M$5:$M$504,"&gt;="&amp;D63,'14_Motor_Liq'!$M$5:$M$504,"&lt;"&amp;E63)+SUMIFS('14_Motor_Liq'!$R$5:$R$504,'14_Motor_Liq'!$Q$5:$Q$504,"&gt;="&amp;D63,'14_Motor_Liq'!$Q$5:$Q$504,"&lt;"&amp;E63)+SUMIFS('14_Motor_Liq'!$V$5:$V$504,'14_Motor_Liq'!$U$5:$U$504,"&gt;="&amp;D63,'14_Motor_Liq'!$U$5:$U$504,"&lt;"&amp;E63)+SUMIFS('14_Motor_Liq'!$Z$5:$Z$504,'14_Motor_Liq'!$Y$5:$Y$504,"&gt;="&amp;D63,'14_Motor_Liq'!$Y$5:$Y$504,"&lt;"&amp;E63)+SUMIFS('14_Motor_Liq'!$AD$5:$AD$504,'14_Motor_Liq'!$AC$5:$AC$504,"&gt;="&amp;D63,'14_Motor_Liq'!$AC$5:$AC$504,"&lt;"&amp;E63)</f>
        <v>0</v>
      </c>
      <c r="H63" s="81" t="n">
        <f aca="false">SUMIFS('14_Motor_Liq'!$P$5:$P$504,'14_Motor_Liq'!$O$5:$O$504,"&gt;="&amp;D63,'14_Motor_Liq'!$O$5:$O$504,"&lt;"&amp;E63)+SUMIFS('14_Motor_Liq'!$T$5:$T$504,'14_Motor_Liq'!$S$5:$S$504,"&gt;="&amp;D63,'14_Motor_Liq'!$S$5:$S$504,"&lt;"&amp;E63)+SUMIFS('14_Motor_Liq'!$X$5:$X$504,'14_Motor_Liq'!$W$5:$W$504,"&gt;="&amp;D63,'14_Motor_Liq'!$W$5:$W$504,"&lt;"&amp;E63)+SUMIFS('14_Motor_Liq'!$AB$5:$AB$504,'14_Motor_Liq'!$AA$5:$AA$504,"&gt;="&amp;D63,'14_Motor_Liq'!$AA$5:$AA$504,"&lt;"&amp;E63)+SUMIFS('14_Motor_Liq'!$AF$5:$AF$504,'14_Motor_Liq'!$AE$5:$AE$504,"&gt;="&amp;D63,'14_Motor_Liq'!$AE$5:$AE$504,"&lt;"&amp;E63)</f>
        <v>0</v>
      </c>
      <c r="I63" s="82" t="n">
        <f aca="false">G63+H63</f>
        <v>0</v>
      </c>
      <c r="J63" s="83" t="str">
        <f aca="false">IF(MAX($I$44:$I$104)=0,"",REPT("|",ROUND(I63/MAX($I$44:$I$104)*45,0)))</f>
        <v/>
      </c>
      <c r="K63" s="84" t="n">
        <f aca="false">IF(B63&gt;0,SUMIFS($H$44:$H$104,$B$44:$B$104,"&gt;=0",$B$44:$B$104,"&lt;="&amp;B63),IF(B63&lt;0,SUMIFS($G$44:$G$104,$B$44:$B$104,"&lt;=0",$B$44:$B$104,"&gt;="&amp;B63),G63+H63))</f>
        <v>0</v>
      </c>
    </row>
    <row r="64" customFormat="false" ht="15" hidden="false" customHeight="false" outlineLevel="0" collapsed="false">
      <c r="A64" s="75" t="str">
        <f aca="false">IF(B64=0,"&lt;&lt; PRECIO ACTUAL",IF(AND(G64&gt;0,G64=MAX($G$44:$G$104)),"CLUSTER LONG MAYOR",IF(AND(H64&gt;0,H64=MAX($H$44:$H$104)),"CLUSTER SHORT MAYOR",IF(AND(ISNUMBER($B$31),B64=$B$31),"primer cluster long",IF(AND(ISNUMBER($B$34),B64=$B$34),"primer cluster short","")))))</f>
        <v/>
      </c>
      <c r="B64" s="76" t="n">
        <v>10</v>
      </c>
      <c r="C64" s="77" t="n">
        <f aca="false">$B$5*(1+B64*$B$8)</f>
        <v>81350.85</v>
      </c>
      <c r="D64" s="78" t="n">
        <f aca="false">$B$5*(1+(B64-0.5)*$B$8)</f>
        <v>81157.1575</v>
      </c>
      <c r="E64" s="78" t="n">
        <f aca="false">$B$5*(1+(B64+0.5)*$B$8)</f>
        <v>81544.5425</v>
      </c>
      <c r="F64" s="79" t="n">
        <f aca="false">B64*$B$8</f>
        <v>0.05</v>
      </c>
      <c r="G64" s="80" t="n">
        <f aca="false">SUMIFS('14_Motor_Liq'!$N$5:$N$504,'14_Motor_Liq'!$M$5:$M$504,"&gt;="&amp;D64,'14_Motor_Liq'!$M$5:$M$504,"&lt;"&amp;E64)+SUMIFS('14_Motor_Liq'!$R$5:$R$504,'14_Motor_Liq'!$Q$5:$Q$504,"&gt;="&amp;D64,'14_Motor_Liq'!$Q$5:$Q$504,"&lt;"&amp;E64)+SUMIFS('14_Motor_Liq'!$V$5:$V$504,'14_Motor_Liq'!$U$5:$U$504,"&gt;="&amp;D64,'14_Motor_Liq'!$U$5:$U$504,"&lt;"&amp;E64)+SUMIFS('14_Motor_Liq'!$Z$5:$Z$504,'14_Motor_Liq'!$Y$5:$Y$504,"&gt;="&amp;D64,'14_Motor_Liq'!$Y$5:$Y$504,"&lt;"&amp;E64)+SUMIFS('14_Motor_Liq'!$AD$5:$AD$504,'14_Motor_Liq'!$AC$5:$AC$504,"&gt;="&amp;D64,'14_Motor_Liq'!$AC$5:$AC$504,"&lt;"&amp;E64)</f>
        <v>0</v>
      </c>
      <c r="H64" s="81" t="n">
        <f aca="false">SUMIFS('14_Motor_Liq'!$P$5:$P$504,'14_Motor_Liq'!$O$5:$O$504,"&gt;="&amp;D64,'14_Motor_Liq'!$O$5:$O$504,"&lt;"&amp;E64)+SUMIFS('14_Motor_Liq'!$T$5:$T$504,'14_Motor_Liq'!$S$5:$S$504,"&gt;="&amp;D64,'14_Motor_Liq'!$S$5:$S$504,"&lt;"&amp;E64)+SUMIFS('14_Motor_Liq'!$X$5:$X$504,'14_Motor_Liq'!$W$5:$W$504,"&gt;="&amp;D64,'14_Motor_Liq'!$W$5:$W$504,"&lt;"&amp;E64)+SUMIFS('14_Motor_Liq'!$AB$5:$AB$504,'14_Motor_Liq'!$AA$5:$AA$504,"&gt;="&amp;D64,'14_Motor_Liq'!$AA$5:$AA$504,"&lt;"&amp;E64)+SUMIFS('14_Motor_Liq'!$AF$5:$AF$504,'14_Motor_Liq'!$AE$5:$AE$504,"&gt;="&amp;D64,'14_Motor_Liq'!$AE$5:$AE$504,"&lt;"&amp;E64)</f>
        <v>0</v>
      </c>
      <c r="I64" s="82" t="n">
        <f aca="false">G64+H64</f>
        <v>0</v>
      </c>
      <c r="J64" s="83" t="str">
        <f aca="false">IF(MAX($I$44:$I$104)=0,"",REPT("|",ROUND(I64/MAX($I$44:$I$104)*45,0)))</f>
        <v/>
      </c>
      <c r="K64" s="84" t="n">
        <f aca="false">IF(B64&gt;0,SUMIFS($H$44:$H$104,$B$44:$B$104,"&gt;=0",$B$44:$B$104,"&lt;="&amp;B64),IF(B64&lt;0,SUMIFS($G$44:$G$104,$B$44:$B$104,"&lt;=0",$B$44:$B$104,"&gt;="&amp;B64),G64+H64))</f>
        <v>0</v>
      </c>
    </row>
    <row r="65" customFormat="false" ht="15" hidden="false" customHeight="false" outlineLevel="0" collapsed="false">
      <c r="A65" s="75" t="str">
        <f aca="false">IF(B65=0,"&lt;&lt; PRECIO ACTUAL",IF(AND(G65&gt;0,G65=MAX($G$44:$G$104)),"CLUSTER LONG MAYOR",IF(AND(H65&gt;0,H65=MAX($H$44:$H$104)),"CLUSTER SHORT MAYOR",IF(AND(ISNUMBER($B$31),B65=$B$31),"primer cluster long",IF(AND(ISNUMBER($B$34),B65=$B$34),"primer cluster short","")))))</f>
        <v/>
      </c>
      <c r="B65" s="76" t="n">
        <v>9</v>
      </c>
      <c r="C65" s="77" t="n">
        <f aca="false">$B$5*(1+B65*$B$8)</f>
        <v>80963.465</v>
      </c>
      <c r="D65" s="78" t="n">
        <f aca="false">$B$5*(1+(B65-0.5)*$B$8)</f>
        <v>80769.7725</v>
      </c>
      <c r="E65" s="78" t="n">
        <f aca="false">$B$5*(1+(B65+0.5)*$B$8)</f>
        <v>81157.1575</v>
      </c>
      <c r="F65" s="79" t="n">
        <f aca="false">B65*$B$8</f>
        <v>0.045</v>
      </c>
      <c r="G65" s="80" t="n">
        <f aca="false">SUMIFS('14_Motor_Liq'!$N$5:$N$504,'14_Motor_Liq'!$M$5:$M$504,"&gt;="&amp;D65,'14_Motor_Liq'!$M$5:$M$504,"&lt;"&amp;E65)+SUMIFS('14_Motor_Liq'!$R$5:$R$504,'14_Motor_Liq'!$Q$5:$Q$504,"&gt;="&amp;D65,'14_Motor_Liq'!$Q$5:$Q$504,"&lt;"&amp;E65)+SUMIFS('14_Motor_Liq'!$V$5:$V$504,'14_Motor_Liq'!$U$5:$U$504,"&gt;="&amp;D65,'14_Motor_Liq'!$U$5:$U$504,"&lt;"&amp;E65)+SUMIFS('14_Motor_Liq'!$Z$5:$Z$504,'14_Motor_Liq'!$Y$5:$Y$504,"&gt;="&amp;D65,'14_Motor_Liq'!$Y$5:$Y$504,"&lt;"&amp;E65)+SUMIFS('14_Motor_Liq'!$AD$5:$AD$504,'14_Motor_Liq'!$AC$5:$AC$504,"&gt;="&amp;D65,'14_Motor_Liq'!$AC$5:$AC$504,"&lt;"&amp;E65)</f>
        <v>0</v>
      </c>
      <c r="H65" s="81" t="n">
        <f aca="false">SUMIFS('14_Motor_Liq'!$P$5:$P$504,'14_Motor_Liq'!$O$5:$O$504,"&gt;="&amp;D65,'14_Motor_Liq'!$O$5:$O$504,"&lt;"&amp;E65)+SUMIFS('14_Motor_Liq'!$T$5:$T$504,'14_Motor_Liq'!$S$5:$S$504,"&gt;="&amp;D65,'14_Motor_Liq'!$S$5:$S$504,"&lt;"&amp;E65)+SUMIFS('14_Motor_Liq'!$X$5:$X$504,'14_Motor_Liq'!$W$5:$W$504,"&gt;="&amp;D65,'14_Motor_Liq'!$W$5:$W$504,"&lt;"&amp;E65)+SUMIFS('14_Motor_Liq'!$AB$5:$AB$504,'14_Motor_Liq'!$AA$5:$AA$504,"&gt;="&amp;D65,'14_Motor_Liq'!$AA$5:$AA$504,"&lt;"&amp;E65)+SUMIFS('14_Motor_Liq'!$AF$5:$AF$504,'14_Motor_Liq'!$AE$5:$AE$504,"&gt;="&amp;D65,'14_Motor_Liq'!$AE$5:$AE$504,"&lt;"&amp;E65)</f>
        <v>0</v>
      </c>
      <c r="I65" s="82" t="n">
        <f aca="false">G65+H65</f>
        <v>0</v>
      </c>
      <c r="J65" s="83" t="str">
        <f aca="false">IF(MAX($I$44:$I$104)=0,"",REPT("|",ROUND(I65/MAX($I$44:$I$104)*45,0)))</f>
        <v/>
      </c>
      <c r="K65" s="84" t="n">
        <f aca="false">IF(B65&gt;0,SUMIFS($H$44:$H$104,$B$44:$B$104,"&gt;=0",$B$44:$B$104,"&lt;="&amp;B65),IF(B65&lt;0,SUMIFS($G$44:$G$104,$B$44:$B$104,"&lt;=0",$B$44:$B$104,"&gt;="&amp;B65),G65+H65))</f>
        <v>0</v>
      </c>
    </row>
    <row r="66" customFormat="false" ht="15" hidden="false" customHeight="false" outlineLevel="0" collapsed="false">
      <c r="A66" s="75" t="str">
        <f aca="false">IF(B66=0,"&lt;&lt; PRECIO ACTUAL",IF(AND(G66&gt;0,G66=MAX($G$44:$G$104)),"CLUSTER LONG MAYOR",IF(AND(H66&gt;0,H66=MAX($H$44:$H$104)),"CLUSTER SHORT MAYOR",IF(AND(ISNUMBER($B$31),B66=$B$31),"primer cluster long",IF(AND(ISNUMBER($B$34),B66=$B$34),"primer cluster short","")))))</f>
        <v/>
      </c>
      <c r="B66" s="76" t="n">
        <v>8</v>
      </c>
      <c r="C66" s="77" t="n">
        <f aca="false">$B$5*(1+B66*$B$8)</f>
        <v>80576.08</v>
      </c>
      <c r="D66" s="78" t="n">
        <f aca="false">$B$5*(1+(B66-0.5)*$B$8)</f>
        <v>80382.3875</v>
      </c>
      <c r="E66" s="78" t="n">
        <f aca="false">$B$5*(1+(B66+0.5)*$B$8)</f>
        <v>80769.7725</v>
      </c>
      <c r="F66" s="79" t="n">
        <f aca="false">B66*$B$8</f>
        <v>0.04</v>
      </c>
      <c r="G66" s="80" t="n">
        <f aca="false">SUMIFS('14_Motor_Liq'!$N$5:$N$504,'14_Motor_Liq'!$M$5:$M$504,"&gt;="&amp;D66,'14_Motor_Liq'!$M$5:$M$504,"&lt;"&amp;E66)+SUMIFS('14_Motor_Liq'!$R$5:$R$504,'14_Motor_Liq'!$Q$5:$Q$504,"&gt;="&amp;D66,'14_Motor_Liq'!$Q$5:$Q$504,"&lt;"&amp;E66)+SUMIFS('14_Motor_Liq'!$V$5:$V$504,'14_Motor_Liq'!$U$5:$U$504,"&gt;="&amp;D66,'14_Motor_Liq'!$U$5:$U$504,"&lt;"&amp;E66)+SUMIFS('14_Motor_Liq'!$Z$5:$Z$504,'14_Motor_Liq'!$Y$5:$Y$504,"&gt;="&amp;D66,'14_Motor_Liq'!$Y$5:$Y$504,"&lt;"&amp;E66)+SUMIFS('14_Motor_Liq'!$AD$5:$AD$504,'14_Motor_Liq'!$AC$5:$AC$504,"&gt;="&amp;D66,'14_Motor_Liq'!$AC$5:$AC$504,"&lt;"&amp;E66)</f>
        <v>0</v>
      </c>
      <c r="H66" s="81" t="n">
        <f aca="false">SUMIFS('14_Motor_Liq'!$P$5:$P$504,'14_Motor_Liq'!$O$5:$O$504,"&gt;="&amp;D66,'14_Motor_Liq'!$O$5:$O$504,"&lt;"&amp;E66)+SUMIFS('14_Motor_Liq'!$T$5:$T$504,'14_Motor_Liq'!$S$5:$S$504,"&gt;="&amp;D66,'14_Motor_Liq'!$S$5:$S$504,"&lt;"&amp;E66)+SUMIFS('14_Motor_Liq'!$X$5:$X$504,'14_Motor_Liq'!$W$5:$W$504,"&gt;="&amp;D66,'14_Motor_Liq'!$W$5:$W$504,"&lt;"&amp;E66)+SUMIFS('14_Motor_Liq'!$AB$5:$AB$504,'14_Motor_Liq'!$AA$5:$AA$504,"&gt;="&amp;D66,'14_Motor_Liq'!$AA$5:$AA$504,"&lt;"&amp;E66)+SUMIFS('14_Motor_Liq'!$AF$5:$AF$504,'14_Motor_Liq'!$AE$5:$AE$504,"&gt;="&amp;D66,'14_Motor_Liq'!$AE$5:$AE$504,"&lt;"&amp;E66)</f>
        <v>0</v>
      </c>
      <c r="I66" s="82" t="n">
        <f aca="false">G66+H66</f>
        <v>0</v>
      </c>
      <c r="J66" s="83" t="str">
        <f aca="false">IF(MAX($I$44:$I$104)=0,"",REPT("|",ROUND(I66/MAX($I$44:$I$104)*45,0)))</f>
        <v/>
      </c>
      <c r="K66" s="84" t="n">
        <f aca="false">IF(B66&gt;0,SUMIFS($H$44:$H$104,$B$44:$B$104,"&gt;=0",$B$44:$B$104,"&lt;="&amp;B66),IF(B66&lt;0,SUMIFS($G$44:$G$104,$B$44:$B$104,"&lt;=0",$B$44:$B$104,"&gt;="&amp;B66),G66+H66))</f>
        <v>0</v>
      </c>
    </row>
    <row r="67" customFormat="false" ht="15" hidden="false" customHeight="false" outlineLevel="0" collapsed="false">
      <c r="A67" s="75" t="str">
        <f aca="false">IF(B67=0,"&lt;&lt; PRECIO ACTUAL",IF(AND(G67&gt;0,G67=MAX($G$44:$G$104)),"CLUSTER LONG MAYOR",IF(AND(H67&gt;0,H67=MAX($H$44:$H$104)),"CLUSTER SHORT MAYOR",IF(AND(ISNUMBER($B$31),B67=$B$31),"primer cluster long",IF(AND(ISNUMBER($B$34),B67=$B$34),"primer cluster short","")))))</f>
        <v/>
      </c>
      <c r="B67" s="76" t="n">
        <v>7</v>
      </c>
      <c r="C67" s="77" t="n">
        <f aca="false">$B$5*(1+B67*$B$8)</f>
        <v>80188.695</v>
      </c>
      <c r="D67" s="78" t="n">
        <f aca="false">$B$5*(1+(B67-0.5)*$B$8)</f>
        <v>79995.0025</v>
      </c>
      <c r="E67" s="78" t="n">
        <f aca="false">$B$5*(1+(B67+0.5)*$B$8)</f>
        <v>80382.3875</v>
      </c>
      <c r="F67" s="79" t="n">
        <f aca="false">B67*$B$8</f>
        <v>0.035</v>
      </c>
      <c r="G67" s="80" t="n">
        <f aca="false">SUMIFS('14_Motor_Liq'!$N$5:$N$504,'14_Motor_Liq'!$M$5:$M$504,"&gt;="&amp;D67,'14_Motor_Liq'!$M$5:$M$504,"&lt;"&amp;E67)+SUMIFS('14_Motor_Liq'!$R$5:$R$504,'14_Motor_Liq'!$Q$5:$Q$504,"&gt;="&amp;D67,'14_Motor_Liq'!$Q$5:$Q$504,"&lt;"&amp;E67)+SUMIFS('14_Motor_Liq'!$V$5:$V$504,'14_Motor_Liq'!$U$5:$U$504,"&gt;="&amp;D67,'14_Motor_Liq'!$U$5:$U$504,"&lt;"&amp;E67)+SUMIFS('14_Motor_Liq'!$Z$5:$Z$504,'14_Motor_Liq'!$Y$5:$Y$504,"&gt;="&amp;D67,'14_Motor_Liq'!$Y$5:$Y$504,"&lt;"&amp;E67)+SUMIFS('14_Motor_Liq'!$AD$5:$AD$504,'14_Motor_Liq'!$AC$5:$AC$504,"&gt;="&amp;D67,'14_Motor_Liq'!$AC$5:$AC$504,"&lt;"&amp;E67)</f>
        <v>0</v>
      </c>
      <c r="H67" s="81" t="n">
        <f aca="false">SUMIFS('14_Motor_Liq'!$P$5:$P$504,'14_Motor_Liq'!$O$5:$O$504,"&gt;="&amp;D67,'14_Motor_Liq'!$O$5:$O$504,"&lt;"&amp;E67)+SUMIFS('14_Motor_Liq'!$T$5:$T$504,'14_Motor_Liq'!$S$5:$S$504,"&gt;="&amp;D67,'14_Motor_Liq'!$S$5:$S$504,"&lt;"&amp;E67)+SUMIFS('14_Motor_Liq'!$X$5:$X$504,'14_Motor_Liq'!$W$5:$W$504,"&gt;="&amp;D67,'14_Motor_Liq'!$W$5:$W$504,"&lt;"&amp;E67)+SUMIFS('14_Motor_Liq'!$AB$5:$AB$504,'14_Motor_Liq'!$AA$5:$AA$504,"&gt;="&amp;D67,'14_Motor_Liq'!$AA$5:$AA$504,"&lt;"&amp;E67)+SUMIFS('14_Motor_Liq'!$AF$5:$AF$504,'14_Motor_Liq'!$AE$5:$AE$504,"&gt;="&amp;D67,'14_Motor_Liq'!$AE$5:$AE$504,"&lt;"&amp;E67)</f>
        <v>0</v>
      </c>
      <c r="I67" s="82" t="n">
        <f aca="false">G67+H67</f>
        <v>0</v>
      </c>
      <c r="J67" s="83" t="str">
        <f aca="false">IF(MAX($I$44:$I$104)=0,"",REPT("|",ROUND(I67/MAX($I$44:$I$104)*45,0)))</f>
        <v/>
      </c>
      <c r="K67" s="84" t="n">
        <f aca="false">IF(B67&gt;0,SUMIFS($H$44:$H$104,$B$44:$B$104,"&gt;=0",$B$44:$B$104,"&lt;="&amp;B67),IF(B67&lt;0,SUMIFS($G$44:$G$104,$B$44:$B$104,"&lt;=0",$B$44:$B$104,"&gt;="&amp;B67),G67+H67))</f>
        <v>0</v>
      </c>
    </row>
    <row r="68" customFormat="false" ht="15" hidden="false" customHeight="false" outlineLevel="0" collapsed="false">
      <c r="A68" s="75" t="str">
        <f aca="false">IF(B68=0,"&lt;&lt; PRECIO ACTUAL",IF(AND(G68&gt;0,G68=MAX($G$44:$G$104)),"CLUSTER LONG MAYOR",IF(AND(H68&gt;0,H68=MAX($H$44:$H$104)),"CLUSTER SHORT MAYOR",IF(AND(ISNUMBER($B$31),B68=$B$31),"primer cluster long",IF(AND(ISNUMBER($B$34),B68=$B$34),"primer cluster short","")))))</f>
        <v/>
      </c>
      <c r="B68" s="76" t="n">
        <v>6</v>
      </c>
      <c r="C68" s="77" t="n">
        <f aca="false">$B$5*(1+B68*$B$8)</f>
        <v>79801.31</v>
      </c>
      <c r="D68" s="78" t="n">
        <f aca="false">$B$5*(1+(B68-0.5)*$B$8)</f>
        <v>79607.6175</v>
      </c>
      <c r="E68" s="78" t="n">
        <f aca="false">$B$5*(1+(B68+0.5)*$B$8)</f>
        <v>79995.0025</v>
      </c>
      <c r="F68" s="79" t="n">
        <f aca="false">B68*$B$8</f>
        <v>0.03</v>
      </c>
      <c r="G68" s="80" t="n">
        <f aca="false">SUMIFS('14_Motor_Liq'!$N$5:$N$504,'14_Motor_Liq'!$M$5:$M$504,"&gt;="&amp;D68,'14_Motor_Liq'!$M$5:$M$504,"&lt;"&amp;E68)+SUMIFS('14_Motor_Liq'!$R$5:$R$504,'14_Motor_Liq'!$Q$5:$Q$504,"&gt;="&amp;D68,'14_Motor_Liq'!$Q$5:$Q$504,"&lt;"&amp;E68)+SUMIFS('14_Motor_Liq'!$V$5:$V$504,'14_Motor_Liq'!$U$5:$U$504,"&gt;="&amp;D68,'14_Motor_Liq'!$U$5:$U$504,"&lt;"&amp;E68)+SUMIFS('14_Motor_Liq'!$Z$5:$Z$504,'14_Motor_Liq'!$Y$5:$Y$504,"&gt;="&amp;D68,'14_Motor_Liq'!$Y$5:$Y$504,"&lt;"&amp;E68)+SUMIFS('14_Motor_Liq'!$AD$5:$AD$504,'14_Motor_Liq'!$AC$5:$AC$504,"&gt;="&amp;D68,'14_Motor_Liq'!$AC$5:$AC$504,"&lt;"&amp;E68)</f>
        <v>0</v>
      </c>
      <c r="H68" s="81" t="n">
        <f aca="false">SUMIFS('14_Motor_Liq'!$P$5:$P$504,'14_Motor_Liq'!$O$5:$O$504,"&gt;="&amp;D68,'14_Motor_Liq'!$O$5:$O$504,"&lt;"&amp;E68)+SUMIFS('14_Motor_Liq'!$T$5:$T$504,'14_Motor_Liq'!$S$5:$S$504,"&gt;="&amp;D68,'14_Motor_Liq'!$S$5:$S$504,"&lt;"&amp;E68)+SUMIFS('14_Motor_Liq'!$X$5:$X$504,'14_Motor_Liq'!$W$5:$W$504,"&gt;="&amp;D68,'14_Motor_Liq'!$W$5:$W$504,"&lt;"&amp;E68)+SUMIFS('14_Motor_Liq'!$AB$5:$AB$504,'14_Motor_Liq'!$AA$5:$AA$504,"&gt;="&amp;D68,'14_Motor_Liq'!$AA$5:$AA$504,"&lt;"&amp;E68)+SUMIFS('14_Motor_Liq'!$AF$5:$AF$504,'14_Motor_Liq'!$AE$5:$AE$504,"&gt;="&amp;D68,'14_Motor_Liq'!$AE$5:$AE$504,"&lt;"&amp;E68)</f>
        <v>0</v>
      </c>
      <c r="I68" s="82" t="n">
        <f aca="false">G68+H68</f>
        <v>0</v>
      </c>
      <c r="J68" s="83" t="str">
        <f aca="false">IF(MAX($I$44:$I$104)=0,"",REPT("|",ROUND(I68/MAX($I$44:$I$104)*45,0)))</f>
        <v/>
      </c>
      <c r="K68" s="84" t="n">
        <f aca="false">IF(B68&gt;0,SUMIFS($H$44:$H$104,$B$44:$B$104,"&gt;=0",$B$44:$B$104,"&lt;="&amp;B68),IF(B68&lt;0,SUMIFS($G$44:$G$104,$B$44:$B$104,"&lt;=0",$B$44:$B$104,"&gt;="&amp;B68),G68+H68))</f>
        <v>0</v>
      </c>
    </row>
    <row r="69" customFormat="false" ht="15" hidden="false" customHeight="false" outlineLevel="0" collapsed="false">
      <c r="A69" s="75" t="str">
        <f aca="false">IF(B69=0,"&lt;&lt; PRECIO ACTUAL",IF(AND(G69&gt;0,G69=MAX($G$44:$G$104)),"CLUSTER LONG MAYOR",IF(AND(H69&gt;0,H69=MAX($H$44:$H$104)),"CLUSTER SHORT MAYOR",IF(AND(ISNUMBER($B$31),B69=$B$31),"primer cluster long",IF(AND(ISNUMBER($B$34),B69=$B$34),"primer cluster short","")))))</f>
        <v/>
      </c>
      <c r="B69" s="76" t="n">
        <v>5</v>
      </c>
      <c r="C69" s="77" t="n">
        <f aca="false">$B$5*(1+B69*$B$8)</f>
        <v>79413.925</v>
      </c>
      <c r="D69" s="78" t="n">
        <f aca="false">$B$5*(1+(B69-0.5)*$B$8)</f>
        <v>79220.2325</v>
      </c>
      <c r="E69" s="78" t="n">
        <f aca="false">$B$5*(1+(B69+0.5)*$B$8)</f>
        <v>79607.6175</v>
      </c>
      <c r="F69" s="79" t="n">
        <f aca="false">B69*$B$8</f>
        <v>0.025</v>
      </c>
      <c r="G69" s="80" t="n">
        <f aca="false">SUMIFS('14_Motor_Liq'!$N$5:$N$504,'14_Motor_Liq'!$M$5:$M$504,"&gt;="&amp;D69,'14_Motor_Liq'!$M$5:$M$504,"&lt;"&amp;E69)+SUMIFS('14_Motor_Liq'!$R$5:$R$504,'14_Motor_Liq'!$Q$5:$Q$504,"&gt;="&amp;D69,'14_Motor_Liq'!$Q$5:$Q$504,"&lt;"&amp;E69)+SUMIFS('14_Motor_Liq'!$V$5:$V$504,'14_Motor_Liq'!$U$5:$U$504,"&gt;="&amp;D69,'14_Motor_Liq'!$U$5:$U$504,"&lt;"&amp;E69)+SUMIFS('14_Motor_Liq'!$Z$5:$Z$504,'14_Motor_Liq'!$Y$5:$Y$504,"&gt;="&amp;D69,'14_Motor_Liq'!$Y$5:$Y$504,"&lt;"&amp;E69)+SUMIFS('14_Motor_Liq'!$AD$5:$AD$504,'14_Motor_Liq'!$AC$5:$AC$504,"&gt;="&amp;D69,'14_Motor_Liq'!$AC$5:$AC$504,"&lt;"&amp;E69)</f>
        <v>0</v>
      </c>
      <c r="H69" s="81" t="n">
        <f aca="false">SUMIFS('14_Motor_Liq'!$P$5:$P$504,'14_Motor_Liq'!$O$5:$O$504,"&gt;="&amp;D69,'14_Motor_Liq'!$O$5:$O$504,"&lt;"&amp;E69)+SUMIFS('14_Motor_Liq'!$T$5:$T$504,'14_Motor_Liq'!$S$5:$S$504,"&gt;="&amp;D69,'14_Motor_Liq'!$S$5:$S$504,"&lt;"&amp;E69)+SUMIFS('14_Motor_Liq'!$X$5:$X$504,'14_Motor_Liq'!$W$5:$W$504,"&gt;="&amp;D69,'14_Motor_Liq'!$W$5:$W$504,"&lt;"&amp;E69)+SUMIFS('14_Motor_Liq'!$AB$5:$AB$504,'14_Motor_Liq'!$AA$5:$AA$504,"&gt;="&amp;D69,'14_Motor_Liq'!$AA$5:$AA$504,"&lt;"&amp;E69)+SUMIFS('14_Motor_Liq'!$AF$5:$AF$504,'14_Motor_Liq'!$AE$5:$AE$504,"&gt;="&amp;D69,'14_Motor_Liq'!$AE$5:$AE$504,"&lt;"&amp;E69)</f>
        <v>0</v>
      </c>
      <c r="I69" s="82" t="n">
        <f aca="false">G69+H69</f>
        <v>0</v>
      </c>
      <c r="J69" s="83" t="str">
        <f aca="false">IF(MAX($I$44:$I$104)=0,"",REPT("|",ROUND(I69/MAX($I$44:$I$104)*45,0)))</f>
        <v/>
      </c>
      <c r="K69" s="84" t="n">
        <f aca="false">IF(B69&gt;0,SUMIFS($H$44:$H$104,$B$44:$B$104,"&gt;=0",$B$44:$B$104,"&lt;="&amp;B69),IF(B69&lt;0,SUMIFS($G$44:$G$104,$B$44:$B$104,"&lt;=0",$B$44:$B$104,"&gt;="&amp;B69),G69+H69))</f>
        <v>0</v>
      </c>
    </row>
    <row r="70" customFormat="false" ht="15" hidden="false" customHeight="false" outlineLevel="0" collapsed="false">
      <c r="A70" s="75" t="str">
        <f aca="false">IF(B70=0,"&lt;&lt; PRECIO ACTUAL",IF(AND(G70&gt;0,G70=MAX($G$44:$G$104)),"CLUSTER LONG MAYOR",IF(AND(H70&gt;0,H70=MAX($H$44:$H$104)),"CLUSTER SHORT MAYOR",IF(AND(ISNUMBER($B$31),B70=$B$31),"primer cluster long",IF(AND(ISNUMBER($B$34),B70=$B$34),"primer cluster short","")))))</f>
        <v/>
      </c>
      <c r="B70" s="76" t="n">
        <v>4</v>
      </c>
      <c r="C70" s="77" t="n">
        <f aca="false">$B$5*(1+B70*$B$8)</f>
        <v>79026.54</v>
      </c>
      <c r="D70" s="78" t="n">
        <f aca="false">$B$5*(1+(B70-0.5)*$B$8)</f>
        <v>78832.8475</v>
      </c>
      <c r="E70" s="78" t="n">
        <f aca="false">$B$5*(1+(B70+0.5)*$B$8)</f>
        <v>79220.2325</v>
      </c>
      <c r="F70" s="79" t="n">
        <f aca="false">B70*$B$8</f>
        <v>0.02</v>
      </c>
      <c r="G70" s="80" t="n">
        <f aca="false">SUMIFS('14_Motor_Liq'!$N$5:$N$504,'14_Motor_Liq'!$M$5:$M$504,"&gt;="&amp;D70,'14_Motor_Liq'!$M$5:$M$504,"&lt;"&amp;E70)+SUMIFS('14_Motor_Liq'!$R$5:$R$504,'14_Motor_Liq'!$Q$5:$Q$504,"&gt;="&amp;D70,'14_Motor_Liq'!$Q$5:$Q$504,"&lt;"&amp;E70)+SUMIFS('14_Motor_Liq'!$V$5:$V$504,'14_Motor_Liq'!$U$5:$U$504,"&gt;="&amp;D70,'14_Motor_Liq'!$U$5:$U$504,"&lt;"&amp;E70)+SUMIFS('14_Motor_Liq'!$Z$5:$Z$504,'14_Motor_Liq'!$Y$5:$Y$504,"&gt;="&amp;D70,'14_Motor_Liq'!$Y$5:$Y$504,"&lt;"&amp;E70)+SUMIFS('14_Motor_Liq'!$AD$5:$AD$504,'14_Motor_Liq'!$AC$5:$AC$504,"&gt;="&amp;D70,'14_Motor_Liq'!$AC$5:$AC$504,"&lt;"&amp;E70)</f>
        <v>0</v>
      </c>
      <c r="H70" s="81" t="n">
        <f aca="false">SUMIFS('14_Motor_Liq'!$P$5:$P$504,'14_Motor_Liq'!$O$5:$O$504,"&gt;="&amp;D70,'14_Motor_Liq'!$O$5:$O$504,"&lt;"&amp;E70)+SUMIFS('14_Motor_Liq'!$T$5:$T$504,'14_Motor_Liq'!$S$5:$S$504,"&gt;="&amp;D70,'14_Motor_Liq'!$S$5:$S$504,"&lt;"&amp;E70)+SUMIFS('14_Motor_Liq'!$X$5:$X$504,'14_Motor_Liq'!$W$5:$W$504,"&gt;="&amp;D70,'14_Motor_Liq'!$W$5:$W$504,"&lt;"&amp;E70)+SUMIFS('14_Motor_Liq'!$AB$5:$AB$504,'14_Motor_Liq'!$AA$5:$AA$504,"&gt;="&amp;D70,'14_Motor_Liq'!$AA$5:$AA$504,"&lt;"&amp;E70)+SUMIFS('14_Motor_Liq'!$AF$5:$AF$504,'14_Motor_Liq'!$AE$5:$AE$504,"&gt;="&amp;D70,'14_Motor_Liq'!$AE$5:$AE$504,"&lt;"&amp;E70)</f>
        <v>0</v>
      </c>
      <c r="I70" s="82" t="n">
        <f aca="false">G70+H70</f>
        <v>0</v>
      </c>
      <c r="J70" s="83" t="str">
        <f aca="false">IF(MAX($I$44:$I$104)=0,"",REPT("|",ROUND(I70/MAX($I$44:$I$104)*45,0)))</f>
        <v/>
      </c>
      <c r="K70" s="84" t="n">
        <f aca="false">IF(B70&gt;0,SUMIFS($H$44:$H$104,$B$44:$B$104,"&gt;=0",$B$44:$B$104,"&lt;="&amp;B70),IF(B70&lt;0,SUMIFS($G$44:$G$104,$B$44:$B$104,"&lt;=0",$B$44:$B$104,"&gt;="&amp;B70),G70+H70))</f>
        <v>0</v>
      </c>
    </row>
    <row r="71" customFormat="false" ht="15" hidden="false" customHeight="false" outlineLevel="0" collapsed="false">
      <c r="A71" s="75" t="str">
        <f aca="false">IF(B71=0,"&lt;&lt; PRECIO ACTUAL",IF(AND(G71&gt;0,G71=MAX($G$44:$G$104)),"CLUSTER LONG MAYOR",IF(AND(H71&gt;0,H71=MAX($H$44:$H$104)),"CLUSTER SHORT MAYOR",IF(AND(ISNUMBER($B$31),B71=$B$31),"primer cluster long",IF(AND(ISNUMBER($B$34),B71=$B$34),"primer cluster short","")))))</f>
        <v/>
      </c>
      <c r="B71" s="76" t="n">
        <v>3</v>
      </c>
      <c r="C71" s="77" t="n">
        <f aca="false">$B$5*(1+B71*$B$8)</f>
        <v>78639.155</v>
      </c>
      <c r="D71" s="78" t="n">
        <f aca="false">$B$5*(1+(B71-0.5)*$B$8)</f>
        <v>78445.4625</v>
      </c>
      <c r="E71" s="78" t="n">
        <f aca="false">$B$5*(1+(B71+0.5)*$B$8)</f>
        <v>78832.8475</v>
      </c>
      <c r="F71" s="79" t="n">
        <f aca="false">B71*$B$8</f>
        <v>0.015</v>
      </c>
      <c r="G71" s="80" t="n">
        <f aca="false">SUMIFS('14_Motor_Liq'!$N$5:$N$504,'14_Motor_Liq'!$M$5:$M$504,"&gt;="&amp;D71,'14_Motor_Liq'!$M$5:$M$504,"&lt;"&amp;E71)+SUMIFS('14_Motor_Liq'!$R$5:$R$504,'14_Motor_Liq'!$Q$5:$Q$504,"&gt;="&amp;D71,'14_Motor_Liq'!$Q$5:$Q$504,"&lt;"&amp;E71)+SUMIFS('14_Motor_Liq'!$V$5:$V$504,'14_Motor_Liq'!$U$5:$U$504,"&gt;="&amp;D71,'14_Motor_Liq'!$U$5:$U$504,"&lt;"&amp;E71)+SUMIFS('14_Motor_Liq'!$Z$5:$Z$504,'14_Motor_Liq'!$Y$5:$Y$504,"&gt;="&amp;D71,'14_Motor_Liq'!$Y$5:$Y$504,"&lt;"&amp;E71)+SUMIFS('14_Motor_Liq'!$AD$5:$AD$504,'14_Motor_Liq'!$AC$5:$AC$504,"&gt;="&amp;D71,'14_Motor_Liq'!$AC$5:$AC$504,"&lt;"&amp;E71)</f>
        <v>0</v>
      </c>
      <c r="H71" s="81" t="n">
        <f aca="false">SUMIFS('14_Motor_Liq'!$P$5:$P$504,'14_Motor_Liq'!$O$5:$O$504,"&gt;="&amp;D71,'14_Motor_Liq'!$O$5:$O$504,"&lt;"&amp;E71)+SUMIFS('14_Motor_Liq'!$T$5:$T$504,'14_Motor_Liq'!$S$5:$S$504,"&gt;="&amp;D71,'14_Motor_Liq'!$S$5:$S$504,"&lt;"&amp;E71)+SUMIFS('14_Motor_Liq'!$X$5:$X$504,'14_Motor_Liq'!$W$5:$W$504,"&gt;="&amp;D71,'14_Motor_Liq'!$W$5:$W$504,"&lt;"&amp;E71)+SUMIFS('14_Motor_Liq'!$AB$5:$AB$504,'14_Motor_Liq'!$AA$5:$AA$504,"&gt;="&amp;D71,'14_Motor_Liq'!$AA$5:$AA$504,"&lt;"&amp;E71)+SUMIFS('14_Motor_Liq'!$AF$5:$AF$504,'14_Motor_Liq'!$AE$5:$AE$504,"&gt;="&amp;D71,'14_Motor_Liq'!$AE$5:$AE$504,"&lt;"&amp;E71)</f>
        <v>0</v>
      </c>
      <c r="I71" s="82" t="n">
        <f aca="false">G71+H71</f>
        <v>0</v>
      </c>
      <c r="J71" s="83" t="str">
        <f aca="false">IF(MAX($I$44:$I$104)=0,"",REPT("|",ROUND(I71/MAX($I$44:$I$104)*45,0)))</f>
        <v/>
      </c>
      <c r="K71" s="84" t="n">
        <f aca="false">IF(B71&gt;0,SUMIFS($H$44:$H$104,$B$44:$B$104,"&gt;=0",$B$44:$B$104,"&lt;="&amp;B71),IF(B71&lt;0,SUMIFS($G$44:$G$104,$B$44:$B$104,"&lt;=0",$B$44:$B$104,"&gt;="&amp;B71),G71+H71))</f>
        <v>0</v>
      </c>
    </row>
    <row r="72" customFormat="false" ht="15" hidden="false" customHeight="false" outlineLevel="0" collapsed="false">
      <c r="A72" s="75" t="str">
        <f aca="false">IF(B72=0,"&lt;&lt; PRECIO ACTUAL",IF(AND(G72&gt;0,G72=MAX($G$44:$G$104)),"CLUSTER LONG MAYOR",IF(AND(H72&gt;0,H72=MAX($H$44:$H$104)),"CLUSTER SHORT MAYOR",IF(AND(ISNUMBER($B$31),B72=$B$31),"primer cluster long",IF(AND(ISNUMBER($B$34),B72=$B$34),"primer cluster short","")))))</f>
        <v/>
      </c>
      <c r="B72" s="76" t="n">
        <v>2</v>
      </c>
      <c r="C72" s="77" t="n">
        <f aca="false">$B$5*(1+B72*$B$8)</f>
        <v>78251.77</v>
      </c>
      <c r="D72" s="78" t="n">
        <f aca="false">$B$5*(1+(B72-0.5)*$B$8)</f>
        <v>78058.0775</v>
      </c>
      <c r="E72" s="78" t="n">
        <f aca="false">$B$5*(1+(B72+0.5)*$B$8)</f>
        <v>78445.4625</v>
      </c>
      <c r="F72" s="79" t="n">
        <f aca="false">B72*$B$8</f>
        <v>0.01</v>
      </c>
      <c r="G72" s="80" t="n">
        <f aca="false">SUMIFS('14_Motor_Liq'!$N$5:$N$504,'14_Motor_Liq'!$M$5:$M$504,"&gt;="&amp;D72,'14_Motor_Liq'!$M$5:$M$504,"&lt;"&amp;E72)+SUMIFS('14_Motor_Liq'!$R$5:$R$504,'14_Motor_Liq'!$Q$5:$Q$504,"&gt;="&amp;D72,'14_Motor_Liq'!$Q$5:$Q$504,"&lt;"&amp;E72)+SUMIFS('14_Motor_Liq'!$V$5:$V$504,'14_Motor_Liq'!$U$5:$U$504,"&gt;="&amp;D72,'14_Motor_Liq'!$U$5:$U$504,"&lt;"&amp;E72)+SUMIFS('14_Motor_Liq'!$Z$5:$Z$504,'14_Motor_Liq'!$Y$5:$Y$504,"&gt;="&amp;D72,'14_Motor_Liq'!$Y$5:$Y$504,"&lt;"&amp;E72)+SUMIFS('14_Motor_Liq'!$AD$5:$AD$504,'14_Motor_Liq'!$AC$5:$AC$504,"&gt;="&amp;D72,'14_Motor_Liq'!$AC$5:$AC$504,"&lt;"&amp;E72)</f>
        <v>0</v>
      </c>
      <c r="H72" s="81" t="n">
        <f aca="false">SUMIFS('14_Motor_Liq'!$P$5:$P$504,'14_Motor_Liq'!$O$5:$O$504,"&gt;="&amp;D72,'14_Motor_Liq'!$O$5:$O$504,"&lt;"&amp;E72)+SUMIFS('14_Motor_Liq'!$T$5:$T$504,'14_Motor_Liq'!$S$5:$S$504,"&gt;="&amp;D72,'14_Motor_Liq'!$S$5:$S$504,"&lt;"&amp;E72)+SUMIFS('14_Motor_Liq'!$X$5:$X$504,'14_Motor_Liq'!$W$5:$W$504,"&gt;="&amp;D72,'14_Motor_Liq'!$W$5:$W$504,"&lt;"&amp;E72)+SUMIFS('14_Motor_Liq'!$AB$5:$AB$504,'14_Motor_Liq'!$AA$5:$AA$504,"&gt;="&amp;D72,'14_Motor_Liq'!$AA$5:$AA$504,"&lt;"&amp;E72)+SUMIFS('14_Motor_Liq'!$AF$5:$AF$504,'14_Motor_Liq'!$AE$5:$AE$504,"&gt;="&amp;D72,'14_Motor_Liq'!$AE$5:$AE$504,"&lt;"&amp;E72)</f>
        <v>0</v>
      </c>
      <c r="I72" s="82" t="n">
        <f aca="false">G72+H72</f>
        <v>0</v>
      </c>
      <c r="J72" s="83" t="str">
        <f aca="false">IF(MAX($I$44:$I$104)=0,"",REPT("|",ROUND(I72/MAX($I$44:$I$104)*45,0)))</f>
        <v/>
      </c>
      <c r="K72" s="84" t="n">
        <f aca="false">IF(B72&gt;0,SUMIFS($H$44:$H$104,$B$44:$B$104,"&gt;=0",$B$44:$B$104,"&lt;="&amp;B72),IF(B72&lt;0,SUMIFS($G$44:$G$104,$B$44:$B$104,"&lt;=0",$B$44:$B$104,"&gt;="&amp;B72),G72+H72))</f>
        <v>0</v>
      </c>
    </row>
    <row r="73" customFormat="false" ht="15" hidden="false" customHeight="false" outlineLevel="0" collapsed="false">
      <c r="A73" s="75" t="str">
        <f aca="false">IF(B73=0,"&lt;&lt; PRECIO ACTUAL",IF(AND(G73&gt;0,G73=MAX($G$44:$G$104)),"CLUSTER LONG MAYOR",IF(AND(H73&gt;0,H73=MAX($H$44:$H$104)),"CLUSTER SHORT MAYOR",IF(AND(ISNUMBER($B$31),B73=$B$31),"primer cluster long",IF(AND(ISNUMBER($B$34),B73=$B$34),"primer cluster short","")))))</f>
        <v/>
      </c>
      <c r="B73" s="76" t="n">
        <v>1</v>
      </c>
      <c r="C73" s="77" t="n">
        <f aca="false">$B$5*(1+B73*$B$8)</f>
        <v>77864.385</v>
      </c>
      <c r="D73" s="78" t="n">
        <f aca="false">$B$5*(1+(B73-0.5)*$B$8)</f>
        <v>77670.6925</v>
      </c>
      <c r="E73" s="78" t="n">
        <f aca="false">$B$5*(1+(B73+0.5)*$B$8)</f>
        <v>78058.0775</v>
      </c>
      <c r="F73" s="79" t="n">
        <f aca="false">B73*$B$8</f>
        <v>0.005</v>
      </c>
      <c r="G73" s="80" t="n">
        <f aca="false">SUMIFS('14_Motor_Liq'!$N$5:$N$504,'14_Motor_Liq'!$M$5:$M$504,"&gt;="&amp;D73,'14_Motor_Liq'!$M$5:$M$504,"&lt;"&amp;E73)+SUMIFS('14_Motor_Liq'!$R$5:$R$504,'14_Motor_Liq'!$Q$5:$Q$504,"&gt;="&amp;D73,'14_Motor_Liq'!$Q$5:$Q$504,"&lt;"&amp;E73)+SUMIFS('14_Motor_Liq'!$V$5:$V$504,'14_Motor_Liq'!$U$5:$U$504,"&gt;="&amp;D73,'14_Motor_Liq'!$U$5:$U$504,"&lt;"&amp;E73)+SUMIFS('14_Motor_Liq'!$Z$5:$Z$504,'14_Motor_Liq'!$Y$5:$Y$504,"&gt;="&amp;D73,'14_Motor_Liq'!$Y$5:$Y$504,"&lt;"&amp;E73)+SUMIFS('14_Motor_Liq'!$AD$5:$AD$504,'14_Motor_Liq'!$AC$5:$AC$504,"&gt;="&amp;D73,'14_Motor_Liq'!$AC$5:$AC$504,"&lt;"&amp;E73)</f>
        <v>0</v>
      </c>
      <c r="H73" s="81" t="n">
        <f aca="false">SUMIFS('14_Motor_Liq'!$P$5:$P$504,'14_Motor_Liq'!$O$5:$O$504,"&gt;="&amp;D73,'14_Motor_Liq'!$O$5:$O$504,"&lt;"&amp;E73)+SUMIFS('14_Motor_Liq'!$T$5:$T$504,'14_Motor_Liq'!$S$5:$S$504,"&gt;="&amp;D73,'14_Motor_Liq'!$S$5:$S$504,"&lt;"&amp;E73)+SUMIFS('14_Motor_Liq'!$X$5:$X$504,'14_Motor_Liq'!$W$5:$W$504,"&gt;="&amp;D73,'14_Motor_Liq'!$W$5:$W$504,"&lt;"&amp;E73)+SUMIFS('14_Motor_Liq'!$AB$5:$AB$504,'14_Motor_Liq'!$AA$5:$AA$504,"&gt;="&amp;D73,'14_Motor_Liq'!$AA$5:$AA$504,"&lt;"&amp;E73)+SUMIFS('14_Motor_Liq'!$AF$5:$AF$504,'14_Motor_Liq'!$AE$5:$AE$504,"&gt;="&amp;D73,'14_Motor_Liq'!$AE$5:$AE$504,"&lt;"&amp;E73)</f>
        <v>0</v>
      </c>
      <c r="I73" s="82" t="n">
        <f aca="false">G73+H73</f>
        <v>0</v>
      </c>
      <c r="J73" s="83" t="str">
        <f aca="false">IF(MAX($I$44:$I$104)=0,"",REPT("|",ROUND(I73/MAX($I$44:$I$104)*45,0)))</f>
        <v/>
      </c>
      <c r="K73" s="84" t="n">
        <f aca="false">IF(B73&gt;0,SUMIFS($H$44:$H$104,$B$44:$B$104,"&gt;=0",$B$44:$B$104,"&lt;="&amp;B73),IF(B73&lt;0,SUMIFS($G$44:$G$104,$B$44:$B$104,"&lt;=0",$B$44:$B$104,"&gt;="&amp;B73),G73+H73))</f>
        <v>0</v>
      </c>
    </row>
    <row r="74" customFormat="false" ht="15" hidden="false" customHeight="false" outlineLevel="0" collapsed="false">
      <c r="A74" s="85" t="str">
        <f aca="false">IF(B74=0,"&lt;&lt; PRECIO ACTUAL",IF(AND(G74&gt;0,G74=MAX($G$44:$G$104)),"CLUSTER LONG MAYOR",IF(AND(H74&gt;0,H74=MAX($H$44:$H$104)),"CLUSTER SHORT MAYOR",IF(AND(ISNUMBER($B$31),B74=$B$31),"primer cluster long",IF(AND(ISNUMBER($B$34),B74=$B$34),"primer cluster short","")))))</f>
        <v>&lt;&lt; PRECIO ACTUAL</v>
      </c>
      <c r="B74" s="76" t="n">
        <v>0</v>
      </c>
      <c r="C74" s="86" t="n">
        <f aca="false">$B$5*(1+B74*$B$8)</f>
        <v>77477</v>
      </c>
      <c r="D74" s="78" t="n">
        <f aca="false">$B$5*(1+(B74-0.5)*$B$8)</f>
        <v>77283.3075</v>
      </c>
      <c r="E74" s="78" t="n">
        <f aca="false">$B$5*(1+(B74+0.5)*$B$8)</f>
        <v>77670.6925</v>
      </c>
      <c r="F74" s="79" t="n">
        <f aca="false">B74*$B$8</f>
        <v>0</v>
      </c>
      <c r="G74" s="80" t="n">
        <f aca="false">SUMIFS('14_Motor_Liq'!$N$5:$N$504,'14_Motor_Liq'!$M$5:$M$504,"&gt;="&amp;D74,'14_Motor_Liq'!$M$5:$M$504,"&lt;"&amp;E74)+SUMIFS('14_Motor_Liq'!$R$5:$R$504,'14_Motor_Liq'!$Q$5:$Q$504,"&gt;="&amp;D74,'14_Motor_Liq'!$Q$5:$Q$504,"&lt;"&amp;E74)+SUMIFS('14_Motor_Liq'!$V$5:$V$504,'14_Motor_Liq'!$U$5:$U$504,"&gt;="&amp;D74,'14_Motor_Liq'!$U$5:$U$504,"&lt;"&amp;E74)+SUMIFS('14_Motor_Liq'!$Z$5:$Z$504,'14_Motor_Liq'!$Y$5:$Y$504,"&gt;="&amp;D74,'14_Motor_Liq'!$Y$5:$Y$504,"&lt;"&amp;E74)+SUMIFS('14_Motor_Liq'!$AD$5:$AD$504,'14_Motor_Liq'!$AC$5:$AC$504,"&gt;="&amp;D74,'14_Motor_Liq'!$AC$5:$AC$504,"&lt;"&amp;E74)</f>
        <v>0</v>
      </c>
      <c r="H74" s="81" t="n">
        <f aca="false">SUMIFS('14_Motor_Liq'!$P$5:$P$504,'14_Motor_Liq'!$O$5:$O$504,"&gt;="&amp;D74,'14_Motor_Liq'!$O$5:$O$504,"&lt;"&amp;E74)+SUMIFS('14_Motor_Liq'!$T$5:$T$504,'14_Motor_Liq'!$S$5:$S$504,"&gt;="&amp;D74,'14_Motor_Liq'!$S$5:$S$504,"&lt;"&amp;E74)+SUMIFS('14_Motor_Liq'!$X$5:$X$504,'14_Motor_Liq'!$W$5:$W$504,"&gt;="&amp;D74,'14_Motor_Liq'!$W$5:$W$504,"&lt;"&amp;E74)+SUMIFS('14_Motor_Liq'!$AB$5:$AB$504,'14_Motor_Liq'!$AA$5:$AA$504,"&gt;="&amp;D74,'14_Motor_Liq'!$AA$5:$AA$504,"&lt;"&amp;E74)+SUMIFS('14_Motor_Liq'!$AF$5:$AF$504,'14_Motor_Liq'!$AE$5:$AE$504,"&gt;="&amp;D74,'14_Motor_Liq'!$AE$5:$AE$504,"&lt;"&amp;E74)</f>
        <v>0</v>
      </c>
      <c r="I74" s="82" t="n">
        <f aca="false">G74+H74</f>
        <v>0</v>
      </c>
      <c r="J74" s="83" t="str">
        <f aca="false">IF(MAX($I$44:$I$104)=0,"",REPT("|",ROUND(I74/MAX($I$44:$I$104)*45,0)))</f>
        <v/>
      </c>
      <c r="K74" s="84" t="n">
        <f aca="false">IF(B74&gt;0,SUMIFS($H$44:$H$104,$B$44:$B$104,"&gt;=0",$B$44:$B$104,"&lt;="&amp;B74),IF(B74&lt;0,SUMIFS($G$44:$G$104,$B$44:$B$104,"&lt;=0",$B$44:$B$104,"&gt;="&amp;B74),G74+H74))</f>
        <v>0</v>
      </c>
    </row>
    <row r="75" customFormat="false" ht="15" hidden="false" customHeight="false" outlineLevel="0" collapsed="false">
      <c r="A75" s="87" t="str">
        <f aca="false">IF(B75=0,"&lt;&lt; PRECIO ACTUAL",IF(AND(G75&gt;0,G75=MAX($G$44:$G$104)),"CLUSTER LONG MAYOR",IF(AND(H75&gt;0,H75=MAX($H$44:$H$104)),"CLUSTER SHORT MAYOR",IF(AND(ISNUMBER($B$31),B75=$B$31),"primer cluster long",IF(AND(ISNUMBER($B$34),B75=$B$34),"primer cluster short","")))))</f>
        <v/>
      </c>
      <c r="B75" s="76" t="n">
        <v>-1</v>
      </c>
      <c r="C75" s="77" t="n">
        <f aca="false">$B$5*(1+B75*$B$8)</f>
        <v>77089.615</v>
      </c>
      <c r="D75" s="78" t="n">
        <f aca="false">$B$5*(1+(B75-0.5)*$B$8)</f>
        <v>76895.9225</v>
      </c>
      <c r="E75" s="78" t="n">
        <f aca="false">$B$5*(1+(B75+0.5)*$B$8)</f>
        <v>77283.3075</v>
      </c>
      <c r="F75" s="79" t="n">
        <f aca="false">B75*$B$8</f>
        <v>-0.005</v>
      </c>
      <c r="G75" s="80" t="n">
        <f aca="false">SUMIFS('14_Motor_Liq'!$N$5:$N$504,'14_Motor_Liq'!$M$5:$M$504,"&gt;="&amp;D75,'14_Motor_Liq'!$M$5:$M$504,"&lt;"&amp;E75)+SUMIFS('14_Motor_Liq'!$R$5:$R$504,'14_Motor_Liq'!$Q$5:$Q$504,"&gt;="&amp;D75,'14_Motor_Liq'!$Q$5:$Q$504,"&lt;"&amp;E75)+SUMIFS('14_Motor_Liq'!$V$5:$V$504,'14_Motor_Liq'!$U$5:$U$504,"&gt;="&amp;D75,'14_Motor_Liq'!$U$5:$U$504,"&lt;"&amp;E75)+SUMIFS('14_Motor_Liq'!$Z$5:$Z$504,'14_Motor_Liq'!$Y$5:$Y$504,"&gt;="&amp;D75,'14_Motor_Liq'!$Y$5:$Y$504,"&lt;"&amp;E75)+SUMIFS('14_Motor_Liq'!$AD$5:$AD$504,'14_Motor_Liq'!$AC$5:$AC$504,"&gt;="&amp;D75,'14_Motor_Liq'!$AC$5:$AC$504,"&lt;"&amp;E75)</f>
        <v>0</v>
      </c>
      <c r="H75" s="81" t="n">
        <f aca="false">SUMIFS('14_Motor_Liq'!$P$5:$P$504,'14_Motor_Liq'!$O$5:$O$504,"&gt;="&amp;D75,'14_Motor_Liq'!$O$5:$O$504,"&lt;"&amp;E75)+SUMIFS('14_Motor_Liq'!$T$5:$T$504,'14_Motor_Liq'!$S$5:$S$504,"&gt;="&amp;D75,'14_Motor_Liq'!$S$5:$S$504,"&lt;"&amp;E75)+SUMIFS('14_Motor_Liq'!$X$5:$X$504,'14_Motor_Liq'!$W$5:$W$504,"&gt;="&amp;D75,'14_Motor_Liq'!$W$5:$W$504,"&lt;"&amp;E75)+SUMIFS('14_Motor_Liq'!$AB$5:$AB$504,'14_Motor_Liq'!$AA$5:$AA$504,"&gt;="&amp;D75,'14_Motor_Liq'!$AA$5:$AA$504,"&lt;"&amp;E75)+SUMIFS('14_Motor_Liq'!$AF$5:$AF$504,'14_Motor_Liq'!$AE$5:$AE$504,"&gt;="&amp;D75,'14_Motor_Liq'!$AE$5:$AE$504,"&lt;"&amp;E75)</f>
        <v>0</v>
      </c>
      <c r="I75" s="82" t="n">
        <f aca="false">G75+H75</f>
        <v>0</v>
      </c>
      <c r="J75" s="88" t="str">
        <f aca="false">IF(MAX($I$44:$I$104)=0,"",REPT("|",ROUND(I75/MAX($I$44:$I$104)*45,0)))</f>
        <v/>
      </c>
      <c r="K75" s="84" t="n">
        <f aca="false">IF(B75&gt;0,SUMIFS($H$44:$H$104,$B$44:$B$104,"&gt;=0",$B$44:$B$104,"&lt;="&amp;B75),IF(B75&lt;0,SUMIFS($G$44:$G$104,$B$44:$B$104,"&lt;=0",$B$44:$B$104,"&gt;="&amp;B75),G75+H75))</f>
        <v>0</v>
      </c>
    </row>
    <row r="76" customFormat="false" ht="15" hidden="false" customHeight="false" outlineLevel="0" collapsed="false">
      <c r="A76" s="87" t="str">
        <f aca="false">IF(B76=0,"&lt;&lt; PRECIO ACTUAL",IF(AND(G76&gt;0,G76=MAX($G$44:$G$104)),"CLUSTER LONG MAYOR",IF(AND(H76&gt;0,H76=MAX($H$44:$H$104)),"CLUSTER SHORT MAYOR",IF(AND(ISNUMBER($B$31),B76=$B$31),"primer cluster long",IF(AND(ISNUMBER($B$34),B76=$B$34),"primer cluster short","")))))</f>
        <v/>
      </c>
      <c r="B76" s="76" t="n">
        <v>-2</v>
      </c>
      <c r="C76" s="77" t="n">
        <f aca="false">$B$5*(1+B76*$B$8)</f>
        <v>76702.23</v>
      </c>
      <c r="D76" s="78" t="n">
        <f aca="false">$B$5*(1+(B76-0.5)*$B$8)</f>
        <v>76508.5375</v>
      </c>
      <c r="E76" s="78" t="n">
        <f aca="false">$B$5*(1+(B76+0.5)*$B$8)</f>
        <v>76895.9225</v>
      </c>
      <c r="F76" s="79" t="n">
        <f aca="false">B76*$B$8</f>
        <v>-0.01</v>
      </c>
      <c r="G76" s="80" t="n">
        <f aca="false">SUMIFS('14_Motor_Liq'!$N$5:$N$504,'14_Motor_Liq'!$M$5:$M$504,"&gt;="&amp;D76,'14_Motor_Liq'!$M$5:$M$504,"&lt;"&amp;E76)+SUMIFS('14_Motor_Liq'!$R$5:$R$504,'14_Motor_Liq'!$Q$5:$Q$504,"&gt;="&amp;D76,'14_Motor_Liq'!$Q$5:$Q$504,"&lt;"&amp;E76)+SUMIFS('14_Motor_Liq'!$V$5:$V$504,'14_Motor_Liq'!$U$5:$U$504,"&gt;="&amp;D76,'14_Motor_Liq'!$U$5:$U$504,"&lt;"&amp;E76)+SUMIFS('14_Motor_Liq'!$Z$5:$Z$504,'14_Motor_Liq'!$Y$5:$Y$504,"&gt;="&amp;D76,'14_Motor_Liq'!$Y$5:$Y$504,"&lt;"&amp;E76)+SUMIFS('14_Motor_Liq'!$AD$5:$AD$504,'14_Motor_Liq'!$AC$5:$AC$504,"&gt;="&amp;D76,'14_Motor_Liq'!$AC$5:$AC$504,"&lt;"&amp;E76)</f>
        <v>0</v>
      </c>
      <c r="H76" s="81" t="n">
        <f aca="false">SUMIFS('14_Motor_Liq'!$P$5:$P$504,'14_Motor_Liq'!$O$5:$O$504,"&gt;="&amp;D76,'14_Motor_Liq'!$O$5:$O$504,"&lt;"&amp;E76)+SUMIFS('14_Motor_Liq'!$T$5:$T$504,'14_Motor_Liq'!$S$5:$S$504,"&gt;="&amp;D76,'14_Motor_Liq'!$S$5:$S$504,"&lt;"&amp;E76)+SUMIFS('14_Motor_Liq'!$X$5:$X$504,'14_Motor_Liq'!$W$5:$W$504,"&gt;="&amp;D76,'14_Motor_Liq'!$W$5:$W$504,"&lt;"&amp;E76)+SUMIFS('14_Motor_Liq'!$AB$5:$AB$504,'14_Motor_Liq'!$AA$5:$AA$504,"&gt;="&amp;D76,'14_Motor_Liq'!$AA$5:$AA$504,"&lt;"&amp;E76)+SUMIFS('14_Motor_Liq'!$AF$5:$AF$504,'14_Motor_Liq'!$AE$5:$AE$504,"&gt;="&amp;D76,'14_Motor_Liq'!$AE$5:$AE$504,"&lt;"&amp;E76)</f>
        <v>0</v>
      </c>
      <c r="I76" s="82" t="n">
        <f aca="false">G76+H76</f>
        <v>0</v>
      </c>
      <c r="J76" s="88" t="str">
        <f aca="false">IF(MAX($I$44:$I$104)=0,"",REPT("|",ROUND(I76/MAX($I$44:$I$104)*45,0)))</f>
        <v/>
      </c>
      <c r="K76" s="84" t="n">
        <f aca="false">IF(B76&gt;0,SUMIFS($H$44:$H$104,$B$44:$B$104,"&gt;=0",$B$44:$B$104,"&lt;="&amp;B76),IF(B76&lt;0,SUMIFS($G$44:$G$104,$B$44:$B$104,"&lt;=0",$B$44:$B$104,"&gt;="&amp;B76),G76+H76))</f>
        <v>0</v>
      </c>
    </row>
    <row r="77" customFormat="false" ht="15" hidden="false" customHeight="false" outlineLevel="0" collapsed="false">
      <c r="A77" s="87" t="str">
        <f aca="false">IF(B77=0,"&lt;&lt; PRECIO ACTUAL",IF(AND(G77&gt;0,G77=MAX($G$44:$G$104)),"CLUSTER LONG MAYOR",IF(AND(H77&gt;0,H77=MAX($H$44:$H$104)),"CLUSTER SHORT MAYOR",IF(AND(ISNUMBER($B$31),B77=$B$31),"primer cluster long",IF(AND(ISNUMBER($B$34),B77=$B$34),"primer cluster short","")))))</f>
        <v/>
      </c>
      <c r="B77" s="76" t="n">
        <v>-3</v>
      </c>
      <c r="C77" s="77" t="n">
        <f aca="false">$B$5*(1+B77*$B$8)</f>
        <v>76314.845</v>
      </c>
      <c r="D77" s="78" t="n">
        <f aca="false">$B$5*(1+(B77-0.5)*$B$8)</f>
        <v>76121.1525</v>
      </c>
      <c r="E77" s="78" t="n">
        <f aca="false">$B$5*(1+(B77+0.5)*$B$8)</f>
        <v>76508.5375</v>
      </c>
      <c r="F77" s="79" t="n">
        <f aca="false">B77*$B$8</f>
        <v>-0.015</v>
      </c>
      <c r="G77" s="80" t="n">
        <f aca="false">SUMIFS('14_Motor_Liq'!$N$5:$N$504,'14_Motor_Liq'!$M$5:$M$504,"&gt;="&amp;D77,'14_Motor_Liq'!$M$5:$M$504,"&lt;"&amp;E77)+SUMIFS('14_Motor_Liq'!$R$5:$R$504,'14_Motor_Liq'!$Q$5:$Q$504,"&gt;="&amp;D77,'14_Motor_Liq'!$Q$5:$Q$504,"&lt;"&amp;E77)+SUMIFS('14_Motor_Liq'!$V$5:$V$504,'14_Motor_Liq'!$U$5:$U$504,"&gt;="&amp;D77,'14_Motor_Liq'!$U$5:$U$504,"&lt;"&amp;E77)+SUMIFS('14_Motor_Liq'!$Z$5:$Z$504,'14_Motor_Liq'!$Y$5:$Y$504,"&gt;="&amp;D77,'14_Motor_Liq'!$Y$5:$Y$504,"&lt;"&amp;E77)+SUMIFS('14_Motor_Liq'!$AD$5:$AD$504,'14_Motor_Liq'!$AC$5:$AC$504,"&gt;="&amp;D77,'14_Motor_Liq'!$AC$5:$AC$504,"&lt;"&amp;E77)</f>
        <v>0</v>
      </c>
      <c r="H77" s="81" t="n">
        <f aca="false">SUMIFS('14_Motor_Liq'!$P$5:$P$504,'14_Motor_Liq'!$O$5:$O$504,"&gt;="&amp;D77,'14_Motor_Liq'!$O$5:$O$504,"&lt;"&amp;E77)+SUMIFS('14_Motor_Liq'!$T$5:$T$504,'14_Motor_Liq'!$S$5:$S$504,"&gt;="&amp;D77,'14_Motor_Liq'!$S$5:$S$504,"&lt;"&amp;E77)+SUMIFS('14_Motor_Liq'!$X$5:$X$504,'14_Motor_Liq'!$W$5:$W$504,"&gt;="&amp;D77,'14_Motor_Liq'!$W$5:$W$504,"&lt;"&amp;E77)+SUMIFS('14_Motor_Liq'!$AB$5:$AB$504,'14_Motor_Liq'!$AA$5:$AA$504,"&gt;="&amp;D77,'14_Motor_Liq'!$AA$5:$AA$504,"&lt;"&amp;E77)+SUMIFS('14_Motor_Liq'!$AF$5:$AF$504,'14_Motor_Liq'!$AE$5:$AE$504,"&gt;="&amp;D77,'14_Motor_Liq'!$AE$5:$AE$504,"&lt;"&amp;E77)</f>
        <v>0</v>
      </c>
      <c r="I77" s="82" t="n">
        <f aca="false">G77+H77</f>
        <v>0</v>
      </c>
      <c r="J77" s="88" t="str">
        <f aca="false">IF(MAX($I$44:$I$104)=0,"",REPT("|",ROUND(I77/MAX($I$44:$I$104)*45,0)))</f>
        <v/>
      </c>
      <c r="K77" s="84" t="n">
        <f aca="false">IF(B77&gt;0,SUMIFS($H$44:$H$104,$B$44:$B$104,"&gt;=0",$B$44:$B$104,"&lt;="&amp;B77),IF(B77&lt;0,SUMIFS($G$44:$G$104,$B$44:$B$104,"&lt;=0",$B$44:$B$104,"&gt;="&amp;B77),G77+H77))</f>
        <v>0</v>
      </c>
    </row>
    <row r="78" customFormat="false" ht="15" hidden="false" customHeight="false" outlineLevel="0" collapsed="false">
      <c r="A78" s="87" t="str">
        <f aca="false">IF(B78=0,"&lt;&lt; PRECIO ACTUAL",IF(AND(G78&gt;0,G78=MAX($G$44:$G$104)),"CLUSTER LONG MAYOR",IF(AND(H78&gt;0,H78=MAX($H$44:$H$104)),"CLUSTER SHORT MAYOR",IF(AND(ISNUMBER($B$31),B78=$B$31),"primer cluster long",IF(AND(ISNUMBER($B$34),B78=$B$34),"primer cluster short","")))))</f>
        <v/>
      </c>
      <c r="B78" s="76" t="n">
        <v>-4</v>
      </c>
      <c r="C78" s="77" t="n">
        <f aca="false">$B$5*(1+B78*$B$8)</f>
        <v>75927.46</v>
      </c>
      <c r="D78" s="78" t="n">
        <f aca="false">$B$5*(1+(B78-0.5)*$B$8)</f>
        <v>75733.7675</v>
      </c>
      <c r="E78" s="78" t="n">
        <f aca="false">$B$5*(1+(B78+0.5)*$B$8)</f>
        <v>76121.1525</v>
      </c>
      <c r="F78" s="79" t="n">
        <f aca="false">B78*$B$8</f>
        <v>-0.02</v>
      </c>
      <c r="G78" s="80" t="n">
        <f aca="false">SUMIFS('14_Motor_Liq'!$N$5:$N$504,'14_Motor_Liq'!$M$5:$M$504,"&gt;="&amp;D78,'14_Motor_Liq'!$M$5:$M$504,"&lt;"&amp;E78)+SUMIFS('14_Motor_Liq'!$R$5:$R$504,'14_Motor_Liq'!$Q$5:$Q$504,"&gt;="&amp;D78,'14_Motor_Liq'!$Q$5:$Q$504,"&lt;"&amp;E78)+SUMIFS('14_Motor_Liq'!$V$5:$V$504,'14_Motor_Liq'!$U$5:$U$504,"&gt;="&amp;D78,'14_Motor_Liq'!$U$5:$U$504,"&lt;"&amp;E78)+SUMIFS('14_Motor_Liq'!$Z$5:$Z$504,'14_Motor_Liq'!$Y$5:$Y$504,"&gt;="&amp;D78,'14_Motor_Liq'!$Y$5:$Y$504,"&lt;"&amp;E78)+SUMIFS('14_Motor_Liq'!$AD$5:$AD$504,'14_Motor_Liq'!$AC$5:$AC$504,"&gt;="&amp;D78,'14_Motor_Liq'!$AC$5:$AC$504,"&lt;"&amp;E78)</f>
        <v>0</v>
      </c>
      <c r="H78" s="81" t="n">
        <f aca="false">SUMIFS('14_Motor_Liq'!$P$5:$P$504,'14_Motor_Liq'!$O$5:$O$504,"&gt;="&amp;D78,'14_Motor_Liq'!$O$5:$O$504,"&lt;"&amp;E78)+SUMIFS('14_Motor_Liq'!$T$5:$T$504,'14_Motor_Liq'!$S$5:$S$504,"&gt;="&amp;D78,'14_Motor_Liq'!$S$5:$S$504,"&lt;"&amp;E78)+SUMIFS('14_Motor_Liq'!$X$5:$X$504,'14_Motor_Liq'!$W$5:$W$504,"&gt;="&amp;D78,'14_Motor_Liq'!$W$5:$W$504,"&lt;"&amp;E78)+SUMIFS('14_Motor_Liq'!$AB$5:$AB$504,'14_Motor_Liq'!$AA$5:$AA$504,"&gt;="&amp;D78,'14_Motor_Liq'!$AA$5:$AA$504,"&lt;"&amp;E78)+SUMIFS('14_Motor_Liq'!$AF$5:$AF$504,'14_Motor_Liq'!$AE$5:$AE$504,"&gt;="&amp;D78,'14_Motor_Liq'!$AE$5:$AE$504,"&lt;"&amp;E78)</f>
        <v>0</v>
      </c>
      <c r="I78" s="82" t="n">
        <f aca="false">G78+H78</f>
        <v>0</v>
      </c>
      <c r="J78" s="88" t="str">
        <f aca="false">IF(MAX($I$44:$I$104)=0,"",REPT("|",ROUND(I78/MAX($I$44:$I$104)*45,0)))</f>
        <v/>
      </c>
      <c r="K78" s="84" t="n">
        <f aca="false">IF(B78&gt;0,SUMIFS($H$44:$H$104,$B$44:$B$104,"&gt;=0",$B$44:$B$104,"&lt;="&amp;B78),IF(B78&lt;0,SUMIFS($G$44:$G$104,$B$44:$B$104,"&lt;=0",$B$44:$B$104,"&gt;="&amp;B78),G78+H78))</f>
        <v>0</v>
      </c>
    </row>
    <row r="79" customFormat="false" ht="15" hidden="false" customHeight="false" outlineLevel="0" collapsed="false">
      <c r="A79" s="87" t="str">
        <f aca="false">IF(B79=0,"&lt;&lt; PRECIO ACTUAL",IF(AND(G79&gt;0,G79=MAX($G$44:$G$104)),"CLUSTER LONG MAYOR",IF(AND(H79&gt;0,H79=MAX($H$44:$H$104)),"CLUSTER SHORT MAYOR",IF(AND(ISNUMBER($B$31),B79=$B$31),"primer cluster long",IF(AND(ISNUMBER($B$34),B79=$B$34),"primer cluster short","")))))</f>
        <v/>
      </c>
      <c r="B79" s="76" t="n">
        <v>-5</v>
      </c>
      <c r="C79" s="77" t="n">
        <f aca="false">$B$5*(1+B79*$B$8)</f>
        <v>75540.075</v>
      </c>
      <c r="D79" s="78" t="n">
        <f aca="false">$B$5*(1+(B79-0.5)*$B$8)</f>
        <v>75346.3825</v>
      </c>
      <c r="E79" s="78" t="n">
        <f aca="false">$B$5*(1+(B79+0.5)*$B$8)</f>
        <v>75733.7675</v>
      </c>
      <c r="F79" s="79" t="n">
        <f aca="false">B79*$B$8</f>
        <v>-0.025</v>
      </c>
      <c r="G79" s="80" t="n">
        <f aca="false">SUMIFS('14_Motor_Liq'!$N$5:$N$504,'14_Motor_Liq'!$M$5:$M$504,"&gt;="&amp;D79,'14_Motor_Liq'!$M$5:$M$504,"&lt;"&amp;E79)+SUMIFS('14_Motor_Liq'!$R$5:$R$504,'14_Motor_Liq'!$Q$5:$Q$504,"&gt;="&amp;D79,'14_Motor_Liq'!$Q$5:$Q$504,"&lt;"&amp;E79)+SUMIFS('14_Motor_Liq'!$V$5:$V$504,'14_Motor_Liq'!$U$5:$U$504,"&gt;="&amp;D79,'14_Motor_Liq'!$U$5:$U$504,"&lt;"&amp;E79)+SUMIFS('14_Motor_Liq'!$Z$5:$Z$504,'14_Motor_Liq'!$Y$5:$Y$504,"&gt;="&amp;D79,'14_Motor_Liq'!$Y$5:$Y$504,"&lt;"&amp;E79)+SUMIFS('14_Motor_Liq'!$AD$5:$AD$504,'14_Motor_Liq'!$AC$5:$AC$504,"&gt;="&amp;D79,'14_Motor_Liq'!$AC$5:$AC$504,"&lt;"&amp;E79)</f>
        <v>0</v>
      </c>
      <c r="H79" s="81" t="n">
        <f aca="false">SUMIFS('14_Motor_Liq'!$P$5:$P$504,'14_Motor_Liq'!$O$5:$O$504,"&gt;="&amp;D79,'14_Motor_Liq'!$O$5:$O$504,"&lt;"&amp;E79)+SUMIFS('14_Motor_Liq'!$T$5:$T$504,'14_Motor_Liq'!$S$5:$S$504,"&gt;="&amp;D79,'14_Motor_Liq'!$S$5:$S$504,"&lt;"&amp;E79)+SUMIFS('14_Motor_Liq'!$X$5:$X$504,'14_Motor_Liq'!$W$5:$W$504,"&gt;="&amp;D79,'14_Motor_Liq'!$W$5:$W$504,"&lt;"&amp;E79)+SUMIFS('14_Motor_Liq'!$AB$5:$AB$504,'14_Motor_Liq'!$AA$5:$AA$504,"&gt;="&amp;D79,'14_Motor_Liq'!$AA$5:$AA$504,"&lt;"&amp;E79)+SUMIFS('14_Motor_Liq'!$AF$5:$AF$504,'14_Motor_Liq'!$AE$5:$AE$504,"&gt;="&amp;D79,'14_Motor_Liq'!$AE$5:$AE$504,"&lt;"&amp;E79)</f>
        <v>0</v>
      </c>
      <c r="I79" s="82" t="n">
        <f aca="false">G79+H79</f>
        <v>0</v>
      </c>
      <c r="J79" s="88" t="str">
        <f aca="false">IF(MAX($I$44:$I$104)=0,"",REPT("|",ROUND(I79/MAX($I$44:$I$104)*45,0)))</f>
        <v/>
      </c>
      <c r="K79" s="84" t="n">
        <f aca="false">IF(B79&gt;0,SUMIFS($H$44:$H$104,$B$44:$B$104,"&gt;=0",$B$44:$B$104,"&lt;="&amp;B79),IF(B79&lt;0,SUMIFS($G$44:$G$104,$B$44:$B$104,"&lt;=0",$B$44:$B$104,"&gt;="&amp;B79),G79+H79))</f>
        <v>0</v>
      </c>
    </row>
    <row r="80" customFormat="false" ht="15" hidden="false" customHeight="false" outlineLevel="0" collapsed="false">
      <c r="A80" s="87" t="str">
        <f aca="false">IF(B80=0,"&lt;&lt; PRECIO ACTUAL",IF(AND(G80&gt;0,G80=MAX($G$44:$G$104)),"CLUSTER LONG MAYOR",IF(AND(H80&gt;0,H80=MAX($H$44:$H$104)),"CLUSTER SHORT MAYOR",IF(AND(ISNUMBER($B$31),B80=$B$31),"primer cluster long",IF(AND(ISNUMBER($B$34),B80=$B$34),"primer cluster short","")))))</f>
        <v/>
      </c>
      <c r="B80" s="76" t="n">
        <v>-6</v>
      </c>
      <c r="C80" s="77" t="n">
        <f aca="false">$B$5*(1+B80*$B$8)</f>
        <v>75152.69</v>
      </c>
      <c r="D80" s="78" t="n">
        <f aca="false">$B$5*(1+(B80-0.5)*$B$8)</f>
        <v>74958.9975</v>
      </c>
      <c r="E80" s="78" t="n">
        <f aca="false">$B$5*(1+(B80+0.5)*$B$8)</f>
        <v>75346.3825</v>
      </c>
      <c r="F80" s="79" t="n">
        <f aca="false">B80*$B$8</f>
        <v>-0.03</v>
      </c>
      <c r="G80" s="80" t="n">
        <f aca="false">SUMIFS('14_Motor_Liq'!$N$5:$N$504,'14_Motor_Liq'!$M$5:$M$504,"&gt;="&amp;D80,'14_Motor_Liq'!$M$5:$M$504,"&lt;"&amp;E80)+SUMIFS('14_Motor_Liq'!$R$5:$R$504,'14_Motor_Liq'!$Q$5:$Q$504,"&gt;="&amp;D80,'14_Motor_Liq'!$Q$5:$Q$504,"&lt;"&amp;E80)+SUMIFS('14_Motor_Liq'!$V$5:$V$504,'14_Motor_Liq'!$U$5:$U$504,"&gt;="&amp;D80,'14_Motor_Liq'!$U$5:$U$504,"&lt;"&amp;E80)+SUMIFS('14_Motor_Liq'!$Z$5:$Z$504,'14_Motor_Liq'!$Y$5:$Y$504,"&gt;="&amp;D80,'14_Motor_Liq'!$Y$5:$Y$504,"&lt;"&amp;E80)+SUMIFS('14_Motor_Liq'!$AD$5:$AD$504,'14_Motor_Liq'!$AC$5:$AC$504,"&gt;="&amp;D80,'14_Motor_Liq'!$AC$5:$AC$504,"&lt;"&amp;E80)</f>
        <v>0</v>
      </c>
      <c r="H80" s="81" t="n">
        <f aca="false">SUMIFS('14_Motor_Liq'!$P$5:$P$504,'14_Motor_Liq'!$O$5:$O$504,"&gt;="&amp;D80,'14_Motor_Liq'!$O$5:$O$504,"&lt;"&amp;E80)+SUMIFS('14_Motor_Liq'!$T$5:$T$504,'14_Motor_Liq'!$S$5:$S$504,"&gt;="&amp;D80,'14_Motor_Liq'!$S$5:$S$504,"&lt;"&amp;E80)+SUMIFS('14_Motor_Liq'!$X$5:$X$504,'14_Motor_Liq'!$W$5:$W$504,"&gt;="&amp;D80,'14_Motor_Liq'!$W$5:$W$504,"&lt;"&amp;E80)+SUMIFS('14_Motor_Liq'!$AB$5:$AB$504,'14_Motor_Liq'!$AA$5:$AA$504,"&gt;="&amp;D80,'14_Motor_Liq'!$AA$5:$AA$504,"&lt;"&amp;E80)+SUMIFS('14_Motor_Liq'!$AF$5:$AF$504,'14_Motor_Liq'!$AE$5:$AE$504,"&gt;="&amp;D80,'14_Motor_Liq'!$AE$5:$AE$504,"&lt;"&amp;E80)</f>
        <v>0</v>
      </c>
      <c r="I80" s="82" t="n">
        <f aca="false">G80+H80</f>
        <v>0</v>
      </c>
      <c r="J80" s="88" t="str">
        <f aca="false">IF(MAX($I$44:$I$104)=0,"",REPT("|",ROUND(I80/MAX($I$44:$I$104)*45,0)))</f>
        <v/>
      </c>
      <c r="K80" s="84" t="n">
        <f aca="false">IF(B80&gt;0,SUMIFS($H$44:$H$104,$B$44:$B$104,"&gt;=0",$B$44:$B$104,"&lt;="&amp;B80),IF(B80&lt;0,SUMIFS($G$44:$G$104,$B$44:$B$104,"&lt;=0",$B$44:$B$104,"&gt;="&amp;B80),G80+H80))</f>
        <v>0</v>
      </c>
    </row>
    <row r="81" customFormat="false" ht="15" hidden="false" customHeight="false" outlineLevel="0" collapsed="false">
      <c r="A81" s="87" t="str">
        <f aca="false">IF(B81=0,"&lt;&lt; PRECIO ACTUAL",IF(AND(G81&gt;0,G81=MAX($G$44:$G$104)),"CLUSTER LONG MAYOR",IF(AND(H81&gt;0,H81=MAX($H$44:$H$104)),"CLUSTER SHORT MAYOR",IF(AND(ISNUMBER($B$31),B81=$B$31),"primer cluster long",IF(AND(ISNUMBER($B$34),B81=$B$34),"primer cluster short","")))))</f>
        <v/>
      </c>
      <c r="B81" s="76" t="n">
        <v>-7</v>
      </c>
      <c r="C81" s="77" t="n">
        <f aca="false">$B$5*(1+B81*$B$8)</f>
        <v>74765.305</v>
      </c>
      <c r="D81" s="78" t="n">
        <f aca="false">$B$5*(1+(B81-0.5)*$B$8)</f>
        <v>74571.6125</v>
      </c>
      <c r="E81" s="78" t="n">
        <f aca="false">$B$5*(1+(B81+0.5)*$B$8)</f>
        <v>74958.9975</v>
      </c>
      <c r="F81" s="79" t="n">
        <f aca="false">B81*$B$8</f>
        <v>-0.035</v>
      </c>
      <c r="G81" s="80" t="n">
        <f aca="false">SUMIFS('14_Motor_Liq'!$N$5:$N$504,'14_Motor_Liq'!$M$5:$M$504,"&gt;="&amp;D81,'14_Motor_Liq'!$M$5:$M$504,"&lt;"&amp;E81)+SUMIFS('14_Motor_Liq'!$R$5:$R$504,'14_Motor_Liq'!$Q$5:$Q$504,"&gt;="&amp;D81,'14_Motor_Liq'!$Q$5:$Q$504,"&lt;"&amp;E81)+SUMIFS('14_Motor_Liq'!$V$5:$V$504,'14_Motor_Liq'!$U$5:$U$504,"&gt;="&amp;D81,'14_Motor_Liq'!$U$5:$U$504,"&lt;"&amp;E81)+SUMIFS('14_Motor_Liq'!$Z$5:$Z$504,'14_Motor_Liq'!$Y$5:$Y$504,"&gt;="&amp;D81,'14_Motor_Liq'!$Y$5:$Y$504,"&lt;"&amp;E81)+SUMIFS('14_Motor_Liq'!$AD$5:$AD$504,'14_Motor_Liq'!$AC$5:$AC$504,"&gt;="&amp;D81,'14_Motor_Liq'!$AC$5:$AC$504,"&lt;"&amp;E81)</f>
        <v>0</v>
      </c>
      <c r="H81" s="81" t="n">
        <f aca="false">SUMIFS('14_Motor_Liq'!$P$5:$P$504,'14_Motor_Liq'!$O$5:$O$504,"&gt;="&amp;D81,'14_Motor_Liq'!$O$5:$O$504,"&lt;"&amp;E81)+SUMIFS('14_Motor_Liq'!$T$5:$T$504,'14_Motor_Liq'!$S$5:$S$504,"&gt;="&amp;D81,'14_Motor_Liq'!$S$5:$S$504,"&lt;"&amp;E81)+SUMIFS('14_Motor_Liq'!$X$5:$X$504,'14_Motor_Liq'!$W$5:$W$504,"&gt;="&amp;D81,'14_Motor_Liq'!$W$5:$W$504,"&lt;"&amp;E81)+SUMIFS('14_Motor_Liq'!$AB$5:$AB$504,'14_Motor_Liq'!$AA$5:$AA$504,"&gt;="&amp;D81,'14_Motor_Liq'!$AA$5:$AA$504,"&lt;"&amp;E81)+SUMIFS('14_Motor_Liq'!$AF$5:$AF$504,'14_Motor_Liq'!$AE$5:$AE$504,"&gt;="&amp;D81,'14_Motor_Liq'!$AE$5:$AE$504,"&lt;"&amp;E81)</f>
        <v>0</v>
      </c>
      <c r="I81" s="82" t="n">
        <f aca="false">G81+H81</f>
        <v>0</v>
      </c>
      <c r="J81" s="88" t="str">
        <f aca="false">IF(MAX($I$44:$I$104)=0,"",REPT("|",ROUND(I81/MAX($I$44:$I$104)*45,0)))</f>
        <v/>
      </c>
      <c r="K81" s="84" t="n">
        <f aca="false">IF(B81&gt;0,SUMIFS($H$44:$H$104,$B$44:$B$104,"&gt;=0",$B$44:$B$104,"&lt;="&amp;B81),IF(B81&lt;0,SUMIFS($G$44:$G$104,$B$44:$B$104,"&lt;=0",$B$44:$B$104,"&gt;="&amp;B81),G81+H81))</f>
        <v>0</v>
      </c>
    </row>
    <row r="82" customFormat="false" ht="15" hidden="false" customHeight="false" outlineLevel="0" collapsed="false">
      <c r="A82" s="87" t="str">
        <f aca="false">IF(B82=0,"&lt;&lt; PRECIO ACTUAL",IF(AND(G82&gt;0,G82=MAX($G$44:$G$104)),"CLUSTER LONG MAYOR",IF(AND(H82&gt;0,H82=MAX($H$44:$H$104)),"CLUSTER SHORT MAYOR",IF(AND(ISNUMBER($B$31),B82=$B$31),"primer cluster long",IF(AND(ISNUMBER($B$34),B82=$B$34),"primer cluster short","")))))</f>
        <v/>
      </c>
      <c r="B82" s="76" t="n">
        <v>-8</v>
      </c>
      <c r="C82" s="77" t="n">
        <f aca="false">$B$5*(1+B82*$B$8)</f>
        <v>74377.92</v>
      </c>
      <c r="D82" s="78" t="n">
        <f aca="false">$B$5*(1+(B82-0.5)*$B$8)</f>
        <v>74184.2275</v>
      </c>
      <c r="E82" s="78" t="n">
        <f aca="false">$B$5*(1+(B82+0.5)*$B$8)</f>
        <v>74571.6125</v>
      </c>
      <c r="F82" s="79" t="n">
        <f aca="false">B82*$B$8</f>
        <v>-0.04</v>
      </c>
      <c r="G82" s="80" t="n">
        <f aca="false">SUMIFS('14_Motor_Liq'!$N$5:$N$504,'14_Motor_Liq'!$M$5:$M$504,"&gt;="&amp;D82,'14_Motor_Liq'!$M$5:$M$504,"&lt;"&amp;E82)+SUMIFS('14_Motor_Liq'!$R$5:$R$504,'14_Motor_Liq'!$Q$5:$Q$504,"&gt;="&amp;D82,'14_Motor_Liq'!$Q$5:$Q$504,"&lt;"&amp;E82)+SUMIFS('14_Motor_Liq'!$V$5:$V$504,'14_Motor_Liq'!$U$5:$U$504,"&gt;="&amp;D82,'14_Motor_Liq'!$U$5:$U$504,"&lt;"&amp;E82)+SUMIFS('14_Motor_Liq'!$Z$5:$Z$504,'14_Motor_Liq'!$Y$5:$Y$504,"&gt;="&amp;D82,'14_Motor_Liq'!$Y$5:$Y$504,"&lt;"&amp;E82)+SUMIFS('14_Motor_Liq'!$AD$5:$AD$504,'14_Motor_Liq'!$AC$5:$AC$504,"&gt;="&amp;D82,'14_Motor_Liq'!$AC$5:$AC$504,"&lt;"&amp;E82)</f>
        <v>0</v>
      </c>
      <c r="H82" s="81" t="n">
        <f aca="false">SUMIFS('14_Motor_Liq'!$P$5:$P$504,'14_Motor_Liq'!$O$5:$O$504,"&gt;="&amp;D82,'14_Motor_Liq'!$O$5:$O$504,"&lt;"&amp;E82)+SUMIFS('14_Motor_Liq'!$T$5:$T$504,'14_Motor_Liq'!$S$5:$S$504,"&gt;="&amp;D82,'14_Motor_Liq'!$S$5:$S$504,"&lt;"&amp;E82)+SUMIFS('14_Motor_Liq'!$X$5:$X$504,'14_Motor_Liq'!$W$5:$W$504,"&gt;="&amp;D82,'14_Motor_Liq'!$W$5:$W$504,"&lt;"&amp;E82)+SUMIFS('14_Motor_Liq'!$AB$5:$AB$504,'14_Motor_Liq'!$AA$5:$AA$504,"&gt;="&amp;D82,'14_Motor_Liq'!$AA$5:$AA$504,"&lt;"&amp;E82)+SUMIFS('14_Motor_Liq'!$AF$5:$AF$504,'14_Motor_Liq'!$AE$5:$AE$504,"&gt;="&amp;D82,'14_Motor_Liq'!$AE$5:$AE$504,"&lt;"&amp;E82)</f>
        <v>0</v>
      </c>
      <c r="I82" s="82" t="n">
        <f aca="false">G82+H82</f>
        <v>0</v>
      </c>
      <c r="J82" s="88" t="str">
        <f aca="false">IF(MAX($I$44:$I$104)=0,"",REPT("|",ROUND(I82/MAX($I$44:$I$104)*45,0)))</f>
        <v/>
      </c>
      <c r="K82" s="84" t="n">
        <f aca="false">IF(B82&gt;0,SUMIFS($H$44:$H$104,$B$44:$B$104,"&gt;=0",$B$44:$B$104,"&lt;="&amp;B82),IF(B82&lt;0,SUMIFS($G$44:$G$104,$B$44:$B$104,"&lt;=0",$B$44:$B$104,"&gt;="&amp;B82),G82+H82))</f>
        <v>0</v>
      </c>
    </row>
    <row r="83" customFormat="false" ht="15" hidden="false" customHeight="false" outlineLevel="0" collapsed="false">
      <c r="A83" s="87" t="str">
        <f aca="false">IF(B83=0,"&lt;&lt; PRECIO ACTUAL",IF(AND(G83&gt;0,G83=MAX($G$44:$G$104)),"CLUSTER LONG MAYOR",IF(AND(H83&gt;0,H83=MAX($H$44:$H$104)),"CLUSTER SHORT MAYOR",IF(AND(ISNUMBER($B$31),B83=$B$31),"primer cluster long",IF(AND(ISNUMBER($B$34),B83=$B$34),"primer cluster short","")))))</f>
        <v/>
      </c>
      <c r="B83" s="76" t="n">
        <v>-9</v>
      </c>
      <c r="C83" s="77" t="n">
        <f aca="false">$B$5*(1+B83*$B$8)</f>
        <v>73990.535</v>
      </c>
      <c r="D83" s="78" t="n">
        <f aca="false">$B$5*(1+(B83-0.5)*$B$8)</f>
        <v>73796.8425</v>
      </c>
      <c r="E83" s="78" t="n">
        <f aca="false">$B$5*(1+(B83+0.5)*$B$8)</f>
        <v>74184.2275</v>
      </c>
      <c r="F83" s="79" t="n">
        <f aca="false">B83*$B$8</f>
        <v>-0.045</v>
      </c>
      <c r="G83" s="80" t="n">
        <f aca="false">SUMIFS('14_Motor_Liq'!$N$5:$N$504,'14_Motor_Liq'!$M$5:$M$504,"&gt;="&amp;D83,'14_Motor_Liq'!$M$5:$M$504,"&lt;"&amp;E83)+SUMIFS('14_Motor_Liq'!$R$5:$R$504,'14_Motor_Liq'!$Q$5:$Q$504,"&gt;="&amp;D83,'14_Motor_Liq'!$Q$5:$Q$504,"&lt;"&amp;E83)+SUMIFS('14_Motor_Liq'!$V$5:$V$504,'14_Motor_Liq'!$U$5:$U$504,"&gt;="&amp;D83,'14_Motor_Liq'!$U$5:$U$504,"&lt;"&amp;E83)+SUMIFS('14_Motor_Liq'!$Z$5:$Z$504,'14_Motor_Liq'!$Y$5:$Y$504,"&gt;="&amp;D83,'14_Motor_Liq'!$Y$5:$Y$504,"&lt;"&amp;E83)+SUMIFS('14_Motor_Liq'!$AD$5:$AD$504,'14_Motor_Liq'!$AC$5:$AC$504,"&gt;="&amp;D83,'14_Motor_Liq'!$AC$5:$AC$504,"&lt;"&amp;E83)</f>
        <v>0</v>
      </c>
      <c r="H83" s="81" t="n">
        <f aca="false">SUMIFS('14_Motor_Liq'!$P$5:$P$504,'14_Motor_Liq'!$O$5:$O$504,"&gt;="&amp;D83,'14_Motor_Liq'!$O$5:$O$504,"&lt;"&amp;E83)+SUMIFS('14_Motor_Liq'!$T$5:$T$504,'14_Motor_Liq'!$S$5:$S$504,"&gt;="&amp;D83,'14_Motor_Liq'!$S$5:$S$504,"&lt;"&amp;E83)+SUMIFS('14_Motor_Liq'!$X$5:$X$504,'14_Motor_Liq'!$W$5:$W$504,"&gt;="&amp;D83,'14_Motor_Liq'!$W$5:$W$504,"&lt;"&amp;E83)+SUMIFS('14_Motor_Liq'!$AB$5:$AB$504,'14_Motor_Liq'!$AA$5:$AA$504,"&gt;="&amp;D83,'14_Motor_Liq'!$AA$5:$AA$504,"&lt;"&amp;E83)+SUMIFS('14_Motor_Liq'!$AF$5:$AF$504,'14_Motor_Liq'!$AE$5:$AE$504,"&gt;="&amp;D83,'14_Motor_Liq'!$AE$5:$AE$504,"&lt;"&amp;E83)</f>
        <v>0</v>
      </c>
      <c r="I83" s="82" t="n">
        <f aca="false">G83+H83</f>
        <v>0</v>
      </c>
      <c r="J83" s="88" t="str">
        <f aca="false">IF(MAX($I$44:$I$104)=0,"",REPT("|",ROUND(I83/MAX($I$44:$I$104)*45,0)))</f>
        <v/>
      </c>
      <c r="K83" s="84" t="n">
        <f aca="false">IF(B83&gt;0,SUMIFS($H$44:$H$104,$B$44:$B$104,"&gt;=0",$B$44:$B$104,"&lt;="&amp;B83),IF(B83&lt;0,SUMIFS($G$44:$G$104,$B$44:$B$104,"&lt;=0",$B$44:$B$104,"&gt;="&amp;B83),G83+H83))</f>
        <v>0</v>
      </c>
    </row>
    <row r="84" customFormat="false" ht="15" hidden="false" customHeight="false" outlineLevel="0" collapsed="false">
      <c r="A84" s="87" t="str">
        <f aca="false">IF(B84=0,"&lt;&lt; PRECIO ACTUAL",IF(AND(G84&gt;0,G84=MAX($G$44:$G$104)),"CLUSTER LONG MAYOR",IF(AND(H84&gt;0,H84=MAX($H$44:$H$104)),"CLUSTER SHORT MAYOR",IF(AND(ISNUMBER($B$31),B84=$B$31),"primer cluster long",IF(AND(ISNUMBER($B$34),B84=$B$34),"primer cluster short","")))))</f>
        <v/>
      </c>
      <c r="B84" s="76" t="n">
        <v>-10</v>
      </c>
      <c r="C84" s="77" t="n">
        <f aca="false">$B$5*(1+B84*$B$8)</f>
        <v>73603.15</v>
      </c>
      <c r="D84" s="78" t="n">
        <f aca="false">$B$5*(1+(B84-0.5)*$B$8)</f>
        <v>73409.4575</v>
      </c>
      <c r="E84" s="78" t="n">
        <f aca="false">$B$5*(1+(B84+0.5)*$B$8)</f>
        <v>73796.8425</v>
      </c>
      <c r="F84" s="79" t="n">
        <f aca="false">B84*$B$8</f>
        <v>-0.05</v>
      </c>
      <c r="G84" s="80" t="n">
        <f aca="false">SUMIFS('14_Motor_Liq'!$N$5:$N$504,'14_Motor_Liq'!$M$5:$M$504,"&gt;="&amp;D84,'14_Motor_Liq'!$M$5:$M$504,"&lt;"&amp;E84)+SUMIFS('14_Motor_Liq'!$R$5:$R$504,'14_Motor_Liq'!$Q$5:$Q$504,"&gt;="&amp;D84,'14_Motor_Liq'!$Q$5:$Q$504,"&lt;"&amp;E84)+SUMIFS('14_Motor_Liq'!$V$5:$V$504,'14_Motor_Liq'!$U$5:$U$504,"&gt;="&amp;D84,'14_Motor_Liq'!$U$5:$U$504,"&lt;"&amp;E84)+SUMIFS('14_Motor_Liq'!$Z$5:$Z$504,'14_Motor_Liq'!$Y$5:$Y$504,"&gt;="&amp;D84,'14_Motor_Liq'!$Y$5:$Y$504,"&lt;"&amp;E84)+SUMIFS('14_Motor_Liq'!$AD$5:$AD$504,'14_Motor_Liq'!$AC$5:$AC$504,"&gt;="&amp;D84,'14_Motor_Liq'!$AC$5:$AC$504,"&lt;"&amp;E84)</f>
        <v>0</v>
      </c>
      <c r="H84" s="81" t="n">
        <f aca="false">SUMIFS('14_Motor_Liq'!$P$5:$P$504,'14_Motor_Liq'!$O$5:$O$504,"&gt;="&amp;D84,'14_Motor_Liq'!$O$5:$O$504,"&lt;"&amp;E84)+SUMIFS('14_Motor_Liq'!$T$5:$T$504,'14_Motor_Liq'!$S$5:$S$504,"&gt;="&amp;D84,'14_Motor_Liq'!$S$5:$S$504,"&lt;"&amp;E84)+SUMIFS('14_Motor_Liq'!$X$5:$X$504,'14_Motor_Liq'!$W$5:$W$504,"&gt;="&amp;D84,'14_Motor_Liq'!$W$5:$W$504,"&lt;"&amp;E84)+SUMIFS('14_Motor_Liq'!$AB$5:$AB$504,'14_Motor_Liq'!$AA$5:$AA$504,"&gt;="&amp;D84,'14_Motor_Liq'!$AA$5:$AA$504,"&lt;"&amp;E84)+SUMIFS('14_Motor_Liq'!$AF$5:$AF$504,'14_Motor_Liq'!$AE$5:$AE$504,"&gt;="&amp;D84,'14_Motor_Liq'!$AE$5:$AE$504,"&lt;"&amp;E84)</f>
        <v>0</v>
      </c>
      <c r="I84" s="82" t="n">
        <f aca="false">G84+H84</f>
        <v>0</v>
      </c>
      <c r="J84" s="88" t="str">
        <f aca="false">IF(MAX($I$44:$I$104)=0,"",REPT("|",ROUND(I84/MAX($I$44:$I$104)*45,0)))</f>
        <v/>
      </c>
      <c r="K84" s="84" t="n">
        <f aca="false">IF(B84&gt;0,SUMIFS($H$44:$H$104,$B$44:$B$104,"&gt;=0",$B$44:$B$104,"&lt;="&amp;B84),IF(B84&lt;0,SUMIFS($G$44:$G$104,$B$44:$B$104,"&lt;=0",$B$44:$B$104,"&gt;="&amp;B84),G84+H84))</f>
        <v>0</v>
      </c>
    </row>
    <row r="85" customFormat="false" ht="15" hidden="false" customHeight="false" outlineLevel="0" collapsed="false">
      <c r="A85" s="87" t="str">
        <f aca="false">IF(B85=0,"&lt;&lt; PRECIO ACTUAL",IF(AND(G85&gt;0,G85=MAX($G$44:$G$104)),"CLUSTER LONG MAYOR",IF(AND(H85&gt;0,H85=MAX($H$44:$H$104)),"CLUSTER SHORT MAYOR",IF(AND(ISNUMBER($B$31),B85=$B$31),"primer cluster long",IF(AND(ISNUMBER($B$34),B85=$B$34),"primer cluster short","")))))</f>
        <v/>
      </c>
      <c r="B85" s="76" t="n">
        <v>-11</v>
      </c>
      <c r="C85" s="77" t="n">
        <f aca="false">$B$5*(1+B85*$B$8)</f>
        <v>73215.765</v>
      </c>
      <c r="D85" s="78" t="n">
        <f aca="false">$B$5*(1+(B85-0.5)*$B$8)</f>
        <v>73022.0725</v>
      </c>
      <c r="E85" s="78" t="n">
        <f aca="false">$B$5*(1+(B85+0.5)*$B$8)</f>
        <v>73409.4575</v>
      </c>
      <c r="F85" s="79" t="n">
        <f aca="false">B85*$B$8</f>
        <v>-0.055</v>
      </c>
      <c r="G85" s="80" t="n">
        <f aca="false">SUMIFS('14_Motor_Liq'!$N$5:$N$504,'14_Motor_Liq'!$M$5:$M$504,"&gt;="&amp;D85,'14_Motor_Liq'!$M$5:$M$504,"&lt;"&amp;E85)+SUMIFS('14_Motor_Liq'!$R$5:$R$504,'14_Motor_Liq'!$Q$5:$Q$504,"&gt;="&amp;D85,'14_Motor_Liq'!$Q$5:$Q$504,"&lt;"&amp;E85)+SUMIFS('14_Motor_Liq'!$V$5:$V$504,'14_Motor_Liq'!$U$5:$U$504,"&gt;="&amp;D85,'14_Motor_Liq'!$U$5:$U$504,"&lt;"&amp;E85)+SUMIFS('14_Motor_Liq'!$Z$5:$Z$504,'14_Motor_Liq'!$Y$5:$Y$504,"&gt;="&amp;D85,'14_Motor_Liq'!$Y$5:$Y$504,"&lt;"&amp;E85)+SUMIFS('14_Motor_Liq'!$AD$5:$AD$504,'14_Motor_Liq'!$AC$5:$AC$504,"&gt;="&amp;D85,'14_Motor_Liq'!$AC$5:$AC$504,"&lt;"&amp;E85)</f>
        <v>0</v>
      </c>
      <c r="H85" s="81" t="n">
        <f aca="false">SUMIFS('14_Motor_Liq'!$P$5:$P$504,'14_Motor_Liq'!$O$5:$O$504,"&gt;="&amp;D85,'14_Motor_Liq'!$O$5:$O$504,"&lt;"&amp;E85)+SUMIFS('14_Motor_Liq'!$T$5:$T$504,'14_Motor_Liq'!$S$5:$S$504,"&gt;="&amp;D85,'14_Motor_Liq'!$S$5:$S$504,"&lt;"&amp;E85)+SUMIFS('14_Motor_Liq'!$X$5:$X$504,'14_Motor_Liq'!$W$5:$W$504,"&gt;="&amp;D85,'14_Motor_Liq'!$W$5:$W$504,"&lt;"&amp;E85)+SUMIFS('14_Motor_Liq'!$AB$5:$AB$504,'14_Motor_Liq'!$AA$5:$AA$504,"&gt;="&amp;D85,'14_Motor_Liq'!$AA$5:$AA$504,"&lt;"&amp;E85)+SUMIFS('14_Motor_Liq'!$AF$5:$AF$504,'14_Motor_Liq'!$AE$5:$AE$504,"&gt;="&amp;D85,'14_Motor_Liq'!$AE$5:$AE$504,"&lt;"&amp;E85)</f>
        <v>0</v>
      </c>
      <c r="I85" s="82" t="n">
        <f aca="false">G85+H85</f>
        <v>0</v>
      </c>
      <c r="J85" s="88" t="str">
        <f aca="false">IF(MAX($I$44:$I$104)=0,"",REPT("|",ROUND(I85/MAX($I$44:$I$104)*45,0)))</f>
        <v/>
      </c>
      <c r="K85" s="84" t="n">
        <f aca="false">IF(B85&gt;0,SUMIFS($H$44:$H$104,$B$44:$B$104,"&gt;=0",$B$44:$B$104,"&lt;="&amp;B85),IF(B85&lt;0,SUMIFS($G$44:$G$104,$B$44:$B$104,"&lt;=0",$B$44:$B$104,"&gt;="&amp;B85),G85+H85))</f>
        <v>0</v>
      </c>
    </row>
    <row r="86" customFormat="false" ht="15" hidden="false" customHeight="false" outlineLevel="0" collapsed="false">
      <c r="A86" s="87" t="str">
        <f aca="false">IF(B86=0,"&lt;&lt; PRECIO ACTUAL",IF(AND(G86&gt;0,G86=MAX($G$44:$G$104)),"CLUSTER LONG MAYOR",IF(AND(H86&gt;0,H86=MAX($H$44:$H$104)),"CLUSTER SHORT MAYOR",IF(AND(ISNUMBER($B$31),B86=$B$31),"primer cluster long",IF(AND(ISNUMBER($B$34),B86=$B$34),"primer cluster short","")))))</f>
        <v/>
      </c>
      <c r="B86" s="76" t="n">
        <v>-12</v>
      </c>
      <c r="C86" s="77" t="n">
        <f aca="false">$B$5*(1+B86*$B$8)</f>
        <v>72828.38</v>
      </c>
      <c r="D86" s="78" t="n">
        <f aca="false">$B$5*(1+(B86-0.5)*$B$8)</f>
        <v>72634.6875</v>
      </c>
      <c r="E86" s="78" t="n">
        <f aca="false">$B$5*(1+(B86+0.5)*$B$8)</f>
        <v>73022.0725</v>
      </c>
      <c r="F86" s="79" t="n">
        <f aca="false">B86*$B$8</f>
        <v>-0.06</v>
      </c>
      <c r="G86" s="80" t="n">
        <f aca="false">SUMIFS('14_Motor_Liq'!$N$5:$N$504,'14_Motor_Liq'!$M$5:$M$504,"&gt;="&amp;D86,'14_Motor_Liq'!$M$5:$M$504,"&lt;"&amp;E86)+SUMIFS('14_Motor_Liq'!$R$5:$R$504,'14_Motor_Liq'!$Q$5:$Q$504,"&gt;="&amp;D86,'14_Motor_Liq'!$Q$5:$Q$504,"&lt;"&amp;E86)+SUMIFS('14_Motor_Liq'!$V$5:$V$504,'14_Motor_Liq'!$U$5:$U$504,"&gt;="&amp;D86,'14_Motor_Liq'!$U$5:$U$504,"&lt;"&amp;E86)+SUMIFS('14_Motor_Liq'!$Z$5:$Z$504,'14_Motor_Liq'!$Y$5:$Y$504,"&gt;="&amp;D86,'14_Motor_Liq'!$Y$5:$Y$504,"&lt;"&amp;E86)+SUMIFS('14_Motor_Liq'!$AD$5:$AD$504,'14_Motor_Liq'!$AC$5:$AC$504,"&gt;="&amp;D86,'14_Motor_Liq'!$AC$5:$AC$504,"&lt;"&amp;E86)</f>
        <v>0</v>
      </c>
      <c r="H86" s="81" t="n">
        <f aca="false">SUMIFS('14_Motor_Liq'!$P$5:$P$504,'14_Motor_Liq'!$O$5:$O$504,"&gt;="&amp;D86,'14_Motor_Liq'!$O$5:$O$504,"&lt;"&amp;E86)+SUMIFS('14_Motor_Liq'!$T$5:$T$504,'14_Motor_Liq'!$S$5:$S$504,"&gt;="&amp;D86,'14_Motor_Liq'!$S$5:$S$504,"&lt;"&amp;E86)+SUMIFS('14_Motor_Liq'!$X$5:$X$504,'14_Motor_Liq'!$W$5:$W$504,"&gt;="&amp;D86,'14_Motor_Liq'!$W$5:$W$504,"&lt;"&amp;E86)+SUMIFS('14_Motor_Liq'!$AB$5:$AB$504,'14_Motor_Liq'!$AA$5:$AA$504,"&gt;="&amp;D86,'14_Motor_Liq'!$AA$5:$AA$504,"&lt;"&amp;E86)+SUMIFS('14_Motor_Liq'!$AF$5:$AF$504,'14_Motor_Liq'!$AE$5:$AE$504,"&gt;="&amp;D86,'14_Motor_Liq'!$AE$5:$AE$504,"&lt;"&amp;E86)</f>
        <v>0</v>
      </c>
      <c r="I86" s="82" t="n">
        <f aca="false">G86+H86</f>
        <v>0</v>
      </c>
      <c r="J86" s="88" t="str">
        <f aca="false">IF(MAX($I$44:$I$104)=0,"",REPT("|",ROUND(I86/MAX($I$44:$I$104)*45,0)))</f>
        <v/>
      </c>
      <c r="K86" s="84" t="n">
        <f aca="false">IF(B86&gt;0,SUMIFS($H$44:$H$104,$B$44:$B$104,"&gt;=0",$B$44:$B$104,"&lt;="&amp;B86),IF(B86&lt;0,SUMIFS($G$44:$G$104,$B$44:$B$104,"&lt;=0",$B$44:$B$104,"&gt;="&amp;B86),G86+H86))</f>
        <v>0</v>
      </c>
    </row>
    <row r="87" customFormat="false" ht="15" hidden="false" customHeight="false" outlineLevel="0" collapsed="false">
      <c r="A87" s="87" t="str">
        <f aca="false">IF(B87=0,"&lt;&lt; PRECIO ACTUAL",IF(AND(G87&gt;0,G87=MAX($G$44:$G$104)),"CLUSTER LONG MAYOR",IF(AND(H87&gt;0,H87=MAX($H$44:$H$104)),"CLUSTER SHORT MAYOR",IF(AND(ISNUMBER($B$31),B87=$B$31),"primer cluster long",IF(AND(ISNUMBER($B$34),B87=$B$34),"primer cluster short","")))))</f>
        <v/>
      </c>
      <c r="B87" s="76" t="n">
        <v>-13</v>
      </c>
      <c r="C87" s="77" t="n">
        <f aca="false">$B$5*(1+B87*$B$8)</f>
        <v>72440.995</v>
      </c>
      <c r="D87" s="78" t="n">
        <f aca="false">$B$5*(1+(B87-0.5)*$B$8)</f>
        <v>72247.3025</v>
      </c>
      <c r="E87" s="78" t="n">
        <f aca="false">$B$5*(1+(B87+0.5)*$B$8)</f>
        <v>72634.6875</v>
      </c>
      <c r="F87" s="79" t="n">
        <f aca="false">B87*$B$8</f>
        <v>-0.065</v>
      </c>
      <c r="G87" s="80" t="n">
        <f aca="false">SUMIFS('14_Motor_Liq'!$N$5:$N$504,'14_Motor_Liq'!$M$5:$M$504,"&gt;="&amp;D87,'14_Motor_Liq'!$M$5:$M$504,"&lt;"&amp;E87)+SUMIFS('14_Motor_Liq'!$R$5:$R$504,'14_Motor_Liq'!$Q$5:$Q$504,"&gt;="&amp;D87,'14_Motor_Liq'!$Q$5:$Q$504,"&lt;"&amp;E87)+SUMIFS('14_Motor_Liq'!$V$5:$V$504,'14_Motor_Liq'!$U$5:$U$504,"&gt;="&amp;D87,'14_Motor_Liq'!$U$5:$U$504,"&lt;"&amp;E87)+SUMIFS('14_Motor_Liq'!$Z$5:$Z$504,'14_Motor_Liq'!$Y$5:$Y$504,"&gt;="&amp;D87,'14_Motor_Liq'!$Y$5:$Y$504,"&lt;"&amp;E87)+SUMIFS('14_Motor_Liq'!$AD$5:$AD$504,'14_Motor_Liq'!$AC$5:$AC$504,"&gt;="&amp;D87,'14_Motor_Liq'!$AC$5:$AC$504,"&lt;"&amp;E87)</f>
        <v>0</v>
      </c>
      <c r="H87" s="81" t="n">
        <f aca="false">SUMIFS('14_Motor_Liq'!$P$5:$P$504,'14_Motor_Liq'!$O$5:$O$504,"&gt;="&amp;D87,'14_Motor_Liq'!$O$5:$O$504,"&lt;"&amp;E87)+SUMIFS('14_Motor_Liq'!$T$5:$T$504,'14_Motor_Liq'!$S$5:$S$504,"&gt;="&amp;D87,'14_Motor_Liq'!$S$5:$S$504,"&lt;"&amp;E87)+SUMIFS('14_Motor_Liq'!$X$5:$X$504,'14_Motor_Liq'!$W$5:$W$504,"&gt;="&amp;D87,'14_Motor_Liq'!$W$5:$W$504,"&lt;"&amp;E87)+SUMIFS('14_Motor_Liq'!$AB$5:$AB$504,'14_Motor_Liq'!$AA$5:$AA$504,"&gt;="&amp;D87,'14_Motor_Liq'!$AA$5:$AA$504,"&lt;"&amp;E87)+SUMIFS('14_Motor_Liq'!$AF$5:$AF$504,'14_Motor_Liq'!$AE$5:$AE$504,"&gt;="&amp;D87,'14_Motor_Liq'!$AE$5:$AE$504,"&lt;"&amp;E87)</f>
        <v>0</v>
      </c>
      <c r="I87" s="82" t="n">
        <f aca="false">G87+H87</f>
        <v>0</v>
      </c>
      <c r="J87" s="88" t="str">
        <f aca="false">IF(MAX($I$44:$I$104)=0,"",REPT("|",ROUND(I87/MAX($I$44:$I$104)*45,0)))</f>
        <v/>
      </c>
      <c r="K87" s="84" t="n">
        <f aca="false">IF(B87&gt;0,SUMIFS($H$44:$H$104,$B$44:$B$104,"&gt;=0",$B$44:$B$104,"&lt;="&amp;B87),IF(B87&lt;0,SUMIFS($G$44:$G$104,$B$44:$B$104,"&lt;=0",$B$44:$B$104,"&gt;="&amp;B87),G87+H87))</f>
        <v>0</v>
      </c>
    </row>
    <row r="88" customFormat="false" ht="15" hidden="false" customHeight="false" outlineLevel="0" collapsed="false">
      <c r="A88" s="87" t="str">
        <f aca="false">IF(B88=0,"&lt;&lt; PRECIO ACTUAL",IF(AND(G88&gt;0,G88=MAX($G$44:$G$104)),"CLUSTER LONG MAYOR",IF(AND(H88&gt;0,H88=MAX($H$44:$H$104)),"CLUSTER SHORT MAYOR",IF(AND(ISNUMBER($B$31),B88=$B$31),"primer cluster long",IF(AND(ISNUMBER($B$34),B88=$B$34),"primer cluster short","")))))</f>
        <v/>
      </c>
      <c r="B88" s="76" t="n">
        <v>-14</v>
      </c>
      <c r="C88" s="77" t="n">
        <f aca="false">$B$5*(1+B88*$B$8)</f>
        <v>72053.61</v>
      </c>
      <c r="D88" s="78" t="n">
        <f aca="false">$B$5*(1+(B88-0.5)*$B$8)</f>
        <v>71859.9175</v>
      </c>
      <c r="E88" s="78" t="n">
        <f aca="false">$B$5*(1+(B88+0.5)*$B$8)</f>
        <v>72247.3025</v>
      </c>
      <c r="F88" s="79" t="n">
        <f aca="false">B88*$B$8</f>
        <v>-0.07</v>
      </c>
      <c r="G88" s="80" t="n">
        <f aca="false">SUMIFS('14_Motor_Liq'!$N$5:$N$504,'14_Motor_Liq'!$M$5:$M$504,"&gt;="&amp;D88,'14_Motor_Liq'!$M$5:$M$504,"&lt;"&amp;E88)+SUMIFS('14_Motor_Liq'!$R$5:$R$504,'14_Motor_Liq'!$Q$5:$Q$504,"&gt;="&amp;D88,'14_Motor_Liq'!$Q$5:$Q$504,"&lt;"&amp;E88)+SUMIFS('14_Motor_Liq'!$V$5:$V$504,'14_Motor_Liq'!$U$5:$U$504,"&gt;="&amp;D88,'14_Motor_Liq'!$U$5:$U$504,"&lt;"&amp;E88)+SUMIFS('14_Motor_Liq'!$Z$5:$Z$504,'14_Motor_Liq'!$Y$5:$Y$504,"&gt;="&amp;D88,'14_Motor_Liq'!$Y$5:$Y$504,"&lt;"&amp;E88)+SUMIFS('14_Motor_Liq'!$AD$5:$AD$504,'14_Motor_Liq'!$AC$5:$AC$504,"&gt;="&amp;D88,'14_Motor_Liq'!$AC$5:$AC$504,"&lt;"&amp;E88)</f>
        <v>0</v>
      </c>
      <c r="H88" s="81" t="n">
        <f aca="false">SUMIFS('14_Motor_Liq'!$P$5:$P$504,'14_Motor_Liq'!$O$5:$O$504,"&gt;="&amp;D88,'14_Motor_Liq'!$O$5:$O$504,"&lt;"&amp;E88)+SUMIFS('14_Motor_Liq'!$T$5:$T$504,'14_Motor_Liq'!$S$5:$S$504,"&gt;="&amp;D88,'14_Motor_Liq'!$S$5:$S$504,"&lt;"&amp;E88)+SUMIFS('14_Motor_Liq'!$X$5:$X$504,'14_Motor_Liq'!$W$5:$W$504,"&gt;="&amp;D88,'14_Motor_Liq'!$W$5:$W$504,"&lt;"&amp;E88)+SUMIFS('14_Motor_Liq'!$AB$5:$AB$504,'14_Motor_Liq'!$AA$5:$AA$504,"&gt;="&amp;D88,'14_Motor_Liq'!$AA$5:$AA$504,"&lt;"&amp;E88)+SUMIFS('14_Motor_Liq'!$AF$5:$AF$504,'14_Motor_Liq'!$AE$5:$AE$504,"&gt;="&amp;D88,'14_Motor_Liq'!$AE$5:$AE$504,"&lt;"&amp;E88)</f>
        <v>0</v>
      </c>
      <c r="I88" s="82" t="n">
        <f aca="false">G88+H88</f>
        <v>0</v>
      </c>
      <c r="J88" s="88" t="str">
        <f aca="false">IF(MAX($I$44:$I$104)=0,"",REPT("|",ROUND(I88/MAX($I$44:$I$104)*45,0)))</f>
        <v/>
      </c>
      <c r="K88" s="84" t="n">
        <f aca="false">IF(B88&gt;0,SUMIFS($H$44:$H$104,$B$44:$B$104,"&gt;=0",$B$44:$B$104,"&lt;="&amp;B88),IF(B88&lt;0,SUMIFS($G$44:$G$104,$B$44:$B$104,"&lt;=0",$B$44:$B$104,"&gt;="&amp;B88),G88+H88))</f>
        <v>0</v>
      </c>
    </row>
    <row r="89" customFormat="false" ht="15" hidden="false" customHeight="false" outlineLevel="0" collapsed="false">
      <c r="A89" s="87" t="str">
        <f aca="false">IF(B89=0,"&lt;&lt; PRECIO ACTUAL",IF(AND(G89&gt;0,G89=MAX($G$44:$G$104)),"CLUSTER LONG MAYOR",IF(AND(H89&gt;0,H89=MAX($H$44:$H$104)),"CLUSTER SHORT MAYOR",IF(AND(ISNUMBER($B$31),B89=$B$31),"primer cluster long",IF(AND(ISNUMBER($B$34),B89=$B$34),"primer cluster short","")))))</f>
        <v/>
      </c>
      <c r="B89" s="76" t="n">
        <v>-15</v>
      </c>
      <c r="C89" s="77" t="n">
        <f aca="false">$B$5*(1+B89*$B$8)</f>
        <v>71666.225</v>
      </c>
      <c r="D89" s="78" t="n">
        <f aca="false">$B$5*(1+(B89-0.5)*$B$8)</f>
        <v>71472.5325</v>
      </c>
      <c r="E89" s="78" t="n">
        <f aca="false">$B$5*(1+(B89+0.5)*$B$8)</f>
        <v>71859.9175</v>
      </c>
      <c r="F89" s="79" t="n">
        <f aca="false">B89*$B$8</f>
        <v>-0.075</v>
      </c>
      <c r="G89" s="80" t="n">
        <f aca="false">SUMIFS('14_Motor_Liq'!$N$5:$N$504,'14_Motor_Liq'!$M$5:$M$504,"&gt;="&amp;D89,'14_Motor_Liq'!$M$5:$M$504,"&lt;"&amp;E89)+SUMIFS('14_Motor_Liq'!$R$5:$R$504,'14_Motor_Liq'!$Q$5:$Q$504,"&gt;="&amp;D89,'14_Motor_Liq'!$Q$5:$Q$504,"&lt;"&amp;E89)+SUMIFS('14_Motor_Liq'!$V$5:$V$504,'14_Motor_Liq'!$U$5:$U$504,"&gt;="&amp;D89,'14_Motor_Liq'!$U$5:$U$504,"&lt;"&amp;E89)+SUMIFS('14_Motor_Liq'!$Z$5:$Z$504,'14_Motor_Liq'!$Y$5:$Y$504,"&gt;="&amp;D89,'14_Motor_Liq'!$Y$5:$Y$504,"&lt;"&amp;E89)+SUMIFS('14_Motor_Liq'!$AD$5:$AD$504,'14_Motor_Liq'!$AC$5:$AC$504,"&gt;="&amp;D89,'14_Motor_Liq'!$AC$5:$AC$504,"&lt;"&amp;E89)</f>
        <v>0</v>
      </c>
      <c r="H89" s="81" t="n">
        <f aca="false">SUMIFS('14_Motor_Liq'!$P$5:$P$504,'14_Motor_Liq'!$O$5:$O$504,"&gt;="&amp;D89,'14_Motor_Liq'!$O$5:$O$504,"&lt;"&amp;E89)+SUMIFS('14_Motor_Liq'!$T$5:$T$504,'14_Motor_Liq'!$S$5:$S$504,"&gt;="&amp;D89,'14_Motor_Liq'!$S$5:$S$504,"&lt;"&amp;E89)+SUMIFS('14_Motor_Liq'!$X$5:$X$504,'14_Motor_Liq'!$W$5:$W$504,"&gt;="&amp;D89,'14_Motor_Liq'!$W$5:$W$504,"&lt;"&amp;E89)+SUMIFS('14_Motor_Liq'!$AB$5:$AB$504,'14_Motor_Liq'!$AA$5:$AA$504,"&gt;="&amp;D89,'14_Motor_Liq'!$AA$5:$AA$504,"&lt;"&amp;E89)+SUMIFS('14_Motor_Liq'!$AF$5:$AF$504,'14_Motor_Liq'!$AE$5:$AE$504,"&gt;="&amp;D89,'14_Motor_Liq'!$AE$5:$AE$504,"&lt;"&amp;E89)</f>
        <v>0</v>
      </c>
      <c r="I89" s="82" t="n">
        <f aca="false">G89+H89</f>
        <v>0</v>
      </c>
      <c r="J89" s="88" t="str">
        <f aca="false">IF(MAX($I$44:$I$104)=0,"",REPT("|",ROUND(I89/MAX($I$44:$I$104)*45,0)))</f>
        <v/>
      </c>
      <c r="K89" s="84" t="n">
        <f aca="false">IF(B89&gt;0,SUMIFS($H$44:$H$104,$B$44:$B$104,"&gt;=0",$B$44:$B$104,"&lt;="&amp;B89),IF(B89&lt;0,SUMIFS($G$44:$G$104,$B$44:$B$104,"&lt;=0",$B$44:$B$104,"&gt;="&amp;B89),G89+H89))</f>
        <v>0</v>
      </c>
    </row>
    <row r="90" customFormat="false" ht="15" hidden="false" customHeight="false" outlineLevel="0" collapsed="false">
      <c r="A90" s="87" t="str">
        <f aca="false">IF(B90=0,"&lt;&lt; PRECIO ACTUAL",IF(AND(G90&gt;0,G90=MAX($G$44:$G$104)),"CLUSTER LONG MAYOR",IF(AND(H90&gt;0,H90=MAX($H$44:$H$104)),"CLUSTER SHORT MAYOR",IF(AND(ISNUMBER($B$31),B90=$B$31),"primer cluster long",IF(AND(ISNUMBER($B$34),B90=$B$34),"primer cluster short","")))))</f>
        <v/>
      </c>
      <c r="B90" s="76" t="n">
        <v>-16</v>
      </c>
      <c r="C90" s="77" t="n">
        <f aca="false">$B$5*(1+B90*$B$8)</f>
        <v>71278.84</v>
      </c>
      <c r="D90" s="78" t="n">
        <f aca="false">$B$5*(1+(B90-0.5)*$B$8)</f>
        <v>71085.1475</v>
      </c>
      <c r="E90" s="78" t="n">
        <f aca="false">$B$5*(1+(B90+0.5)*$B$8)</f>
        <v>71472.5325</v>
      </c>
      <c r="F90" s="79" t="n">
        <f aca="false">B90*$B$8</f>
        <v>-0.08</v>
      </c>
      <c r="G90" s="80" t="n">
        <f aca="false">SUMIFS('14_Motor_Liq'!$N$5:$N$504,'14_Motor_Liq'!$M$5:$M$504,"&gt;="&amp;D90,'14_Motor_Liq'!$M$5:$M$504,"&lt;"&amp;E90)+SUMIFS('14_Motor_Liq'!$R$5:$R$504,'14_Motor_Liq'!$Q$5:$Q$504,"&gt;="&amp;D90,'14_Motor_Liq'!$Q$5:$Q$504,"&lt;"&amp;E90)+SUMIFS('14_Motor_Liq'!$V$5:$V$504,'14_Motor_Liq'!$U$5:$U$504,"&gt;="&amp;D90,'14_Motor_Liq'!$U$5:$U$504,"&lt;"&amp;E90)+SUMIFS('14_Motor_Liq'!$Z$5:$Z$504,'14_Motor_Liq'!$Y$5:$Y$504,"&gt;="&amp;D90,'14_Motor_Liq'!$Y$5:$Y$504,"&lt;"&amp;E90)+SUMIFS('14_Motor_Liq'!$AD$5:$AD$504,'14_Motor_Liq'!$AC$5:$AC$504,"&gt;="&amp;D90,'14_Motor_Liq'!$AC$5:$AC$504,"&lt;"&amp;E90)</f>
        <v>0</v>
      </c>
      <c r="H90" s="81" t="n">
        <f aca="false">SUMIFS('14_Motor_Liq'!$P$5:$P$504,'14_Motor_Liq'!$O$5:$O$504,"&gt;="&amp;D90,'14_Motor_Liq'!$O$5:$O$504,"&lt;"&amp;E90)+SUMIFS('14_Motor_Liq'!$T$5:$T$504,'14_Motor_Liq'!$S$5:$S$504,"&gt;="&amp;D90,'14_Motor_Liq'!$S$5:$S$504,"&lt;"&amp;E90)+SUMIFS('14_Motor_Liq'!$X$5:$X$504,'14_Motor_Liq'!$W$5:$W$504,"&gt;="&amp;D90,'14_Motor_Liq'!$W$5:$W$504,"&lt;"&amp;E90)+SUMIFS('14_Motor_Liq'!$AB$5:$AB$504,'14_Motor_Liq'!$AA$5:$AA$504,"&gt;="&amp;D90,'14_Motor_Liq'!$AA$5:$AA$504,"&lt;"&amp;E90)+SUMIFS('14_Motor_Liq'!$AF$5:$AF$504,'14_Motor_Liq'!$AE$5:$AE$504,"&gt;="&amp;D90,'14_Motor_Liq'!$AE$5:$AE$504,"&lt;"&amp;E90)</f>
        <v>0</v>
      </c>
      <c r="I90" s="82" t="n">
        <f aca="false">G90+H90</f>
        <v>0</v>
      </c>
      <c r="J90" s="88" t="str">
        <f aca="false">IF(MAX($I$44:$I$104)=0,"",REPT("|",ROUND(I90/MAX($I$44:$I$104)*45,0)))</f>
        <v/>
      </c>
      <c r="K90" s="84" t="n">
        <f aca="false">IF(B90&gt;0,SUMIFS($H$44:$H$104,$B$44:$B$104,"&gt;=0",$B$44:$B$104,"&lt;="&amp;B90),IF(B90&lt;0,SUMIFS($G$44:$G$104,$B$44:$B$104,"&lt;=0",$B$44:$B$104,"&gt;="&amp;B90),G90+H90))</f>
        <v>0</v>
      </c>
    </row>
    <row r="91" customFormat="false" ht="15" hidden="false" customHeight="false" outlineLevel="0" collapsed="false">
      <c r="A91" s="87" t="str">
        <f aca="false">IF(B91=0,"&lt;&lt; PRECIO ACTUAL",IF(AND(G91&gt;0,G91=MAX($G$44:$G$104)),"CLUSTER LONG MAYOR",IF(AND(H91&gt;0,H91=MAX($H$44:$H$104)),"CLUSTER SHORT MAYOR",IF(AND(ISNUMBER($B$31),B91=$B$31),"primer cluster long",IF(AND(ISNUMBER($B$34),B91=$B$34),"primer cluster short","")))))</f>
        <v/>
      </c>
      <c r="B91" s="76" t="n">
        <v>-17</v>
      </c>
      <c r="C91" s="77" t="n">
        <f aca="false">$B$5*(1+B91*$B$8)</f>
        <v>70891.455</v>
      </c>
      <c r="D91" s="78" t="n">
        <f aca="false">$B$5*(1+(B91-0.5)*$B$8)</f>
        <v>70697.7625</v>
      </c>
      <c r="E91" s="78" t="n">
        <f aca="false">$B$5*(1+(B91+0.5)*$B$8)</f>
        <v>71085.1475</v>
      </c>
      <c r="F91" s="79" t="n">
        <f aca="false">B91*$B$8</f>
        <v>-0.085</v>
      </c>
      <c r="G91" s="80" t="n">
        <f aca="false">SUMIFS('14_Motor_Liq'!$N$5:$N$504,'14_Motor_Liq'!$M$5:$M$504,"&gt;="&amp;D91,'14_Motor_Liq'!$M$5:$M$504,"&lt;"&amp;E91)+SUMIFS('14_Motor_Liq'!$R$5:$R$504,'14_Motor_Liq'!$Q$5:$Q$504,"&gt;="&amp;D91,'14_Motor_Liq'!$Q$5:$Q$504,"&lt;"&amp;E91)+SUMIFS('14_Motor_Liq'!$V$5:$V$504,'14_Motor_Liq'!$U$5:$U$504,"&gt;="&amp;D91,'14_Motor_Liq'!$U$5:$U$504,"&lt;"&amp;E91)+SUMIFS('14_Motor_Liq'!$Z$5:$Z$504,'14_Motor_Liq'!$Y$5:$Y$504,"&gt;="&amp;D91,'14_Motor_Liq'!$Y$5:$Y$504,"&lt;"&amp;E91)+SUMIFS('14_Motor_Liq'!$AD$5:$AD$504,'14_Motor_Liq'!$AC$5:$AC$504,"&gt;="&amp;D91,'14_Motor_Liq'!$AC$5:$AC$504,"&lt;"&amp;E91)</f>
        <v>0</v>
      </c>
      <c r="H91" s="81" t="n">
        <f aca="false">SUMIFS('14_Motor_Liq'!$P$5:$P$504,'14_Motor_Liq'!$O$5:$O$504,"&gt;="&amp;D91,'14_Motor_Liq'!$O$5:$O$504,"&lt;"&amp;E91)+SUMIFS('14_Motor_Liq'!$T$5:$T$504,'14_Motor_Liq'!$S$5:$S$504,"&gt;="&amp;D91,'14_Motor_Liq'!$S$5:$S$504,"&lt;"&amp;E91)+SUMIFS('14_Motor_Liq'!$X$5:$X$504,'14_Motor_Liq'!$W$5:$W$504,"&gt;="&amp;D91,'14_Motor_Liq'!$W$5:$W$504,"&lt;"&amp;E91)+SUMIFS('14_Motor_Liq'!$AB$5:$AB$504,'14_Motor_Liq'!$AA$5:$AA$504,"&gt;="&amp;D91,'14_Motor_Liq'!$AA$5:$AA$504,"&lt;"&amp;E91)+SUMIFS('14_Motor_Liq'!$AF$5:$AF$504,'14_Motor_Liq'!$AE$5:$AE$504,"&gt;="&amp;D91,'14_Motor_Liq'!$AE$5:$AE$504,"&lt;"&amp;E91)</f>
        <v>0</v>
      </c>
      <c r="I91" s="82" t="n">
        <f aca="false">G91+H91</f>
        <v>0</v>
      </c>
      <c r="J91" s="88" t="str">
        <f aca="false">IF(MAX($I$44:$I$104)=0,"",REPT("|",ROUND(I91/MAX($I$44:$I$104)*45,0)))</f>
        <v/>
      </c>
      <c r="K91" s="84" t="n">
        <f aca="false">IF(B91&gt;0,SUMIFS($H$44:$H$104,$B$44:$B$104,"&gt;=0",$B$44:$B$104,"&lt;="&amp;B91),IF(B91&lt;0,SUMIFS($G$44:$G$104,$B$44:$B$104,"&lt;=0",$B$44:$B$104,"&gt;="&amp;B91),G91+H91))</f>
        <v>0</v>
      </c>
    </row>
    <row r="92" customFormat="false" ht="15" hidden="false" customHeight="false" outlineLevel="0" collapsed="false">
      <c r="A92" s="87" t="str">
        <f aca="false">IF(B92=0,"&lt;&lt; PRECIO ACTUAL",IF(AND(G92&gt;0,G92=MAX($G$44:$G$104)),"CLUSTER LONG MAYOR",IF(AND(H92&gt;0,H92=MAX($H$44:$H$104)),"CLUSTER SHORT MAYOR",IF(AND(ISNUMBER($B$31),B92=$B$31),"primer cluster long",IF(AND(ISNUMBER($B$34),B92=$B$34),"primer cluster short","")))))</f>
        <v/>
      </c>
      <c r="B92" s="76" t="n">
        <v>-18</v>
      </c>
      <c r="C92" s="77" t="n">
        <f aca="false">$B$5*(1+B92*$B$8)</f>
        <v>70504.07</v>
      </c>
      <c r="D92" s="78" t="n">
        <f aca="false">$B$5*(1+(B92-0.5)*$B$8)</f>
        <v>70310.3775</v>
      </c>
      <c r="E92" s="78" t="n">
        <f aca="false">$B$5*(1+(B92+0.5)*$B$8)</f>
        <v>70697.7625</v>
      </c>
      <c r="F92" s="79" t="n">
        <f aca="false">B92*$B$8</f>
        <v>-0.09</v>
      </c>
      <c r="G92" s="80" t="n">
        <f aca="false">SUMIFS('14_Motor_Liq'!$N$5:$N$504,'14_Motor_Liq'!$M$5:$M$504,"&gt;="&amp;D92,'14_Motor_Liq'!$M$5:$M$504,"&lt;"&amp;E92)+SUMIFS('14_Motor_Liq'!$R$5:$R$504,'14_Motor_Liq'!$Q$5:$Q$504,"&gt;="&amp;D92,'14_Motor_Liq'!$Q$5:$Q$504,"&lt;"&amp;E92)+SUMIFS('14_Motor_Liq'!$V$5:$V$504,'14_Motor_Liq'!$U$5:$U$504,"&gt;="&amp;D92,'14_Motor_Liq'!$U$5:$U$504,"&lt;"&amp;E92)+SUMIFS('14_Motor_Liq'!$Z$5:$Z$504,'14_Motor_Liq'!$Y$5:$Y$504,"&gt;="&amp;D92,'14_Motor_Liq'!$Y$5:$Y$504,"&lt;"&amp;E92)+SUMIFS('14_Motor_Liq'!$AD$5:$AD$504,'14_Motor_Liq'!$AC$5:$AC$504,"&gt;="&amp;D92,'14_Motor_Liq'!$AC$5:$AC$504,"&lt;"&amp;E92)</f>
        <v>0</v>
      </c>
      <c r="H92" s="81" t="n">
        <f aca="false">SUMIFS('14_Motor_Liq'!$P$5:$P$504,'14_Motor_Liq'!$O$5:$O$504,"&gt;="&amp;D92,'14_Motor_Liq'!$O$5:$O$504,"&lt;"&amp;E92)+SUMIFS('14_Motor_Liq'!$T$5:$T$504,'14_Motor_Liq'!$S$5:$S$504,"&gt;="&amp;D92,'14_Motor_Liq'!$S$5:$S$504,"&lt;"&amp;E92)+SUMIFS('14_Motor_Liq'!$X$5:$X$504,'14_Motor_Liq'!$W$5:$W$504,"&gt;="&amp;D92,'14_Motor_Liq'!$W$5:$W$504,"&lt;"&amp;E92)+SUMIFS('14_Motor_Liq'!$AB$5:$AB$504,'14_Motor_Liq'!$AA$5:$AA$504,"&gt;="&amp;D92,'14_Motor_Liq'!$AA$5:$AA$504,"&lt;"&amp;E92)+SUMIFS('14_Motor_Liq'!$AF$5:$AF$504,'14_Motor_Liq'!$AE$5:$AE$504,"&gt;="&amp;D92,'14_Motor_Liq'!$AE$5:$AE$504,"&lt;"&amp;E92)</f>
        <v>0</v>
      </c>
      <c r="I92" s="82" t="n">
        <f aca="false">G92+H92</f>
        <v>0</v>
      </c>
      <c r="J92" s="88" t="str">
        <f aca="false">IF(MAX($I$44:$I$104)=0,"",REPT("|",ROUND(I92/MAX($I$44:$I$104)*45,0)))</f>
        <v/>
      </c>
      <c r="K92" s="84" t="n">
        <f aca="false">IF(B92&gt;0,SUMIFS($H$44:$H$104,$B$44:$B$104,"&gt;=0",$B$44:$B$104,"&lt;="&amp;B92),IF(B92&lt;0,SUMIFS($G$44:$G$104,$B$44:$B$104,"&lt;=0",$B$44:$B$104,"&gt;="&amp;B92),G92+H92))</f>
        <v>0</v>
      </c>
    </row>
    <row r="93" customFormat="false" ht="15" hidden="false" customHeight="false" outlineLevel="0" collapsed="false">
      <c r="A93" s="87" t="str">
        <f aca="false">IF(B93=0,"&lt;&lt; PRECIO ACTUAL",IF(AND(G93&gt;0,G93=MAX($G$44:$G$104)),"CLUSTER LONG MAYOR",IF(AND(H93&gt;0,H93=MAX($H$44:$H$104)),"CLUSTER SHORT MAYOR",IF(AND(ISNUMBER($B$31),B93=$B$31),"primer cluster long",IF(AND(ISNUMBER($B$34),B93=$B$34),"primer cluster short","")))))</f>
        <v/>
      </c>
      <c r="B93" s="76" t="n">
        <v>-19</v>
      </c>
      <c r="C93" s="77" t="n">
        <f aca="false">$B$5*(1+B93*$B$8)</f>
        <v>70116.685</v>
      </c>
      <c r="D93" s="78" t="n">
        <f aca="false">$B$5*(1+(B93-0.5)*$B$8)</f>
        <v>69922.9925</v>
      </c>
      <c r="E93" s="78" t="n">
        <f aca="false">$B$5*(1+(B93+0.5)*$B$8)</f>
        <v>70310.3775</v>
      </c>
      <c r="F93" s="79" t="n">
        <f aca="false">B93*$B$8</f>
        <v>-0.095</v>
      </c>
      <c r="G93" s="80" t="n">
        <f aca="false">SUMIFS('14_Motor_Liq'!$N$5:$N$504,'14_Motor_Liq'!$M$5:$M$504,"&gt;="&amp;D93,'14_Motor_Liq'!$M$5:$M$504,"&lt;"&amp;E93)+SUMIFS('14_Motor_Liq'!$R$5:$R$504,'14_Motor_Liq'!$Q$5:$Q$504,"&gt;="&amp;D93,'14_Motor_Liq'!$Q$5:$Q$504,"&lt;"&amp;E93)+SUMIFS('14_Motor_Liq'!$V$5:$V$504,'14_Motor_Liq'!$U$5:$U$504,"&gt;="&amp;D93,'14_Motor_Liq'!$U$5:$U$504,"&lt;"&amp;E93)+SUMIFS('14_Motor_Liq'!$Z$5:$Z$504,'14_Motor_Liq'!$Y$5:$Y$504,"&gt;="&amp;D93,'14_Motor_Liq'!$Y$5:$Y$504,"&lt;"&amp;E93)+SUMIFS('14_Motor_Liq'!$AD$5:$AD$504,'14_Motor_Liq'!$AC$5:$AC$504,"&gt;="&amp;D93,'14_Motor_Liq'!$AC$5:$AC$504,"&lt;"&amp;E93)</f>
        <v>0</v>
      </c>
      <c r="H93" s="81" t="n">
        <f aca="false">SUMIFS('14_Motor_Liq'!$P$5:$P$504,'14_Motor_Liq'!$O$5:$O$504,"&gt;="&amp;D93,'14_Motor_Liq'!$O$5:$O$504,"&lt;"&amp;E93)+SUMIFS('14_Motor_Liq'!$T$5:$T$504,'14_Motor_Liq'!$S$5:$S$504,"&gt;="&amp;D93,'14_Motor_Liq'!$S$5:$S$504,"&lt;"&amp;E93)+SUMIFS('14_Motor_Liq'!$X$5:$X$504,'14_Motor_Liq'!$W$5:$W$504,"&gt;="&amp;D93,'14_Motor_Liq'!$W$5:$W$504,"&lt;"&amp;E93)+SUMIFS('14_Motor_Liq'!$AB$5:$AB$504,'14_Motor_Liq'!$AA$5:$AA$504,"&gt;="&amp;D93,'14_Motor_Liq'!$AA$5:$AA$504,"&lt;"&amp;E93)+SUMIFS('14_Motor_Liq'!$AF$5:$AF$504,'14_Motor_Liq'!$AE$5:$AE$504,"&gt;="&amp;D93,'14_Motor_Liq'!$AE$5:$AE$504,"&lt;"&amp;E93)</f>
        <v>0</v>
      </c>
      <c r="I93" s="82" t="n">
        <f aca="false">G93+H93</f>
        <v>0</v>
      </c>
      <c r="J93" s="88" t="str">
        <f aca="false">IF(MAX($I$44:$I$104)=0,"",REPT("|",ROUND(I93/MAX($I$44:$I$104)*45,0)))</f>
        <v/>
      </c>
      <c r="K93" s="84" t="n">
        <f aca="false">IF(B93&gt;0,SUMIFS($H$44:$H$104,$B$44:$B$104,"&gt;=0",$B$44:$B$104,"&lt;="&amp;B93),IF(B93&lt;0,SUMIFS($G$44:$G$104,$B$44:$B$104,"&lt;=0",$B$44:$B$104,"&gt;="&amp;B93),G93+H93))</f>
        <v>0</v>
      </c>
    </row>
    <row r="94" customFormat="false" ht="15" hidden="false" customHeight="false" outlineLevel="0" collapsed="false">
      <c r="A94" s="87" t="str">
        <f aca="false">IF(B94=0,"&lt;&lt; PRECIO ACTUAL",IF(AND(G94&gt;0,G94=MAX($G$44:$G$104)),"CLUSTER LONG MAYOR",IF(AND(H94&gt;0,H94=MAX($H$44:$H$104)),"CLUSTER SHORT MAYOR",IF(AND(ISNUMBER($B$31),B94=$B$31),"primer cluster long",IF(AND(ISNUMBER($B$34),B94=$B$34),"primer cluster short","")))))</f>
        <v/>
      </c>
      <c r="B94" s="76" t="n">
        <v>-20</v>
      </c>
      <c r="C94" s="77" t="n">
        <f aca="false">$B$5*(1+B94*$B$8)</f>
        <v>69729.3</v>
      </c>
      <c r="D94" s="78" t="n">
        <f aca="false">$B$5*(1+(B94-0.5)*$B$8)</f>
        <v>69535.6075</v>
      </c>
      <c r="E94" s="78" t="n">
        <f aca="false">$B$5*(1+(B94+0.5)*$B$8)</f>
        <v>69922.9925</v>
      </c>
      <c r="F94" s="79" t="n">
        <f aca="false">B94*$B$8</f>
        <v>-0.1</v>
      </c>
      <c r="G94" s="80" t="n">
        <f aca="false">SUMIFS('14_Motor_Liq'!$N$5:$N$504,'14_Motor_Liq'!$M$5:$M$504,"&gt;="&amp;D94,'14_Motor_Liq'!$M$5:$M$504,"&lt;"&amp;E94)+SUMIFS('14_Motor_Liq'!$R$5:$R$504,'14_Motor_Liq'!$Q$5:$Q$504,"&gt;="&amp;D94,'14_Motor_Liq'!$Q$5:$Q$504,"&lt;"&amp;E94)+SUMIFS('14_Motor_Liq'!$V$5:$V$504,'14_Motor_Liq'!$U$5:$U$504,"&gt;="&amp;D94,'14_Motor_Liq'!$U$5:$U$504,"&lt;"&amp;E94)+SUMIFS('14_Motor_Liq'!$Z$5:$Z$504,'14_Motor_Liq'!$Y$5:$Y$504,"&gt;="&amp;D94,'14_Motor_Liq'!$Y$5:$Y$504,"&lt;"&amp;E94)+SUMIFS('14_Motor_Liq'!$AD$5:$AD$504,'14_Motor_Liq'!$AC$5:$AC$504,"&gt;="&amp;D94,'14_Motor_Liq'!$AC$5:$AC$504,"&lt;"&amp;E94)</f>
        <v>0</v>
      </c>
      <c r="H94" s="81" t="n">
        <f aca="false">SUMIFS('14_Motor_Liq'!$P$5:$P$504,'14_Motor_Liq'!$O$5:$O$504,"&gt;="&amp;D94,'14_Motor_Liq'!$O$5:$O$504,"&lt;"&amp;E94)+SUMIFS('14_Motor_Liq'!$T$5:$T$504,'14_Motor_Liq'!$S$5:$S$504,"&gt;="&amp;D94,'14_Motor_Liq'!$S$5:$S$504,"&lt;"&amp;E94)+SUMIFS('14_Motor_Liq'!$X$5:$X$504,'14_Motor_Liq'!$W$5:$W$504,"&gt;="&amp;D94,'14_Motor_Liq'!$W$5:$W$504,"&lt;"&amp;E94)+SUMIFS('14_Motor_Liq'!$AB$5:$AB$504,'14_Motor_Liq'!$AA$5:$AA$504,"&gt;="&amp;D94,'14_Motor_Liq'!$AA$5:$AA$504,"&lt;"&amp;E94)+SUMIFS('14_Motor_Liq'!$AF$5:$AF$504,'14_Motor_Liq'!$AE$5:$AE$504,"&gt;="&amp;D94,'14_Motor_Liq'!$AE$5:$AE$504,"&lt;"&amp;E94)</f>
        <v>0</v>
      </c>
      <c r="I94" s="82" t="n">
        <f aca="false">G94+H94</f>
        <v>0</v>
      </c>
      <c r="J94" s="88" t="str">
        <f aca="false">IF(MAX($I$44:$I$104)=0,"",REPT("|",ROUND(I94/MAX($I$44:$I$104)*45,0)))</f>
        <v/>
      </c>
      <c r="K94" s="84" t="n">
        <f aca="false">IF(B94&gt;0,SUMIFS($H$44:$H$104,$B$44:$B$104,"&gt;=0",$B$44:$B$104,"&lt;="&amp;B94),IF(B94&lt;0,SUMIFS($G$44:$G$104,$B$44:$B$104,"&lt;=0",$B$44:$B$104,"&gt;="&amp;B94),G94+H94))</f>
        <v>0</v>
      </c>
    </row>
    <row r="95" customFormat="false" ht="15" hidden="false" customHeight="false" outlineLevel="0" collapsed="false">
      <c r="A95" s="87" t="str">
        <f aca="false">IF(B95=0,"&lt;&lt; PRECIO ACTUAL",IF(AND(G95&gt;0,G95=MAX($G$44:$G$104)),"CLUSTER LONG MAYOR",IF(AND(H95&gt;0,H95=MAX($H$44:$H$104)),"CLUSTER SHORT MAYOR",IF(AND(ISNUMBER($B$31),B95=$B$31),"primer cluster long",IF(AND(ISNUMBER($B$34),B95=$B$34),"primer cluster short","")))))</f>
        <v/>
      </c>
      <c r="B95" s="76" t="n">
        <v>-21</v>
      </c>
      <c r="C95" s="77" t="n">
        <f aca="false">$B$5*(1+B95*$B$8)</f>
        <v>69341.915</v>
      </c>
      <c r="D95" s="78" t="n">
        <f aca="false">$B$5*(1+(B95-0.5)*$B$8)</f>
        <v>69148.2225</v>
      </c>
      <c r="E95" s="78" t="n">
        <f aca="false">$B$5*(1+(B95+0.5)*$B$8)</f>
        <v>69535.6075</v>
      </c>
      <c r="F95" s="79" t="n">
        <f aca="false">B95*$B$8</f>
        <v>-0.105</v>
      </c>
      <c r="G95" s="80" t="n">
        <f aca="false">SUMIFS('14_Motor_Liq'!$N$5:$N$504,'14_Motor_Liq'!$M$5:$M$504,"&gt;="&amp;D95,'14_Motor_Liq'!$M$5:$M$504,"&lt;"&amp;E95)+SUMIFS('14_Motor_Liq'!$R$5:$R$504,'14_Motor_Liq'!$Q$5:$Q$504,"&gt;="&amp;D95,'14_Motor_Liq'!$Q$5:$Q$504,"&lt;"&amp;E95)+SUMIFS('14_Motor_Liq'!$V$5:$V$504,'14_Motor_Liq'!$U$5:$U$504,"&gt;="&amp;D95,'14_Motor_Liq'!$U$5:$U$504,"&lt;"&amp;E95)+SUMIFS('14_Motor_Liq'!$Z$5:$Z$504,'14_Motor_Liq'!$Y$5:$Y$504,"&gt;="&amp;D95,'14_Motor_Liq'!$Y$5:$Y$504,"&lt;"&amp;E95)+SUMIFS('14_Motor_Liq'!$AD$5:$AD$504,'14_Motor_Liq'!$AC$5:$AC$504,"&gt;="&amp;D95,'14_Motor_Liq'!$AC$5:$AC$504,"&lt;"&amp;E95)</f>
        <v>0</v>
      </c>
      <c r="H95" s="81" t="n">
        <f aca="false">SUMIFS('14_Motor_Liq'!$P$5:$P$504,'14_Motor_Liq'!$O$5:$O$504,"&gt;="&amp;D95,'14_Motor_Liq'!$O$5:$O$504,"&lt;"&amp;E95)+SUMIFS('14_Motor_Liq'!$T$5:$T$504,'14_Motor_Liq'!$S$5:$S$504,"&gt;="&amp;D95,'14_Motor_Liq'!$S$5:$S$504,"&lt;"&amp;E95)+SUMIFS('14_Motor_Liq'!$X$5:$X$504,'14_Motor_Liq'!$W$5:$W$504,"&gt;="&amp;D95,'14_Motor_Liq'!$W$5:$W$504,"&lt;"&amp;E95)+SUMIFS('14_Motor_Liq'!$AB$5:$AB$504,'14_Motor_Liq'!$AA$5:$AA$504,"&gt;="&amp;D95,'14_Motor_Liq'!$AA$5:$AA$504,"&lt;"&amp;E95)+SUMIFS('14_Motor_Liq'!$AF$5:$AF$504,'14_Motor_Liq'!$AE$5:$AE$504,"&gt;="&amp;D95,'14_Motor_Liq'!$AE$5:$AE$504,"&lt;"&amp;E95)</f>
        <v>0</v>
      </c>
      <c r="I95" s="82" t="n">
        <f aca="false">G95+H95</f>
        <v>0</v>
      </c>
      <c r="J95" s="88" t="str">
        <f aca="false">IF(MAX($I$44:$I$104)=0,"",REPT("|",ROUND(I95/MAX($I$44:$I$104)*45,0)))</f>
        <v/>
      </c>
      <c r="K95" s="84" t="n">
        <f aca="false">IF(B95&gt;0,SUMIFS($H$44:$H$104,$B$44:$B$104,"&gt;=0",$B$44:$B$104,"&lt;="&amp;B95),IF(B95&lt;0,SUMIFS($G$44:$G$104,$B$44:$B$104,"&lt;=0",$B$44:$B$104,"&gt;="&amp;B95),G95+H95))</f>
        <v>0</v>
      </c>
    </row>
    <row r="96" customFormat="false" ht="15" hidden="false" customHeight="false" outlineLevel="0" collapsed="false">
      <c r="A96" s="87" t="str">
        <f aca="false">IF(B96=0,"&lt;&lt; PRECIO ACTUAL",IF(AND(G96&gt;0,G96=MAX($G$44:$G$104)),"CLUSTER LONG MAYOR",IF(AND(H96&gt;0,H96=MAX($H$44:$H$104)),"CLUSTER SHORT MAYOR",IF(AND(ISNUMBER($B$31),B96=$B$31),"primer cluster long",IF(AND(ISNUMBER($B$34),B96=$B$34),"primer cluster short","")))))</f>
        <v/>
      </c>
      <c r="B96" s="76" t="n">
        <v>-22</v>
      </c>
      <c r="C96" s="77" t="n">
        <f aca="false">$B$5*(1+B96*$B$8)</f>
        <v>68954.53</v>
      </c>
      <c r="D96" s="78" t="n">
        <f aca="false">$B$5*(1+(B96-0.5)*$B$8)</f>
        <v>68760.8375</v>
      </c>
      <c r="E96" s="78" t="n">
        <f aca="false">$B$5*(1+(B96+0.5)*$B$8)</f>
        <v>69148.2225</v>
      </c>
      <c r="F96" s="79" t="n">
        <f aca="false">B96*$B$8</f>
        <v>-0.11</v>
      </c>
      <c r="G96" s="80" t="n">
        <f aca="false">SUMIFS('14_Motor_Liq'!$N$5:$N$504,'14_Motor_Liq'!$M$5:$M$504,"&gt;="&amp;D96,'14_Motor_Liq'!$M$5:$M$504,"&lt;"&amp;E96)+SUMIFS('14_Motor_Liq'!$R$5:$R$504,'14_Motor_Liq'!$Q$5:$Q$504,"&gt;="&amp;D96,'14_Motor_Liq'!$Q$5:$Q$504,"&lt;"&amp;E96)+SUMIFS('14_Motor_Liq'!$V$5:$V$504,'14_Motor_Liq'!$U$5:$U$504,"&gt;="&amp;D96,'14_Motor_Liq'!$U$5:$U$504,"&lt;"&amp;E96)+SUMIFS('14_Motor_Liq'!$Z$5:$Z$504,'14_Motor_Liq'!$Y$5:$Y$504,"&gt;="&amp;D96,'14_Motor_Liq'!$Y$5:$Y$504,"&lt;"&amp;E96)+SUMIFS('14_Motor_Liq'!$AD$5:$AD$504,'14_Motor_Liq'!$AC$5:$AC$504,"&gt;="&amp;D96,'14_Motor_Liq'!$AC$5:$AC$504,"&lt;"&amp;E96)</f>
        <v>0</v>
      </c>
      <c r="H96" s="81" t="n">
        <f aca="false">SUMIFS('14_Motor_Liq'!$P$5:$P$504,'14_Motor_Liq'!$O$5:$O$504,"&gt;="&amp;D96,'14_Motor_Liq'!$O$5:$O$504,"&lt;"&amp;E96)+SUMIFS('14_Motor_Liq'!$T$5:$T$504,'14_Motor_Liq'!$S$5:$S$504,"&gt;="&amp;D96,'14_Motor_Liq'!$S$5:$S$504,"&lt;"&amp;E96)+SUMIFS('14_Motor_Liq'!$X$5:$X$504,'14_Motor_Liq'!$W$5:$W$504,"&gt;="&amp;D96,'14_Motor_Liq'!$W$5:$W$504,"&lt;"&amp;E96)+SUMIFS('14_Motor_Liq'!$AB$5:$AB$504,'14_Motor_Liq'!$AA$5:$AA$504,"&gt;="&amp;D96,'14_Motor_Liq'!$AA$5:$AA$504,"&lt;"&amp;E96)+SUMIFS('14_Motor_Liq'!$AF$5:$AF$504,'14_Motor_Liq'!$AE$5:$AE$504,"&gt;="&amp;D96,'14_Motor_Liq'!$AE$5:$AE$504,"&lt;"&amp;E96)</f>
        <v>0</v>
      </c>
      <c r="I96" s="82" t="n">
        <f aca="false">G96+H96</f>
        <v>0</v>
      </c>
      <c r="J96" s="88" t="str">
        <f aca="false">IF(MAX($I$44:$I$104)=0,"",REPT("|",ROUND(I96/MAX($I$44:$I$104)*45,0)))</f>
        <v/>
      </c>
      <c r="K96" s="84" t="n">
        <f aca="false">IF(B96&gt;0,SUMIFS($H$44:$H$104,$B$44:$B$104,"&gt;=0",$B$44:$B$104,"&lt;="&amp;B96),IF(B96&lt;0,SUMIFS($G$44:$G$104,$B$44:$B$104,"&lt;=0",$B$44:$B$104,"&gt;="&amp;B96),G96+H96))</f>
        <v>0</v>
      </c>
    </row>
    <row r="97" customFormat="false" ht="15" hidden="false" customHeight="false" outlineLevel="0" collapsed="false">
      <c r="A97" s="87" t="str">
        <f aca="false">IF(B97=0,"&lt;&lt; PRECIO ACTUAL",IF(AND(G97&gt;0,G97=MAX($G$44:$G$104)),"CLUSTER LONG MAYOR",IF(AND(H97&gt;0,H97=MAX($H$44:$H$104)),"CLUSTER SHORT MAYOR",IF(AND(ISNUMBER($B$31),B97=$B$31),"primer cluster long",IF(AND(ISNUMBER($B$34),B97=$B$34),"primer cluster short","")))))</f>
        <v/>
      </c>
      <c r="B97" s="76" t="n">
        <v>-23</v>
      </c>
      <c r="C97" s="77" t="n">
        <f aca="false">$B$5*(1+B97*$B$8)</f>
        <v>68567.145</v>
      </c>
      <c r="D97" s="78" t="n">
        <f aca="false">$B$5*(1+(B97-0.5)*$B$8)</f>
        <v>68373.4525</v>
      </c>
      <c r="E97" s="78" t="n">
        <f aca="false">$B$5*(1+(B97+0.5)*$B$8)</f>
        <v>68760.8375</v>
      </c>
      <c r="F97" s="79" t="n">
        <f aca="false">B97*$B$8</f>
        <v>-0.115</v>
      </c>
      <c r="G97" s="80" t="n">
        <f aca="false">SUMIFS('14_Motor_Liq'!$N$5:$N$504,'14_Motor_Liq'!$M$5:$M$504,"&gt;="&amp;D97,'14_Motor_Liq'!$M$5:$M$504,"&lt;"&amp;E97)+SUMIFS('14_Motor_Liq'!$R$5:$R$504,'14_Motor_Liq'!$Q$5:$Q$504,"&gt;="&amp;D97,'14_Motor_Liq'!$Q$5:$Q$504,"&lt;"&amp;E97)+SUMIFS('14_Motor_Liq'!$V$5:$V$504,'14_Motor_Liq'!$U$5:$U$504,"&gt;="&amp;D97,'14_Motor_Liq'!$U$5:$U$504,"&lt;"&amp;E97)+SUMIFS('14_Motor_Liq'!$Z$5:$Z$504,'14_Motor_Liq'!$Y$5:$Y$504,"&gt;="&amp;D97,'14_Motor_Liq'!$Y$5:$Y$504,"&lt;"&amp;E97)+SUMIFS('14_Motor_Liq'!$AD$5:$AD$504,'14_Motor_Liq'!$AC$5:$AC$504,"&gt;="&amp;D97,'14_Motor_Liq'!$AC$5:$AC$504,"&lt;"&amp;E97)</f>
        <v>0</v>
      </c>
      <c r="H97" s="81" t="n">
        <f aca="false">SUMIFS('14_Motor_Liq'!$P$5:$P$504,'14_Motor_Liq'!$O$5:$O$504,"&gt;="&amp;D97,'14_Motor_Liq'!$O$5:$O$504,"&lt;"&amp;E97)+SUMIFS('14_Motor_Liq'!$T$5:$T$504,'14_Motor_Liq'!$S$5:$S$504,"&gt;="&amp;D97,'14_Motor_Liq'!$S$5:$S$504,"&lt;"&amp;E97)+SUMIFS('14_Motor_Liq'!$X$5:$X$504,'14_Motor_Liq'!$W$5:$W$504,"&gt;="&amp;D97,'14_Motor_Liq'!$W$5:$W$504,"&lt;"&amp;E97)+SUMIFS('14_Motor_Liq'!$AB$5:$AB$504,'14_Motor_Liq'!$AA$5:$AA$504,"&gt;="&amp;D97,'14_Motor_Liq'!$AA$5:$AA$504,"&lt;"&amp;E97)+SUMIFS('14_Motor_Liq'!$AF$5:$AF$504,'14_Motor_Liq'!$AE$5:$AE$504,"&gt;="&amp;D97,'14_Motor_Liq'!$AE$5:$AE$504,"&lt;"&amp;E97)</f>
        <v>0</v>
      </c>
      <c r="I97" s="82" t="n">
        <f aca="false">G97+H97</f>
        <v>0</v>
      </c>
      <c r="J97" s="88" t="str">
        <f aca="false">IF(MAX($I$44:$I$104)=0,"",REPT("|",ROUND(I97/MAX($I$44:$I$104)*45,0)))</f>
        <v/>
      </c>
      <c r="K97" s="84" t="n">
        <f aca="false">IF(B97&gt;0,SUMIFS($H$44:$H$104,$B$44:$B$104,"&gt;=0",$B$44:$B$104,"&lt;="&amp;B97),IF(B97&lt;0,SUMIFS($G$44:$G$104,$B$44:$B$104,"&lt;=0",$B$44:$B$104,"&gt;="&amp;B97),G97+H97))</f>
        <v>0</v>
      </c>
    </row>
    <row r="98" customFormat="false" ht="15" hidden="false" customHeight="false" outlineLevel="0" collapsed="false">
      <c r="A98" s="87" t="str">
        <f aca="false">IF(B98=0,"&lt;&lt; PRECIO ACTUAL",IF(AND(G98&gt;0,G98=MAX($G$44:$G$104)),"CLUSTER LONG MAYOR",IF(AND(H98&gt;0,H98=MAX($H$44:$H$104)),"CLUSTER SHORT MAYOR",IF(AND(ISNUMBER($B$31),B98=$B$31),"primer cluster long",IF(AND(ISNUMBER($B$34),B98=$B$34),"primer cluster short","")))))</f>
        <v/>
      </c>
      <c r="B98" s="76" t="n">
        <v>-24</v>
      </c>
      <c r="C98" s="77" t="n">
        <f aca="false">$B$5*(1+B98*$B$8)</f>
        <v>68179.76</v>
      </c>
      <c r="D98" s="78" t="n">
        <f aca="false">$B$5*(1+(B98-0.5)*$B$8)</f>
        <v>67986.0675</v>
      </c>
      <c r="E98" s="78" t="n">
        <f aca="false">$B$5*(1+(B98+0.5)*$B$8)</f>
        <v>68373.4525</v>
      </c>
      <c r="F98" s="79" t="n">
        <f aca="false">B98*$B$8</f>
        <v>-0.12</v>
      </c>
      <c r="G98" s="80" t="n">
        <f aca="false">SUMIFS('14_Motor_Liq'!$N$5:$N$504,'14_Motor_Liq'!$M$5:$M$504,"&gt;="&amp;D98,'14_Motor_Liq'!$M$5:$M$504,"&lt;"&amp;E98)+SUMIFS('14_Motor_Liq'!$R$5:$R$504,'14_Motor_Liq'!$Q$5:$Q$504,"&gt;="&amp;D98,'14_Motor_Liq'!$Q$5:$Q$504,"&lt;"&amp;E98)+SUMIFS('14_Motor_Liq'!$V$5:$V$504,'14_Motor_Liq'!$U$5:$U$504,"&gt;="&amp;D98,'14_Motor_Liq'!$U$5:$U$504,"&lt;"&amp;E98)+SUMIFS('14_Motor_Liq'!$Z$5:$Z$504,'14_Motor_Liq'!$Y$5:$Y$504,"&gt;="&amp;D98,'14_Motor_Liq'!$Y$5:$Y$504,"&lt;"&amp;E98)+SUMIFS('14_Motor_Liq'!$AD$5:$AD$504,'14_Motor_Liq'!$AC$5:$AC$504,"&gt;="&amp;D98,'14_Motor_Liq'!$AC$5:$AC$504,"&lt;"&amp;E98)</f>
        <v>0</v>
      </c>
      <c r="H98" s="81" t="n">
        <f aca="false">SUMIFS('14_Motor_Liq'!$P$5:$P$504,'14_Motor_Liq'!$O$5:$O$504,"&gt;="&amp;D98,'14_Motor_Liq'!$O$5:$O$504,"&lt;"&amp;E98)+SUMIFS('14_Motor_Liq'!$T$5:$T$504,'14_Motor_Liq'!$S$5:$S$504,"&gt;="&amp;D98,'14_Motor_Liq'!$S$5:$S$504,"&lt;"&amp;E98)+SUMIFS('14_Motor_Liq'!$X$5:$X$504,'14_Motor_Liq'!$W$5:$W$504,"&gt;="&amp;D98,'14_Motor_Liq'!$W$5:$W$504,"&lt;"&amp;E98)+SUMIFS('14_Motor_Liq'!$AB$5:$AB$504,'14_Motor_Liq'!$AA$5:$AA$504,"&gt;="&amp;D98,'14_Motor_Liq'!$AA$5:$AA$504,"&lt;"&amp;E98)+SUMIFS('14_Motor_Liq'!$AF$5:$AF$504,'14_Motor_Liq'!$AE$5:$AE$504,"&gt;="&amp;D98,'14_Motor_Liq'!$AE$5:$AE$504,"&lt;"&amp;E98)</f>
        <v>0</v>
      </c>
      <c r="I98" s="82" t="n">
        <f aca="false">G98+H98</f>
        <v>0</v>
      </c>
      <c r="J98" s="88" t="str">
        <f aca="false">IF(MAX($I$44:$I$104)=0,"",REPT("|",ROUND(I98/MAX($I$44:$I$104)*45,0)))</f>
        <v/>
      </c>
      <c r="K98" s="84" t="n">
        <f aca="false">IF(B98&gt;0,SUMIFS($H$44:$H$104,$B$44:$B$104,"&gt;=0",$B$44:$B$104,"&lt;="&amp;B98),IF(B98&lt;0,SUMIFS($G$44:$G$104,$B$44:$B$104,"&lt;=0",$B$44:$B$104,"&gt;="&amp;B98),G98+H98))</f>
        <v>0</v>
      </c>
    </row>
    <row r="99" customFormat="false" ht="15" hidden="false" customHeight="false" outlineLevel="0" collapsed="false">
      <c r="A99" s="87" t="str">
        <f aca="false">IF(B99=0,"&lt;&lt; PRECIO ACTUAL",IF(AND(G99&gt;0,G99=MAX($G$44:$G$104)),"CLUSTER LONG MAYOR",IF(AND(H99&gt;0,H99=MAX($H$44:$H$104)),"CLUSTER SHORT MAYOR",IF(AND(ISNUMBER($B$31),B99=$B$31),"primer cluster long",IF(AND(ISNUMBER($B$34),B99=$B$34),"primer cluster short","")))))</f>
        <v/>
      </c>
      <c r="B99" s="76" t="n">
        <v>-25</v>
      </c>
      <c r="C99" s="77" t="n">
        <f aca="false">$B$5*(1+B99*$B$8)</f>
        <v>67792.375</v>
      </c>
      <c r="D99" s="78" t="n">
        <f aca="false">$B$5*(1+(B99-0.5)*$B$8)</f>
        <v>67598.6825</v>
      </c>
      <c r="E99" s="78" t="n">
        <f aca="false">$B$5*(1+(B99+0.5)*$B$8)</f>
        <v>67986.0675</v>
      </c>
      <c r="F99" s="79" t="n">
        <f aca="false">B99*$B$8</f>
        <v>-0.125</v>
      </c>
      <c r="G99" s="80" t="n">
        <f aca="false">SUMIFS('14_Motor_Liq'!$N$5:$N$504,'14_Motor_Liq'!$M$5:$M$504,"&gt;="&amp;D99,'14_Motor_Liq'!$M$5:$M$504,"&lt;"&amp;E99)+SUMIFS('14_Motor_Liq'!$R$5:$R$504,'14_Motor_Liq'!$Q$5:$Q$504,"&gt;="&amp;D99,'14_Motor_Liq'!$Q$5:$Q$504,"&lt;"&amp;E99)+SUMIFS('14_Motor_Liq'!$V$5:$V$504,'14_Motor_Liq'!$U$5:$U$504,"&gt;="&amp;D99,'14_Motor_Liq'!$U$5:$U$504,"&lt;"&amp;E99)+SUMIFS('14_Motor_Liq'!$Z$5:$Z$504,'14_Motor_Liq'!$Y$5:$Y$504,"&gt;="&amp;D99,'14_Motor_Liq'!$Y$5:$Y$504,"&lt;"&amp;E99)+SUMIFS('14_Motor_Liq'!$AD$5:$AD$504,'14_Motor_Liq'!$AC$5:$AC$504,"&gt;="&amp;D99,'14_Motor_Liq'!$AC$5:$AC$504,"&lt;"&amp;E99)</f>
        <v>0</v>
      </c>
      <c r="H99" s="81" t="n">
        <f aca="false">SUMIFS('14_Motor_Liq'!$P$5:$P$504,'14_Motor_Liq'!$O$5:$O$504,"&gt;="&amp;D99,'14_Motor_Liq'!$O$5:$O$504,"&lt;"&amp;E99)+SUMIFS('14_Motor_Liq'!$T$5:$T$504,'14_Motor_Liq'!$S$5:$S$504,"&gt;="&amp;D99,'14_Motor_Liq'!$S$5:$S$504,"&lt;"&amp;E99)+SUMIFS('14_Motor_Liq'!$X$5:$X$504,'14_Motor_Liq'!$W$5:$W$504,"&gt;="&amp;D99,'14_Motor_Liq'!$W$5:$W$504,"&lt;"&amp;E99)+SUMIFS('14_Motor_Liq'!$AB$5:$AB$504,'14_Motor_Liq'!$AA$5:$AA$504,"&gt;="&amp;D99,'14_Motor_Liq'!$AA$5:$AA$504,"&lt;"&amp;E99)+SUMIFS('14_Motor_Liq'!$AF$5:$AF$504,'14_Motor_Liq'!$AE$5:$AE$504,"&gt;="&amp;D99,'14_Motor_Liq'!$AE$5:$AE$504,"&lt;"&amp;E99)</f>
        <v>0</v>
      </c>
      <c r="I99" s="82" t="n">
        <f aca="false">G99+H99</f>
        <v>0</v>
      </c>
      <c r="J99" s="88" t="str">
        <f aca="false">IF(MAX($I$44:$I$104)=0,"",REPT("|",ROUND(I99/MAX($I$44:$I$104)*45,0)))</f>
        <v/>
      </c>
      <c r="K99" s="84" t="n">
        <f aca="false">IF(B99&gt;0,SUMIFS($H$44:$H$104,$B$44:$B$104,"&gt;=0",$B$44:$B$104,"&lt;="&amp;B99),IF(B99&lt;0,SUMIFS($G$44:$G$104,$B$44:$B$104,"&lt;=0",$B$44:$B$104,"&gt;="&amp;B99),G99+H99))</f>
        <v>0</v>
      </c>
    </row>
    <row r="100" customFormat="false" ht="15" hidden="false" customHeight="false" outlineLevel="0" collapsed="false">
      <c r="A100" s="87" t="str">
        <f aca="false">IF(B100=0,"&lt;&lt; PRECIO ACTUAL",IF(AND(G100&gt;0,G100=MAX($G$44:$G$104)),"CLUSTER LONG MAYOR",IF(AND(H100&gt;0,H100=MAX($H$44:$H$104)),"CLUSTER SHORT MAYOR",IF(AND(ISNUMBER($B$31),B100=$B$31),"primer cluster long",IF(AND(ISNUMBER($B$34),B100=$B$34),"primer cluster short","")))))</f>
        <v/>
      </c>
      <c r="B100" s="76" t="n">
        <v>-26</v>
      </c>
      <c r="C100" s="77" t="n">
        <f aca="false">$B$5*(1+B100*$B$8)</f>
        <v>67404.99</v>
      </c>
      <c r="D100" s="78" t="n">
        <f aca="false">$B$5*(1+(B100-0.5)*$B$8)</f>
        <v>67211.2975</v>
      </c>
      <c r="E100" s="78" t="n">
        <f aca="false">$B$5*(1+(B100+0.5)*$B$8)</f>
        <v>67598.6825</v>
      </c>
      <c r="F100" s="79" t="n">
        <f aca="false">B100*$B$8</f>
        <v>-0.13</v>
      </c>
      <c r="G100" s="80" t="n">
        <f aca="false">SUMIFS('14_Motor_Liq'!$N$5:$N$504,'14_Motor_Liq'!$M$5:$M$504,"&gt;="&amp;D100,'14_Motor_Liq'!$M$5:$M$504,"&lt;"&amp;E100)+SUMIFS('14_Motor_Liq'!$R$5:$R$504,'14_Motor_Liq'!$Q$5:$Q$504,"&gt;="&amp;D100,'14_Motor_Liq'!$Q$5:$Q$504,"&lt;"&amp;E100)+SUMIFS('14_Motor_Liq'!$V$5:$V$504,'14_Motor_Liq'!$U$5:$U$504,"&gt;="&amp;D100,'14_Motor_Liq'!$U$5:$U$504,"&lt;"&amp;E100)+SUMIFS('14_Motor_Liq'!$Z$5:$Z$504,'14_Motor_Liq'!$Y$5:$Y$504,"&gt;="&amp;D100,'14_Motor_Liq'!$Y$5:$Y$504,"&lt;"&amp;E100)+SUMIFS('14_Motor_Liq'!$AD$5:$AD$504,'14_Motor_Liq'!$AC$5:$AC$504,"&gt;="&amp;D100,'14_Motor_Liq'!$AC$5:$AC$504,"&lt;"&amp;E100)</f>
        <v>0</v>
      </c>
      <c r="H100" s="81" t="n">
        <f aca="false">SUMIFS('14_Motor_Liq'!$P$5:$P$504,'14_Motor_Liq'!$O$5:$O$504,"&gt;="&amp;D100,'14_Motor_Liq'!$O$5:$O$504,"&lt;"&amp;E100)+SUMIFS('14_Motor_Liq'!$T$5:$T$504,'14_Motor_Liq'!$S$5:$S$504,"&gt;="&amp;D100,'14_Motor_Liq'!$S$5:$S$504,"&lt;"&amp;E100)+SUMIFS('14_Motor_Liq'!$X$5:$X$504,'14_Motor_Liq'!$W$5:$W$504,"&gt;="&amp;D100,'14_Motor_Liq'!$W$5:$W$504,"&lt;"&amp;E100)+SUMIFS('14_Motor_Liq'!$AB$5:$AB$504,'14_Motor_Liq'!$AA$5:$AA$504,"&gt;="&amp;D100,'14_Motor_Liq'!$AA$5:$AA$504,"&lt;"&amp;E100)+SUMIFS('14_Motor_Liq'!$AF$5:$AF$504,'14_Motor_Liq'!$AE$5:$AE$504,"&gt;="&amp;D100,'14_Motor_Liq'!$AE$5:$AE$504,"&lt;"&amp;E100)</f>
        <v>0</v>
      </c>
      <c r="I100" s="82" t="n">
        <f aca="false">G100+H100</f>
        <v>0</v>
      </c>
      <c r="J100" s="88" t="str">
        <f aca="false">IF(MAX($I$44:$I$104)=0,"",REPT("|",ROUND(I100/MAX($I$44:$I$104)*45,0)))</f>
        <v/>
      </c>
      <c r="K100" s="84" t="n">
        <f aca="false">IF(B100&gt;0,SUMIFS($H$44:$H$104,$B$44:$B$104,"&gt;=0",$B$44:$B$104,"&lt;="&amp;B100),IF(B100&lt;0,SUMIFS($G$44:$G$104,$B$44:$B$104,"&lt;=0",$B$44:$B$104,"&gt;="&amp;B100),G100+H100))</f>
        <v>0</v>
      </c>
    </row>
    <row r="101" customFormat="false" ht="15" hidden="false" customHeight="false" outlineLevel="0" collapsed="false">
      <c r="A101" s="87" t="str">
        <f aca="false">IF(B101=0,"&lt;&lt; PRECIO ACTUAL",IF(AND(G101&gt;0,G101=MAX($G$44:$G$104)),"CLUSTER LONG MAYOR",IF(AND(H101&gt;0,H101=MAX($H$44:$H$104)),"CLUSTER SHORT MAYOR",IF(AND(ISNUMBER($B$31),B101=$B$31),"primer cluster long",IF(AND(ISNUMBER($B$34),B101=$B$34),"primer cluster short","")))))</f>
        <v/>
      </c>
      <c r="B101" s="76" t="n">
        <v>-27</v>
      </c>
      <c r="C101" s="77" t="n">
        <f aca="false">$B$5*(1+B101*$B$8)</f>
        <v>67017.605</v>
      </c>
      <c r="D101" s="78" t="n">
        <f aca="false">$B$5*(1+(B101-0.5)*$B$8)</f>
        <v>66823.9125</v>
      </c>
      <c r="E101" s="78" t="n">
        <f aca="false">$B$5*(1+(B101+0.5)*$B$8)</f>
        <v>67211.2975</v>
      </c>
      <c r="F101" s="79" t="n">
        <f aca="false">B101*$B$8</f>
        <v>-0.135</v>
      </c>
      <c r="G101" s="80" t="n">
        <f aca="false">SUMIFS('14_Motor_Liq'!$N$5:$N$504,'14_Motor_Liq'!$M$5:$M$504,"&gt;="&amp;D101,'14_Motor_Liq'!$M$5:$M$504,"&lt;"&amp;E101)+SUMIFS('14_Motor_Liq'!$R$5:$R$504,'14_Motor_Liq'!$Q$5:$Q$504,"&gt;="&amp;D101,'14_Motor_Liq'!$Q$5:$Q$504,"&lt;"&amp;E101)+SUMIFS('14_Motor_Liq'!$V$5:$V$504,'14_Motor_Liq'!$U$5:$U$504,"&gt;="&amp;D101,'14_Motor_Liq'!$U$5:$U$504,"&lt;"&amp;E101)+SUMIFS('14_Motor_Liq'!$Z$5:$Z$504,'14_Motor_Liq'!$Y$5:$Y$504,"&gt;="&amp;D101,'14_Motor_Liq'!$Y$5:$Y$504,"&lt;"&amp;E101)+SUMIFS('14_Motor_Liq'!$AD$5:$AD$504,'14_Motor_Liq'!$AC$5:$AC$504,"&gt;="&amp;D101,'14_Motor_Liq'!$AC$5:$AC$504,"&lt;"&amp;E101)</f>
        <v>0</v>
      </c>
      <c r="H101" s="81" t="n">
        <f aca="false">SUMIFS('14_Motor_Liq'!$P$5:$P$504,'14_Motor_Liq'!$O$5:$O$504,"&gt;="&amp;D101,'14_Motor_Liq'!$O$5:$O$504,"&lt;"&amp;E101)+SUMIFS('14_Motor_Liq'!$T$5:$T$504,'14_Motor_Liq'!$S$5:$S$504,"&gt;="&amp;D101,'14_Motor_Liq'!$S$5:$S$504,"&lt;"&amp;E101)+SUMIFS('14_Motor_Liq'!$X$5:$X$504,'14_Motor_Liq'!$W$5:$W$504,"&gt;="&amp;D101,'14_Motor_Liq'!$W$5:$W$504,"&lt;"&amp;E101)+SUMIFS('14_Motor_Liq'!$AB$5:$AB$504,'14_Motor_Liq'!$AA$5:$AA$504,"&gt;="&amp;D101,'14_Motor_Liq'!$AA$5:$AA$504,"&lt;"&amp;E101)+SUMIFS('14_Motor_Liq'!$AF$5:$AF$504,'14_Motor_Liq'!$AE$5:$AE$504,"&gt;="&amp;D101,'14_Motor_Liq'!$AE$5:$AE$504,"&lt;"&amp;E101)</f>
        <v>0</v>
      </c>
      <c r="I101" s="82" t="n">
        <f aca="false">G101+H101</f>
        <v>0</v>
      </c>
      <c r="J101" s="88" t="str">
        <f aca="false">IF(MAX($I$44:$I$104)=0,"",REPT("|",ROUND(I101/MAX($I$44:$I$104)*45,0)))</f>
        <v/>
      </c>
      <c r="K101" s="84" t="n">
        <f aca="false">IF(B101&gt;0,SUMIFS($H$44:$H$104,$B$44:$B$104,"&gt;=0",$B$44:$B$104,"&lt;="&amp;B101),IF(B101&lt;0,SUMIFS($G$44:$G$104,$B$44:$B$104,"&lt;=0",$B$44:$B$104,"&gt;="&amp;B101),G101+H101))</f>
        <v>0</v>
      </c>
    </row>
    <row r="102" customFormat="false" ht="15" hidden="false" customHeight="false" outlineLevel="0" collapsed="false">
      <c r="A102" s="87" t="str">
        <f aca="false">IF(B102=0,"&lt;&lt; PRECIO ACTUAL",IF(AND(G102&gt;0,G102=MAX($G$44:$G$104)),"CLUSTER LONG MAYOR",IF(AND(H102&gt;0,H102=MAX($H$44:$H$104)),"CLUSTER SHORT MAYOR",IF(AND(ISNUMBER($B$31),B102=$B$31),"primer cluster long",IF(AND(ISNUMBER($B$34),B102=$B$34),"primer cluster short","")))))</f>
        <v/>
      </c>
      <c r="B102" s="76" t="n">
        <v>-28</v>
      </c>
      <c r="C102" s="77" t="n">
        <f aca="false">$B$5*(1+B102*$B$8)</f>
        <v>66630.22</v>
      </c>
      <c r="D102" s="78" t="n">
        <f aca="false">$B$5*(1+(B102-0.5)*$B$8)</f>
        <v>66436.5275</v>
      </c>
      <c r="E102" s="78" t="n">
        <f aca="false">$B$5*(1+(B102+0.5)*$B$8)</f>
        <v>66823.9125</v>
      </c>
      <c r="F102" s="79" t="n">
        <f aca="false">B102*$B$8</f>
        <v>-0.14</v>
      </c>
      <c r="G102" s="80" t="n">
        <f aca="false">SUMIFS('14_Motor_Liq'!$N$5:$N$504,'14_Motor_Liq'!$M$5:$M$504,"&gt;="&amp;D102,'14_Motor_Liq'!$M$5:$M$504,"&lt;"&amp;E102)+SUMIFS('14_Motor_Liq'!$R$5:$R$504,'14_Motor_Liq'!$Q$5:$Q$504,"&gt;="&amp;D102,'14_Motor_Liq'!$Q$5:$Q$504,"&lt;"&amp;E102)+SUMIFS('14_Motor_Liq'!$V$5:$V$504,'14_Motor_Liq'!$U$5:$U$504,"&gt;="&amp;D102,'14_Motor_Liq'!$U$5:$U$504,"&lt;"&amp;E102)+SUMIFS('14_Motor_Liq'!$Z$5:$Z$504,'14_Motor_Liq'!$Y$5:$Y$504,"&gt;="&amp;D102,'14_Motor_Liq'!$Y$5:$Y$504,"&lt;"&amp;E102)+SUMIFS('14_Motor_Liq'!$AD$5:$AD$504,'14_Motor_Liq'!$AC$5:$AC$504,"&gt;="&amp;D102,'14_Motor_Liq'!$AC$5:$AC$504,"&lt;"&amp;E102)</f>
        <v>0</v>
      </c>
      <c r="H102" s="81" t="n">
        <f aca="false">SUMIFS('14_Motor_Liq'!$P$5:$P$504,'14_Motor_Liq'!$O$5:$O$504,"&gt;="&amp;D102,'14_Motor_Liq'!$O$5:$O$504,"&lt;"&amp;E102)+SUMIFS('14_Motor_Liq'!$T$5:$T$504,'14_Motor_Liq'!$S$5:$S$504,"&gt;="&amp;D102,'14_Motor_Liq'!$S$5:$S$504,"&lt;"&amp;E102)+SUMIFS('14_Motor_Liq'!$X$5:$X$504,'14_Motor_Liq'!$W$5:$W$504,"&gt;="&amp;D102,'14_Motor_Liq'!$W$5:$W$504,"&lt;"&amp;E102)+SUMIFS('14_Motor_Liq'!$AB$5:$AB$504,'14_Motor_Liq'!$AA$5:$AA$504,"&gt;="&amp;D102,'14_Motor_Liq'!$AA$5:$AA$504,"&lt;"&amp;E102)+SUMIFS('14_Motor_Liq'!$AF$5:$AF$504,'14_Motor_Liq'!$AE$5:$AE$504,"&gt;="&amp;D102,'14_Motor_Liq'!$AE$5:$AE$504,"&lt;"&amp;E102)</f>
        <v>0</v>
      </c>
      <c r="I102" s="82" t="n">
        <f aca="false">G102+H102</f>
        <v>0</v>
      </c>
      <c r="J102" s="88" t="str">
        <f aca="false">IF(MAX($I$44:$I$104)=0,"",REPT("|",ROUND(I102/MAX($I$44:$I$104)*45,0)))</f>
        <v/>
      </c>
      <c r="K102" s="84" t="n">
        <f aca="false">IF(B102&gt;0,SUMIFS($H$44:$H$104,$B$44:$B$104,"&gt;=0",$B$44:$B$104,"&lt;="&amp;B102),IF(B102&lt;0,SUMIFS($G$44:$G$104,$B$44:$B$104,"&lt;=0",$B$44:$B$104,"&gt;="&amp;B102),G102+H102))</f>
        <v>0</v>
      </c>
    </row>
    <row r="103" customFormat="false" ht="15" hidden="false" customHeight="false" outlineLevel="0" collapsed="false">
      <c r="A103" s="87" t="str">
        <f aca="false">IF(B103=0,"&lt;&lt; PRECIO ACTUAL",IF(AND(G103&gt;0,G103=MAX($G$44:$G$104)),"CLUSTER LONG MAYOR",IF(AND(H103&gt;0,H103=MAX($H$44:$H$104)),"CLUSTER SHORT MAYOR",IF(AND(ISNUMBER($B$31),B103=$B$31),"primer cluster long",IF(AND(ISNUMBER($B$34),B103=$B$34),"primer cluster short","")))))</f>
        <v/>
      </c>
      <c r="B103" s="76" t="n">
        <v>-29</v>
      </c>
      <c r="C103" s="77" t="n">
        <f aca="false">$B$5*(1+B103*$B$8)</f>
        <v>66242.835</v>
      </c>
      <c r="D103" s="78" t="n">
        <f aca="false">$B$5*(1+(B103-0.5)*$B$8)</f>
        <v>66049.1425</v>
      </c>
      <c r="E103" s="78" t="n">
        <f aca="false">$B$5*(1+(B103+0.5)*$B$8)</f>
        <v>66436.5275</v>
      </c>
      <c r="F103" s="79" t="n">
        <f aca="false">B103*$B$8</f>
        <v>-0.145</v>
      </c>
      <c r="G103" s="80" t="n">
        <f aca="false">SUMIFS('14_Motor_Liq'!$N$5:$N$504,'14_Motor_Liq'!$M$5:$M$504,"&gt;="&amp;D103,'14_Motor_Liq'!$M$5:$M$504,"&lt;"&amp;E103)+SUMIFS('14_Motor_Liq'!$R$5:$R$504,'14_Motor_Liq'!$Q$5:$Q$504,"&gt;="&amp;D103,'14_Motor_Liq'!$Q$5:$Q$504,"&lt;"&amp;E103)+SUMIFS('14_Motor_Liq'!$V$5:$V$504,'14_Motor_Liq'!$U$5:$U$504,"&gt;="&amp;D103,'14_Motor_Liq'!$U$5:$U$504,"&lt;"&amp;E103)+SUMIFS('14_Motor_Liq'!$Z$5:$Z$504,'14_Motor_Liq'!$Y$5:$Y$504,"&gt;="&amp;D103,'14_Motor_Liq'!$Y$5:$Y$504,"&lt;"&amp;E103)+SUMIFS('14_Motor_Liq'!$AD$5:$AD$504,'14_Motor_Liq'!$AC$5:$AC$504,"&gt;="&amp;D103,'14_Motor_Liq'!$AC$5:$AC$504,"&lt;"&amp;E103)</f>
        <v>0</v>
      </c>
      <c r="H103" s="81" t="n">
        <f aca="false">SUMIFS('14_Motor_Liq'!$P$5:$P$504,'14_Motor_Liq'!$O$5:$O$504,"&gt;="&amp;D103,'14_Motor_Liq'!$O$5:$O$504,"&lt;"&amp;E103)+SUMIFS('14_Motor_Liq'!$T$5:$T$504,'14_Motor_Liq'!$S$5:$S$504,"&gt;="&amp;D103,'14_Motor_Liq'!$S$5:$S$504,"&lt;"&amp;E103)+SUMIFS('14_Motor_Liq'!$X$5:$X$504,'14_Motor_Liq'!$W$5:$W$504,"&gt;="&amp;D103,'14_Motor_Liq'!$W$5:$W$504,"&lt;"&amp;E103)+SUMIFS('14_Motor_Liq'!$AB$5:$AB$504,'14_Motor_Liq'!$AA$5:$AA$504,"&gt;="&amp;D103,'14_Motor_Liq'!$AA$5:$AA$504,"&lt;"&amp;E103)+SUMIFS('14_Motor_Liq'!$AF$5:$AF$504,'14_Motor_Liq'!$AE$5:$AE$504,"&gt;="&amp;D103,'14_Motor_Liq'!$AE$5:$AE$504,"&lt;"&amp;E103)</f>
        <v>0</v>
      </c>
      <c r="I103" s="82" t="n">
        <f aca="false">G103+H103</f>
        <v>0</v>
      </c>
      <c r="J103" s="88" t="str">
        <f aca="false">IF(MAX($I$44:$I$104)=0,"",REPT("|",ROUND(I103/MAX($I$44:$I$104)*45,0)))</f>
        <v/>
      </c>
      <c r="K103" s="84" t="n">
        <f aca="false">IF(B103&gt;0,SUMIFS($H$44:$H$104,$B$44:$B$104,"&gt;=0",$B$44:$B$104,"&lt;="&amp;B103),IF(B103&lt;0,SUMIFS($G$44:$G$104,$B$44:$B$104,"&lt;=0",$B$44:$B$104,"&gt;="&amp;B103),G103+H103))</f>
        <v>0</v>
      </c>
    </row>
    <row r="104" customFormat="false" ht="15" hidden="false" customHeight="false" outlineLevel="0" collapsed="false">
      <c r="A104" s="87" t="str">
        <f aca="false">IF(B104=0,"&lt;&lt; PRECIO ACTUAL",IF(AND(G104&gt;0,G104=MAX($G$44:$G$104)),"CLUSTER LONG MAYOR",IF(AND(H104&gt;0,H104=MAX($H$44:$H$104)),"CLUSTER SHORT MAYOR",IF(AND(ISNUMBER($B$31),B104=$B$31),"primer cluster long",IF(AND(ISNUMBER($B$34),B104=$B$34),"primer cluster short","")))))</f>
        <v/>
      </c>
      <c r="B104" s="76" t="n">
        <v>-30</v>
      </c>
      <c r="C104" s="77" t="n">
        <f aca="false">$B$5*(1+B104*$B$8)</f>
        <v>65855.45</v>
      </c>
      <c r="D104" s="78" t="n">
        <f aca="false">$B$5*(1+(B104-0.5)*$B$8)</f>
        <v>65661.7575</v>
      </c>
      <c r="E104" s="78" t="n">
        <f aca="false">$B$5*(1+(B104+0.5)*$B$8)</f>
        <v>66049.1425</v>
      </c>
      <c r="F104" s="79" t="n">
        <f aca="false">B104*$B$8</f>
        <v>-0.15</v>
      </c>
      <c r="G104" s="80" t="n">
        <f aca="false">SUMIFS('14_Motor_Liq'!$N$5:$N$504,'14_Motor_Liq'!$M$5:$M$504,"&gt;="&amp;D104,'14_Motor_Liq'!$M$5:$M$504,"&lt;"&amp;E104)+SUMIFS('14_Motor_Liq'!$R$5:$R$504,'14_Motor_Liq'!$Q$5:$Q$504,"&gt;="&amp;D104,'14_Motor_Liq'!$Q$5:$Q$504,"&lt;"&amp;E104)+SUMIFS('14_Motor_Liq'!$V$5:$V$504,'14_Motor_Liq'!$U$5:$U$504,"&gt;="&amp;D104,'14_Motor_Liq'!$U$5:$U$504,"&lt;"&amp;E104)+SUMIFS('14_Motor_Liq'!$Z$5:$Z$504,'14_Motor_Liq'!$Y$5:$Y$504,"&gt;="&amp;D104,'14_Motor_Liq'!$Y$5:$Y$504,"&lt;"&amp;E104)+SUMIFS('14_Motor_Liq'!$AD$5:$AD$504,'14_Motor_Liq'!$AC$5:$AC$504,"&gt;="&amp;D104,'14_Motor_Liq'!$AC$5:$AC$504,"&lt;"&amp;E104)</f>
        <v>0</v>
      </c>
      <c r="H104" s="81" t="n">
        <f aca="false">SUMIFS('14_Motor_Liq'!$P$5:$P$504,'14_Motor_Liq'!$O$5:$O$504,"&gt;="&amp;D104,'14_Motor_Liq'!$O$5:$O$504,"&lt;"&amp;E104)+SUMIFS('14_Motor_Liq'!$T$5:$T$504,'14_Motor_Liq'!$S$5:$S$504,"&gt;="&amp;D104,'14_Motor_Liq'!$S$5:$S$504,"&lt;"&amp;E104)+SUMIFS('14_Motor_Liq'!$X$5:$X$504,'14_Motor_Liq'!$W$5:$W$504,"&gt;="&amp;D104,'14_Motor_Liq'!$W$5:$W$504,"&lt;"&amp;E104)+SUMIFS('14_Motor_Liq'!$AB$5:$AB$504,'14_Motor_Liq'!$AA$5:$AA$504,"&gt;="&amp;D104,'14_Motor_Liq'!$AA$5:$AA$504,"&lt;"&amp;E104)+SUMIFS('14_Motor_Liq'!$AF$5:$AF$504,'14_Motor_Liq'!$AE$5:$AE$504,"&gt;="&amp;D104,'14_Motor_Liq'!$AE$5:$AE$504,"&lt;"&amp;E104)</f>
        <v>0</v>
      </c>
      <c r="I104" s="82" t="n">
        <f aca="false">G104+H104</f>
        <v>0</v>
      </c>
      <c r="J104" s="88" t="str">
        <f aca="false">IF(MAX($I$44:$I$104)=0,"",REPT("|",ROUND(I104/MAX($I$44:$I$104)*45,0)))</f>
        <v/>
      </c>
      <c r="K104" s="84" t="n">
        <f aca="false">IF(B104&gt;0,SUMIFS($H$44:$H$104,$B$44:$B$104,"&gt;=0",$B$44:$B$104,"&lt;="&amp;B104),IF(B104&lt;0,SUMIFS($G$44:$G$104,$B$44:$B$104,"&lt;=0",$B$44:$B$104,"&gt;="&amp;B104),G104+H104))</f>
        <v>0</v>
      </c>
    </row>
  </sheetData>
  <mergeCells count="57">
    <mergeCell ref="A1:K1"/>
    <mergeCell ref="A2:K2"/>
    <mergeCell ref="A4:K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0"/>
    <mergeCell ref="D10:K10"/>
    <mergeCell ref="B11:C11"/>
    <mergeCell ref="D11:K11"/>
    <mergeCell ref="A13:K13"/>
    <mergeCell ref="A22:K22"/>
    <mergeCell ref="B23:C23"/>
    <mergeCell ref="D23:K23"/>
    <mergeCell ref="B24:C24"/>
    <mergeCell ref="D24:K24"/>
    <mergeCell ref="B25:C25"/>
    <mergeCell ref="D25:K25"/>
    <mergeCell ref="B26:C26"/>
    <mergeCell ref="D26:K26"/>
    <mergeCell ref="B27:C27"/>
    <mergeCell ref="D27:K27"/>
    <mergeCell ref="B28:C28"/>
    <mergeCell ref="D28:K28"/>
    <mergeCell ref="B29:C29"/>
    <mergeCell ref="D29:K29"/>
    <mergeCell ref="B30:C30"/>
    <mergeCell ref="D30:K30"/>
    <mergeCell ref="B31:C31"/>
    <mergeCell ref="D31:K31"/>
    <mergeCell ref="B32:C32"/>
    <mergeCell ref="D32:K32"/>
    <mergeCell ref="B33:C33"/>
    <mergeCell ref="D33:K33"/>
    <mergeCell ref="B34:C34"/>
    <mergeCell ref="D34:K34"/>
    <mergeCell ref="B35:C35"/>
    <mergeCell ref="D35:K35"/>
    <mergeCell ref="B36:C36"/>
    <mergeCell ref="D36:K36"/>
    <mergeCell ref="B37:C37"/>
    <mergeCell ref="D37:K37"/>
    <mergeCell ref="B38:C38"/>
    <mergeCell ref="D38:K38"/>
    <mergeCell ref="B39:C39"/>
    <mergeCell ref="D39:K39"/>
    <mergeCell ref="B40:C40"/>
    <mergeCell ref="D40:K40"/>
    <mergeCell ref="B41:K41"/>
    <mergeCell ref="A42:K42"/>
  </mergeCells>
  <conditionalFormatting sqref="G44:G104">
    <cfRule type="dataBar" priority="2">
      <dataBar showValue="1" minLength="10" maxLength="90">
        <cfvo type="num" val="0"/>
        <cfvo type="max" val="0"/>
        <color rgb="FFE06666"/>
      </dataBar>
      <extLst>
        <ext xmlns:x14="http://schemas.microsoft.com/office/spreadsheetml/2009/9/main" uri="{B025F937-C7B1-47D3-B67F-A62EFF666E3E}">
          <x14:id>{9FF189A9-E482-41FD-8C22-F5F31A37B85D}</x14:id>
        </ext>
      </extLst>
    </cfRule>
  </conditionalFormatting>
  <conditionalFormatting sqref="H44:H104">
    <cfRule type="dataBar" priority="3">
      <dataBar showValue="1" minLength="10" maxLength="90">
        <cfvo type="num" val="0"/>
        <cfvo type="max" val="0"/>
        <color rgb="FF6AA84F"/>
      </dataBar>
      <extLst>
        <ext xmlns:x14="http://schemas.microsoft.com/office/spreadsheetml/2009/9/main" uri="{B025F937-C7B1-47D3-B67F-A62EFF666E3E}">
          <x14:id>{2D2CA0CF-82D4-496F-B9CF-EF6075BEBBC0}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F189A9-E482-41FD-8C22-F5F31A37B85D}">
            <x14:dataBar minLength="10" maxLength="90" axisPosition="none" gradient="true">
              <x14:cfvo type="num">
                <xm:f>0</xm:f>
              </x14:cfvo>
              <x14:cfvo type="max"/>
              <x14:negativeFillColor rgb="FFE06666"/>
              <x14:axisColor rgb="FF000000"/>
            </x14:dataBar>
          </x14:cfRule>
          <xm:sqref>G44:G104</xm:sqref>
        </x14:conditionalFormatting>
        <x14:conditionalFormatting xmlns:xm="http://schemas.microsoft.com/office/excel/2006/main">
          <x14:cfRule type="dataBar" id="{2D2CA0CF-82D4-496F-B9CF-EF6075BEBBC0}">
            <x14:dataBar minLength="10" maxLength="90" axisPosition="none" gradient="true">
              <x14:cfvo type="num">
                <xm:f>0</xm:f>
              </x14:cfvo>
              <x14:cfvo type="max"/>
              <x14:negativeFillColor rgb="FF6AA84F"/>
              <x14:axisColor rgb="FF000000"/>
            </x14:dataBar>
          </x14:cfRule>
          <xm:sqref>H44:H104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Y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7"/>
    <col collapsed="false" customWidth="true" hidden="false" outlineLevel="0" max="4" min="4" style="0" width="19"/>
    <col collapsed="false" customWidth="true" hidden="false" outlineLevel="0" max="5" min="5" style="0" width="50"/>
    <col collapsed="false" customWidth="true" hidden="false" outlineLevel="0" max="12" min="6" style="0" width="3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3"/>
    <col collapsed="false" customWidth="true" hidden="false" outlineLevel="0" max="20" min="20" style="0" width="15"/>
    <col collapsed="false" customWidth="true" hidden="false" outlineLevel="0" max="21" min="21" style="0" width="17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3"/>
  </cols>
  <sheetData>
    <row r="1" customFormat="false" ht="21.75" hidden="false" customHeight="true" outlineLevel="0" collapsed="false">
      <c r="A1" s="41" t="s">
        <v>553</v>
      </c>
      <c r="B1" s="41"/>
      <c r="C1" s="41"/>
      <c r="D1" s="41"/>
      <c r="E1" s="41"/>
    </row>
    <row r="2" customFormat="false" ht="15" hidden="false" customHeight="false" outlineLevel="0" collapsed="false">
      <c r="A2" s="62" t="s">
        <v>554</v>
      </c>
      <c r="B2" s="62"/>
      <c r="C2" s="62"/>
      <c r="D2" s="62"/>
      <c r="E2" s="62"/>
    </row>
    <row r="3" customFormat="false" ht="15" hidden="false" customHeight="false" outlineLevel="0" collapsed="false">
      <c r="M3" s="89" t="s">
        <v>555</v>
      </c>
      <c r="T3" s="89" t="s">
        <v>556</v>
      </c>
    </row>
    <row r="4" customFormat="false" ht="15" hidden="false" customHeight="false" outlineLevel="0" collapsed="false">
      <c r="A4" s="40" t="s">
        <v>557</v>
      </c>
      <c r="B4" s="40"/>
      <c r="C4" s="40"/>
      <c r="D4" s="40"/>
      <c r="E4" s="40"/>
      <c r="M4" s="90" t="s">
        <v>558</v>
      </c>
      <c r="N4" s="90" t="s">
        <v>559</v>
      </c>
      <c r="O4" s="90" t="s">
        <v>560</v>
      </c>
      <c r="P4" s="90" t="s">
        <v>97</v>
      </c>
      <c r="Q4" s="90" t="s">
        <v>242</v>
      </c>
      <c r="R4" s="90" t="s">
        <v>13</v>
      </c>
      <c r="T4" s="90" t="s">
        <v>558</v>
      </c>
      <c r="U4" s="90" t="s">
        <v>559</v>
      </c>
      <c r="V4" s="90" t="s">
        <v>560</v>
      </c>
      <c r="W4" s="90" t="s">
        <v>97</v>
      </c>
      <c r="X4" s="90" t="s">
        <v>242</v>
      </c>
      <c r="Y4" s="90" t="s">
        <v>13</v>
      </c>
    </row>
    <row r="5" customFormat="false" ht="22.35" hidden="false" customHeight="false" outlineLevel="0" collapsed="false">
      <c r="A5" s="37" t="s">
        <v>561</v>
      </c>
      <c r="B5" s="60" t="n">
        <v>0.5</v>
      </c>
      <c r="E5" s="13" t="s">
        <v>562</v>
      </c>
    </row>
    <row r="6" customFormat="false" ht="15" hidden="false" customHeight="false" outlineLevel="0" collapsed="false">
      <c r="A6" s="37" t="s">
        <v>563</v>
      </c>
      <c r="B6" s="91" t="s">
        <v>564</v>
      </c>
      <c r="C6" s="91"/>
      <c r="D6" s="91"/>
      <c r="E6" s="13" t="s">
        <v>565</v>
      </c>
    </row>
    <row r="7" customFormat="false" ht="15" hidden="false" customHeight="false" outlineLevel="0" collapsed="false">
      <c r="A7" s="37" t="s">
        <v>566</v>
      </c>
      <c r="B7" s="92" t="n">
        <v>-4</v>
      </c>
      <c r="E7" s="13" t="s">
        <v>567</v>
      </c>
    </row>
    <row r="8" customFormat="false" ht="15" hidden="false" customHeight="false" outlineLevel="0" collapsed="false">
      <c r="A8" s="37" t="s">
        <v>568</v>
      </c>
      <c r="B8" s="93" t="n">
        <f aca="true">ROUND((NOW()-DATE(1970,1,1)-B7/24)*86400000,0)</f>
        <v>1790012128845</v>
      </c>
      <c r="E8" s="13" t="s">
        <v>569</v>
      </c>
    </row>
    <row r="10" customFormat="false" ht="15" hidden="false" customHeight="false" outlineLevel="0" collapsed="false">
      <c r="A10" s="40" t="s">
        <v>570</v>
      </c>
      <c r="B10" s="40"/>
      <c r="C10" s="40"/>
      <c r="D10" s="40"/>
      <c r="E10" s="40"/>
    </row>
    <row r="11" customFormat="false" ht="30" hidden="false" customHeight="true" outlineLevel="0" collapsed="false">
      <c r="A11" s="5" t="s">
        <v>3</v>
      </c>
      <c r="B11" s="5" t="s">
        <v>268</v>
      </c>
      <c r="C11" s="5" t="s">
        <v>16</v>
      </c>
      <c r="D11" s="5" t="s">
        <v>571</v>
      </c>
      <c r="E11" s="5" t="s">
        <v>9</v>
      </c>
    </row>
    <row r="12" customFormat="false" ht="15" hidden="false" customHeight="false" outlineLevel="0" collapsed="false">
      <c r="A12" s="37" t="s">
        <v>572</v>
      </c>
      <c r="B12" s="94" t="n">
        <f aca="false">SUMIFS($R$5:$R$5004,$O$5:$O$5004,"LONG",$M$5:$M$5004,"&gt;="&amp;($B$8-1*3600000))</f>
        <v>0</v>
      </c>
      <c r="C12" s="94" t="n">
        <f aca="false">SUMIFS($Y$5:$Y$50004,$V$5:$V$50004,"LONG",$T$5:$T$50004,"&gt;="&amp;($B$8-1*3600000))</f>
        <v>0</v>
      </c>
      <c r="D12" s="95" t="n">
        <f aca="false">(B12+C12)/$B$5</f>
        <v>0</v>
      </c>
      <c r="E12" s="13" t="s">
        <v>573</v>
      </c>
    </row>
    <row r="13" customFormat="false" ht="15" hidden="false" customHeight="false" outlineLevel="0" collapsed="false">
      <c r="A13" s="37" t="s">
        <v>574</v>
      </c>
      <c r="B13" s="94" t="n">
        <f aca="false">SUMIFS($R$5:$R$5004,$O$5:$O$5004,"SHORT",$M$5:$M$5004,"&gt;="&amp;($B$8-1*3600000))</f>
        <v>0</v>
      </c>
      <c r="C13" s="94" t="n">
        <f aca="false">SUMIFS($Y$5:$Y$50004,$V$5:$V$50004,"SHORT",$T$5:$T$50004,"&gt;="&amp;($B$8-1*3600000))</f>
        <v>0</v>
      </c>
      <c r="D13" s="95" t="n">
        <f aca="false">(B13+C13)/$B$5</f>
        <v>0</v>
      </c>
      <c r="E13" s="13"/>
    </row>
    <row r="14" customFormat="false" ht="15" hidden="false" customHeight="false" outlineLevel="0" collapsed="false">
      <c r="A14" s="37" t="s">
        <v>575</v>
      </c>
      <c r="B14" s="94" t="n">
        <f aca="false">SUMIFS($R$5:$R$5004,$O$5:$O$5004,"LONG",$M$5:$M$5004,"&gt;="&amp;($B$8-4*3600000))</f>
        <v>0</v>
      </c>
      <c r="C14" s="94" t="n">
        <f aca="false">SUMIFS($Y$5:$Y$50004,$V$5:$V$50004,"LONG",$T$5:$T$50004,"&gt;="&amp;($B$8-4*3600000))</f>
        <v>0</v>
      </c>
      <c r="D14" s="95" t="n">
        <f aca="false">(B14+C14)/$B$5</f>
        <v>0</v>
      </c>
      <c r="E14" s="13"/>
    </row>
    <row r="15" customFormat="false" ht="15" hidden="false" customHeight="false" outlineLevel="0" collapsed="false">
      <c r="A15" s="37" t="s">
        <v>576</v>
      </c>
      <c r="B15" s="94" t="n">
        <f aca="false">SUMIFS($R$5:$R$5004,$O$5:$O$5004,"SHORT",$M$5:$M$5004,"&gt;="&amp;($B$8-4*3600000))</f>
        <v>0</v>
      </c>
      <c r="C15" s="94" t="n">
        <f aca="false">SUMIFS($Y$5:$Y$50004,$V$5:$V$50004,"SHORT",$T$5:$T$50004,"&gt;="&amp;($B$8-4*3600000))</f>
        <v>0</v>
      </c>
      <c r="D15" s="95" t="n">
        <f aca="false">(B15+C15)/$B$5</f>
        <v>0</v>
      </c>
      <c r="E15" s="13"/>
    </row>
    <row r="16" customFormat="false" ht="15" hidden="false" customHeight="false" outlineLevel="0" collapsed="false">
      <c r="A16" s="37" t="s">
        <v>386</v>
      </c>
      <c r="B16" s="94" t="n">
        <f aca="false">SUMIFS($R$5:$R$5004,$O$5:$O$5004,"LONG",$M$5:$M$5004,"&gt;="&amp;($B$8-24*3600000))</f>
        <v>0</v>
      </c>
      <c r="C16" s="94" t="n">
        <f aca="false">SUMIFS($Y$5:$Y$50004,$V$5:$V$50004,"LONG",$T$5:$T$50004,"&gt;="&amp;($B$8-24*3600000))</f>
        <v>0</v>
      </c>
      <c r="D16" s="95" t="n">
        <f aca="false">(B16+C16)/$B$5</f>
        <v>0</v>
      </c>
      <c r="E16" s="13" t="s">
        <v>577</v>
      </c>
    </row>
    <row r="17" customFormat="false" ht="15" hidden="false" customHeight="false" outlineLevel="0" collapsed="false">
      <c r="A17" s="37" t="s">
        <v>389</v>
      </c>
      <c r="B17" s="94" t="n">
        <f aca="false">SUMIFS($R$5:$R$5004,$O$5:$O$5004,"SHORT",$M$5:$M$5004,"&gt;="&amp;($B$8-24*3600000))</f>
        <v>0</v>
      </c>
      <c r="C17" s="94" t="n">
        <f aca="false">SUMIFS($Y$5:$Y$50004,$V$5:$V$50004,"SHORT",$T$5:$T$50004,"&gt;="&amp;($B$8-24*3600000))</f>
        <v>0</v>
      </c>
      <c r="D17" s="95" t="n">
        <f aca="false">(B17+C17)/$B$5</f>
        <v>0</v>
      </c>
      <c r="E17" s="13"/>
    </row>
    <row r="18" customFormat="false" ht="15" hidden="false" customHeight="false" outlineLevel="0" collapsed="false">
      <c r="A18" s="37" t="s">
        <v>578</v>
      </c>
      <c r="B18" s="96" t="str">
        <f aca="false">IF(B12+B13=0,"n/d",B12/(B12+B13))</f>
        <v>n/d</v>
      </c>
      <c r="C18" s="96" t="str">
        <f aca="false">IF(C12+C13=0,"n/d",C12/(C12+C13))</f>
        <v>n/d</v>
      </c>
      <c r="D18" s="51" t="str">
        <f aca="false">IF(D12+D13=0,"n/d",D12/(D12+D13))</f>
        <v>n/d</v>
      </c>
      <c r="E18" s="13" t="s">
        <v>579</v>
      </c>
    </row>
    <row r="19" customFormat="false" ht="15" hidden="false" customHeight="false" outlineLevel="0" collapsed="false">
      <c r="A19" s="37" t="s">
        <v>580</v>
      </c>
      <c r="B19" s="77" t="n">
        <f aca="false">COUNTIFS($M$5:$M$5004,"&gt;="&amp;($B$8-3600000))</f>
        <v>0</v>
      </c>
      <c r="C19" s="77" t="n">
        <f aca="false">COUNTIFS($T$5:$T$50004,"&gt;="&amp;($B$8-3600000))</f>
        <v>0</v>
      </c>
      <c r="D19" s="48" t="n">
        <f aca="false">(B19+C19)/$B$5</f>
        <v>0</v>
      </c>
      <c r="E19" s="13" t="s">
        <v>581</v>
      </c>
    </row>
    <row r="20" customFormat="false" ht="15" hidden="false" customHeight="false" outlineLevel="0" collapsed="false">
      <c r="A20" s="37" t="s">
        <v>582</v>
      </c>
      <c r="B20" s="94" t="n">
        <f aca="false">_xlfn.MAXIFS($R$5:$R$5004,$M$5:$M$5004,"&gt;="&amp;($B$8-86400000))</f>
        <v>0</v>
      </c>
      <c r="C20" s="94" t="n">
        <f aca="false">_xlfn.MAXIFS($Y$5:$Y$50004,$T$5:$T$50004,"&gt;="&amp;($B$8-86400000))</f>
        <v>0</v>
      </c>
      <c r="D20" s="95" t="n">
        <f aca="false">MAX(B20,C20)</f>
        <v>0</v>
      </c>
      <c r="E20" s="13" t="s">
        <v>583</v>
      </c>
    </row>
    <row r="21" customFormat="false" ht="15" hidden="false" customHeight="false" outlineLevel="0" collapsed="false">
      <c r="A21" s="37" t="s">
        <v>584</v>
      </c>
      <c r="B21" s="77" t="str">
        <f aca="false">IF(B12=0,"n/d",SUMPRODUCT(($O$5:$O$5004="LONG")*($M$5:$M$5004&gt;=$B$8-3600000)*$P$5:$P$5004*$R$5:$R$5004)/B12)</f>
        <v>n/d</v>
      </c>
      <c r="C21" s="77" t="str">
        <f aca="false">IF(C12=0,"n/d",SUMPRODUCT(($V$5:$V$50004="LONG")*($T$5:$T$50004&gt;=$B$8-3600000)*$W$5:$W$50004*$Y$5:$Y$50004)/C12)</f>
        <v>n/d</v>
      </c>
      <c r="D21" s="48" t="str">
        <f aca="false">IFERROR((N(B21)*B12+N(C21)*C12)/(B12+C12),"n/d")</f>
        <v>n/d</v>
      </c>
      <c r="E21" s="13" t="s">
        <v>585</v>
      </c>
    </row>
    <row r="22" customFormat="false" ht="15" hidden="false" customHeight="false" outlineLevel="0" collapsed="false">
      <c r="A22" s="37" t="s">
        <v>586</v>
      </c>
      <c r="B22" s="77" t="str">
        <f aca="false">IF(B13=0,"n/d",SUMPRODUCT(($O$5:$O$5004="SHORT")*($M$5:$M$5004&gt;=$B$8-3600000)*$P$5:$P$5004*$R$5:$R$5004)/B13)</f>
        <v>n/d</v>
      </c>
      <c r="C22" s="77" t="str">
        <f aca="false">IF(C13=0,"n/d",SUMPRODUCT(($V$5:$V$50004="SHORT")*($T$5:$T$50004&gt;=$B$8-3600000)*$W$5:$W$50004*$Y$5:$Y$50004)/C13)</f>
        <v>n/d</v>
      </c>
      <c r="D22" s="48" t="str">
        <f aca="false">IFERROR((N(B22)*B13+N(C22)*C13)/(B13+C13),"n/d")</f>
        <v>n/d</v>
      </c>
      <c r="E22" s="13" t="s">
        <v>587</v>
      </c>
    </row>
    <row r="24" customFormat="false" ht="15" hidden="false" customHeight="false" outlineLevel="0" collapsed="false">
      <c r="A24" s="40" t="s">
        <v>588</v>
      </c>
      <c r="B24" s="40"/>
      <c r="C24" s="40"/>
      <c r="D24" s="40"/>
      <c r="E24" s="40"/>
    </row>
    <row r="25" customFormat="false" ht="30" hidden="false" customHeight="true" outlineLevel="0" collapsed="false">
      <c r="A25" s="5" t="s">
        <v>589</v>
      </c>
      <c r="B25" s="5" t="s">
        <v>590</v>
      </c>
      <c r="C25" s="5" t="s">
        <v>591</v>
      </c>
      <c r="D25" s="5" t="s">
        <v>550</v>
      </c>
      <c r="E25" s="5" t="s">
        <v>592</v>
      </c>
    </row>
    <row r="26" customFormat="false" ht="15" hidden="false" customHeight="false" outlineLevel="0" collapsed="false">
      <c r="A26" s="11" t="s">
        <v>593</v>
      </c>
      <c r="B26" s="97" t="n">
        <f aca="false">SUMIFS($R$5:$R$5004,$O$5:$O$5004,"LONG",$M$5:$M$5004,"&gt;="&amp;($B$8-120*60000),$M$5:$M$5004,"&lt;"&amp;($B$8-115*60000))+SUMIFS($Y$5:$Y$50004,$V$5:$V$50004,"LONG",$T$5:$T$50004,"&gt;="&amp;($B$8-120*60000),$T$5:$T$50004,"&lt;"&amp;($B$8-115*60000))</f>
        <v>0</v>
      </c>
      <c r="C26" s="98" t="n">
        <f aca="false">SUMIFS($R$5:$R$5004,$O$5:$O$5004,"SHORT",$M$5:$M$5004,"&gt;="&amp;($B$8-120*60000),$M$5:$M$5004,"&lt;"&amp;($B$8-115*60000))+SUMIFS($Y$5:$Y$50004,$V$5:$V$50004,"SHORT",$T$5:$T$50004,"&gt;="&amp;($B$8-120*60000),$T$5:$T$50004,"&lt;"&amp;($B$8-115*60000))</f>
        <v>0</v>
      </c>
      <c r="D26" s="99" t="n">
        <f aca="false">B26+C26</f>
        <v>0</v>
      </c>
      <c r="E26" s="87" t="str">
        <f aca="false">IF(AND(D26&gt;0,D26&gt;=3*MAX($B$51,1)),IF(B26&gt;C26,"&lt;&lt; CASCADA LONG","&lt;&lt; SQUEEZE SHORT"),"")</f>
        <v/>
      </c>
    </row>
    <row r="27" customFormat="false" ht="15" hidden="false" customHeight="false" outlineLevel="0" collapsed="false">
      <c r="A27" s="11" t="s">
        <v>594</v>
      </c>
      <c r="B27" s="97" t="n">
        <f aca="false">SUMIFS($R$5:$R$5004,$O$5:$O$5004,"LONG",$M$5:$M$5004,"&gt;="&amp;($B$8-115*60000),$M$5:$M$5004,"&lt;"&amp;($B$8-110*60000))+SUMIFS($Y$5:$Y$50004,$V$5:$V$50004,"LONG",$T$5:$T$50004,"&gt;="&amp;($B$8-115*60000),$T$5:$T$50004,"&lt;"&amp;($B$8-110*60000))</f>
        <v>0</v>
      </c>
      <c r="C27" s="98" t="n">
        <f aca="false">SUMIFS($R$5:$R$5004,$O$5:$O$5004,"SHORT",$M$5:$M$5004,"&gt;="&amp;($B$8-115*60000),$M$5:$M$5004,"&lt;"&amp;($B$8-110*60000))+SUMIFS($Y$5:$Y$50004,$V$5:$V$50004,"SHORT",$T$5:$T$50004,"&gt;="&amp;($B$8-115*60000),$T$5:$T$50004,"&lt;"&amp;($B$8-110*60000))</f>
        <v>0</v>
      </c>
      <c r="D27" s="99" t="n">
        <f aca="false">B27+C27</f>
        <v>0</v>
      </c>
      <c r="E27" s="87" t="str">
        <f aca="false">IF(AND(D27&gt;0,D27&gt;=3*MAX($B$51,1)),IF(B27&gt;C27,"&lt;&lt; CASCADA LONG","&lt;&lt; SQUEEZE SHORT"),"")</f>
        <v/>
      </c>
    </row>
    <row r="28" customFormat="false" ht="15" hidden="false" customHeight="false" outlineLevel="0" collapsed="false">
      <c r="A28" s="11" t="s">
        <v>595</v>
      </c>
      <c r="B28" s="97" t="n">
        <f aca="false">SUMIFS($R$5:$R$5004,$O$5:$O$5004,"LONG",$M$5:$M$5004,"&gt;="&amp;($B$8-110*60000),$M$5:$M$5004,"&lt;"&amp;($B$8-105*60000))+SUMIFS($Y$5:$Y$50004,$V$5:$V$50004,"LONG",$T$5:$T$50004,"&gt;="&amp;($B$8-110*60000),$T$5:$T$50004,"&lt;"&amp;($B$8-105*60000))</f>
        <v>0</v>
      </c>
      <c r="C28" s="98" t="n">
        <f aca="false">SUMIFS($R$5:$R$5004,$O$5:$O$5004,"SHORT",$M$5:$M$5004,"&gt;="&amp;($B$8-110*60000),$M$5:$M$5004,"&lt;"&amp;($B$8-105*60000))+SUMIFS($Y$5:$Y$50004,$V$5:$V$50004,"SHORT",$T$5:$T$50004,"&gt;="&amp;($B$8-110*60000),$T$5:$T$50004,"&lt;"&amp;($B$8-105*60000))</f>
        <v>0</v>
      </c>
      <c r="D28" s="99" t="n">
        <f aca="false">B28+C28</f>
        <v>0</v>
      </c>
      <c r="E28" s="87" t="str">
        <f aca="false">IF(AND(D28&gt;0,D28&gt;=3*MAX($B$51,1)),IF(B28&gt;C28,"&lt;&lt; CASCADA LONG","&lt;&lt; SQUEEZE SHORT"),"")</f>
        <v/>
      </c>
    </row>
    <row r="29" customFormat="false" ht="15" hidden="false" customHeight="false" outlineLevel="0" collapsed="false">
      <c r="A29" s="11" t="s">
        <v>596</v>
      </c>
      <c r="B29" s="97" t="n">
        <f aca="false">SUMIFS($R$5:$R$5004,$O$5:$O$5004,"LONG",$M$5:$M$5004,"&gt;="&amp;($B$8-105*60000),$M$5:$M$5004,"&lt;"&amp;($B$8-100*60000))+SUMIFS($Y$5:$Y$50004,$V$5:$V$50004,"LONG",$T$5:$T$50004,"&gt;="&amp;($B$8-105*60000),$T$5:$T$50004,"&lt;"&amp;($B$8-100*60000))</f>
        <v>0</v>
      </c>
      <c r="C29" s="98" t="n">
        <f aca="false">SUMIFS($R$5:$R$5004,$O$5:$O$5004,"SHORT",$M$5:$M$5004,"&gt;="&amp;($B$8-105*60000),$M$5:$M$5004,"&lt;"&amp;($B$8-100*60000))+SUMIFS($Y$5:$Y$50004,$V$5:$V$50004,"SHORT",$T$5:$T$50004,"&gt;="&amp;($B$8-105*60000),$T$5:$T$50004,"&lt;"&amp;($B$8-100*60000))</f>
        <v>0</v>
      </c>
      <c r="D29" s="99" t="n">
        <f aca="false">B29+C29</f>
        <v>0</v>
      </c>
      <c r="E29" s="87" t="str">
        <f aca="false">IF(AND(D29&gt;0,D29&gt;=3*MAX($B$51,1)),IF(B29&gt;C29,"&lt;&lt; CASCADA LONG","&lt;&lt; SQUEEZE SHORT"),"")</f>
        <v/>
      </c>
    </row>
    <row r="30" customFormat="false" ht="15" hidden="false" customHeight="false" outlineLevel="0" collapsed="false">
      <c r="A30" s="11" t="s">
        <v>597</v>
      </c>
      <c r="B30" s="97" t="n">
        <f aca="false">SUMIFS($R$5:$R$5004,$O$5:$O$5004,"LONG",$M$5:$M$5004,"&gt;="&amp;($B$8-100*60000),$M$5:$M$5004,"&lt;"&amp;($B$8-95*60000))+SUMIFS($Y$5:$Y$50004,$V$5:$V$50004,"LONG",$T$5:$T$50004,"&gt;="&amp;($B$8-100*60000),$T$5:$T$50004,"&lt;"&amp;($B$8-95*60000))</f>
        <v>0</v>
      </c>
      <c r="C30" s="98" t="n">
        <f aca="false">SUMIFS($R$5:$R$5004,$O$5:$O$5004,"SHORT",$M$5:$M$5004,"&gt;="&amp;($B$8-100*60000),$M$5:$M$5004,"&lt;"&amp;($B$8-95*60000))+SUMIFS($Y$5:$Y$50004,$V$5:$V$50004,"SHORT",$T$5:$T$50004,"&gt;="&amp;($B$8-100*60000),$T$5:$T$50004,"&lt;"&amp;($B$8-95*60000))</f>
        <v>0</v>
      </c>
      <c r="D30" s="99" t="n">
        <f aca="false">B30+C30</f>
        <v>0</v>
      </c>
      <c r="E30" s="87" t="str">
        <f aca="false">IF(AND(D30&gt;0,D30&gt;=3*MAX($B$51,1)),IF(B30&gt;C30,"&lt;&lt; CASCADA LONG","&lt;&lt; SQUEEZE SHORT"),"")</f>
        <v/>
      </c>
    </row>
    <row r="31" customFormat="false" ht="15" hidden="false" customHeight="false" outlineLevel="0" collapsed="false">
      <c r="A31" s="11" t="s">
        <v>598</v>
      </c>
      <c r="B31" s="97" t="n">
        <f aca="false">SUMIFS($R$5:$R$5004,$O$5:$O$5004,"LONG",$M$5:$M$5004,"&gt;="&amp;($B$8-95*60000),$M$5:$M$5004,"&lt;"&amp;($B$8-90*60000))+SUMIFS($Y$5:$Y$50004,$V$5:$V$50004,"LONG",$T$5:$T$50004,"&gt;="&amp;($B$8-95*60000),$T$5:$T$50004,"&lt;"&amp;($B$8-90*60000))</f>
        <v>0</v>
      </c>
      <c r="C31" s="98" t="n">
        <f aca="false">SUMIFS($R$5:$R$5004,$O$5:$O$5004,"SHORT",$M$5:$M$5004,"&gt;="&amp;($B$8-95*60000),$M$5:$M$5004,"&lt;"&amp;($B$8-90*60000))+SUMIFS($Y$5:$Y$50004,$V$5:$V$50004,"SHORT",$T$5:$T$50004,"&gt;="&amp;($B$8-95*60000),$T$5:$T$50004,"&lt;"&amp;($B$8-90*60000))</f>
        <v>0</v>
      </c>
      <c r="D31" s="99" t="n">
        <f aca="false">B31+C31</f>
        <v>0</v>
      </c>
      <c r="E31" s="87" t="str">
        <f aca="false">IF(AND(D31&gt;0,D31&gt;=3*MAX($B$51,1)),IF(B31&gt;C31,"&lt;&lt; CASCADA LONG","&lt;&lt; SQUEEZE SHORT"),"")</f>
        <v/>
      </c>
    </row>
    <row r="32" customFormat="false" ht="15" hidden="false" customHeight="false" outlineLevel="0" collapsed="false">
      <c r="A32" s="11" t="s">
        <v>599</v>
      </c>
      <c r="B32" s="97" t="n">
        <f aca="false">SUMIFS($R$5:$R$5004,$O$5:$O$5004,"LONG",$M$5:$M$5004,"&gt;="&amp;($B$8-90*60000),$M$5:$M$5004,"&lt;"&amp;($B$8-85*60000))+SUMIFS($Y$5:$Y$50004,$V$5:$V$50004,"LONG",$T$5:$T$50004,"&gt;="&amp;($B$8-90*60000),$T$5:$T$50004,"&lt;"&amp;($B$8-85*60000))</f>
        <v>0</v>
      </c>
      <c r="C32" s="98" t="n">
        <f aca="false">SUMIFS($R$5:$R$5004,$O$5:$O$5004,"SHORT",$M$5:$M$5004,"&gt;="&amp;($B$8-90*60000),$M$5:$M$5004,"&lt;"&amp;($B$8-85*60000))+SUMIFS($Y$5:$Y$50004,$V$5:$V$50004,"SHORT",$T$5:$T$50004,"&gt;="&amp;($B$8-90*60000),$T$5:$T$50004,"&lt;"&amp;($B$8-85*60000))</f>
        <v>0</v>
      </c>
      <c r="D32" s="99" t="n">
        <f aca="false">B32+C32</f>
        <v>0</v>
      </c>
      <c r="E32" s="87" t="str">
        <f aca="false">IF(AND(D32&gt;0,D32&gt;=3*MAX($B$51,1)),IF(B32&gt;C32,"&lt;&lt; CASCADA LONG","&lt;&lt; SQUEEZE SHORT"),"")</f>
        <v/>
      </c>
    </row>
    <row r="33" customFormat="false" ht="15" hidden="false" customHeight="false" outlineLevel="0" collapsed="false">
      <c r="A33" s="11" t="s">
        <v>600</v>
      </c>
      <c r="B33" s="97" t="n">
        <f aca="false">SUMIFS($R$5:$R$5004,$O$5:$O$5004,"LONG",$M$5:$M$5004,"&gt;="&amp;($B$8-85*60000),$M$5:$M$5004,"&lt;"&amp;($B$8-80*60000))+SUMIFS($Y$5:$Y$50004,$V$5:$V$50004,"LONG",$T$5:$T$50004,"&gt;="&amp;($B$8-85*60000),$T$5:$T$50004,"&lt;"&amp;($B$8-80*60000))</f>
        <v>0</v>
      </c>
      <c r="C33" s="98" t="n">
        <f aca="false">SUMIFS($R$5:$R$5004,$O$5:$O$5004,"SHORT",$M$5:$M$5004,"&gt;="&amp;($B$8-85*60000),$M$5:$M$5004,"&lt;"&amp;($B$8-80*60000))+SUMIFS($Y$5:$Y$50004,$V$5:$V$50004,"SHORT",$T$5:$T$50004,"&gt;="&amp;($B$8-85*60000),$T$5:$T$50004,"&lt;"&amp;($B$8-80*60000))</f>
        <v>0</v>
      </c>
      <c r="D33" s="99" t="n">
        <f aca="false">B33+C33</f>
        <v>0</v>
      </c>
      <c r="E33" s="87" t="str">
        <f aca="false">IF(AND(D33&gt;0,D33&gt;=3*MAX($B$51,1)),IF(B33&gt;C33,"&lt;&lt; CASCADA LONG","&lt;&lt; SQUEEZE SHORT"),"")</f>
        <v/>
      </c>
    </row>
    <row r="34" customFormat="false" ht="15" hidden="false" customHeight="false" outlineLevel="0" collapsed="false">
      <c r="A34" s="11" t="s">
        <v>601</v>
      </c>
      <c r="B34" s="97" t="n">
        <f aca="false">SUMIFS($R$5:$R$5004,$O$5:$O$5004,"LONG",$M$5:$M$5004,"&gt;="&amp;($B$8-80*60000),$M$5:$M$5004,"&lt;"&amp;($B$8-75*60000))+SUMIFS($Y$5:$Y$50004,$V$5:$V$50004,"LONG",$T$5:$T$50004,"&gt;="&amp;($B$8-80*60000),$T$5:$T$50004,"&lt;"&amp;($B$8-75*60000))</f>
        <v>0</v>
      </c>
      <c r="C34" s="98" t="n">
        <f aca="false">SUMIFS($R$5:$R$5004,$O$5:$O$5004,"SHORT",$M$5:$M$5004,"&gt;="&amp;($B$8-80*60000),$M$5:$M$5004,"&lt;"&amp;($B$8-75*60000))+SUMIFS($Y$5:$Y$50004,$V$5:$V$50004,"SHORT",$T$5:$T$50004,"&gt;="&amp;($B$8-80*60000),$T$5:$T$50004,"&lt;"&amp;($B$8-75*60000))</f>
        <v>0</v>
      </c>
      <c r="D34" s="99" t="n">
        <f aca="false">B34+C34</f>
        <v>0</v>
      </c>
      <c r="E34" s="87" t="str">
        <f aca="false">IF(AND(D34&gt;0,D34&gt;=3*MAX($B$51,1)),IF(B34&gt;C34,"&lt;&lt; CASCADA LONG","&lt;&lt; SQUEEZE SHORT"),"")</f>
        <v/>
      </c>
    </row>
    <row r="35" customFormat="false" ht="15" hidden="false" customHeight="false" outlineLevel="0" collapsed="false">
      <c r="A35" s="11" t="s">
        <v>602</v>
      </c>
      <c r="B35" s="97" t="n">
        <f aca="false">SUMIFS($R$5:$R$5004,$O$5:$O$5004,"LONG",$M$5:$M$5004,"&gt;="&amp;($B$8-75*60000),$M$5:$M$5004,"&lt;"&amp;($B$8-70*60000))+SUMIFS($Y$5:$Y$50004,$V$5:$V$50004,"LONG",$T$5:$T$50004,"&gt;="&amp;($B$8-75*60000),$T$5:$T$50004,"&lt;"&amp;($B$8-70*60000))</f>
        <v>0</v>
      </c>
      <c r="C35" s="98" t="n">
        <f aca="false">SUMIFS($R$5:$R$5004,$O$5:$O$5004,"SHORT",$M$5:$M$5004,"&gt;="&amp;($B$8-75*60000),$M$5:$M$5004,"&lt;"&amp;($B$8-70*60000))+SUMIFS($Y$5:$Y$50004,$V$5:$V$50004,"SHORT",$T$5:$T$50004,"&gt;="&amp;($B$8-75*60000),$T$5:$T$50004,"&lt;"&amp;($B$8-70*60000))</f>
        <v>0</v>
      </c>
      <c r="D35" s="99" t="n">
        <f aca="false">B35+C35</f>
        <v>0</v>
      </c>
      <c r="E35" s="87" t="str">
        <f aca="false">IF(AND(D35&gt;0,D35&gt;=3*MAX($B$51,1)),IF(B35&gt;C35,"&lt;&lt; CASCADA LONG","&lt;&lt; SQUEEZE SHORT"),"")</f>
        <v/>
      </c>
    </row>
    <row r="36" customFormat="false" ht="15" hidden="false" customHeight="false" outlineLevel="0" collapsed="false">
      <c r="A36" s="11" t="s">
        <v>603</v>
      </c>
      <c r="B36" s="97" t="n">
        <f aca="false">SUMIFS($R$5:$R$5004,$O$5:$O$5004,"LONG",$M$5:$M$5004,"&gt;="&amp;($B$8-70*60000),$M$5:$M$5004,"&lt;"&amp;($B$8-65*60000))+SUMIFS($Y$5:$Y$50004,$V$5:$V$50004,"LONG",$T$5:$T$50004,"&gt;="&amp;($B$8-70*60000),$T$5:$T$50004,"&lt;"&amp;($B$8-65*60000))</f>
        <v>0</v>
      </c>
      <c r="C36" s="98" t="n">
        <f aca="false">SUMIFS($R$5:$R$5004,$O$5:$O$5004,"SHORT",$M$5:$M$5004,"&gt;="&amp;($B$8-70*60000),$M$5:$M$5004,"&lt;"&amp;($B$8-65*60000))+SUMIFS($Y$5:$Y$50004,$V$5:$V$50004,"SHORT",$T$5:$T$50004,"&gt;="&amp;($B$8-70*60000),$T$5:$T$50004,"&lt;"&amp;($B$8-65*60000))</f>
        <v>0</v>
      </c>
      <c r="D36" s="99" t="n">
        <f aca="false">B36+C36</f>
        <v>0</v>
      </c>
      <c r="E36" s="87" t="str">
        <f aca="false">IF(AND(D36&gt;0,D36&gt;=3*MAX($B$51,1)),IF(B36&gt;C36,"&lt;&lt; CASCADA LONG","&lt;&lt; SQUEEZE SHORT"),"")</f>
        <v/>
      </c>
    </row>
    <row r="37" customFormat="false" ht="15" hidden="false" customHeight="false" outlineLevel="0" collapsed="false">
      <c r="A37" s="11" t="s">
        <v>604</v>
      </c>
      <c r="B37" s="97" t="n">
        <f aca="false">SUMIFS($R$5:$R$5004,$O$5:$O$5004,"LONG",$M$5:$M$5004,"&gt;="&amp;($B$8-65*60000),$M$5:$M$5004,"&lt;"&amp;($B$8-60*60000))+SUMIFS($Y$5:$Y$50004,$V$5:$V$50004,"LONG",$T$5:$T$50004,"&gt;="&amp;($B$8-65*60000),$T$5:$T$50004,"&lt;"&amp;($B$8-60*60000))</f>
        <v>0</v>
      </c>
      <c r="C37" s="98" t="n">
        <f aca="false">SUMIFS($R$5:$R$5004,$O$5:$O$5004,"SHORT",$M$5:$M$5004,"&gt;="&amp;($B$8-65*60000),$M$5:$M$5004,"&lt;"&amp;($B$8-60*60000))+SUMIFS($Y$5:$Y$50004,$V$5:$V$50004,"SHORT",$T$5:$T$50004,"&gt;="&amp;($B$8-65*60000),$T$5:$T$50004,"&lt;"&amp;($B$8-60*60000))</f>
        <v>0</v>
      </c>
      <c r="D37" s="99" t="n">
        <f aca="false">B37+C37</f>
        <v>0</v>
      </c>
      <c r="E37" s="87" t="str">
        <f aca="false">IF(AND(D37&gt;0,D37&gt;=3*MAX($B$51,1)),IF(B37&gt;C37,"&lt;&lt; CASCADA LONG","&lt;&lt; SQUEEZE SHORT"),"")</f>
        <v/>
      </c>
    </row>
    <row r="38" customFormat="false" ht="15" hidden="false" customHeight="false" outlineLevel="0" collapsed="false">
      <c r="A38" s="11" t="s">
        <v>605</v>
      </c>
      <c r="B38" s="97" t="n">
        <f aca="false">SUMIFS($R$5:$R$5004,$O$5:$O$5004,"LONG",$M$5:$M$5004,"&gt;="&amp;($B$8-60*60000),$M$5:$M$5004,"&lt;"&amp;($B$8-55*60000))+SUMIFS($Y$5:$Y$50004,$V$5:$V$50004,"LONG",$T$5:$T$50004,"&gt;="&amp;($B$8-60*60000),$T$5:$T$50004,"&lt;"&amp;($B$8-55*60000))</f>
        <v>0</v>
      </c>
      <c r="C38" s="98" t="n">
        <f aca="false">SUMIFS($R$5:$R$5004,$O$5:$O$5004,"SHORT",$M$5:$M$5004,"&gt;="&amp;($B$8-60*60000),$M$5:$M$5004,"&lt;"&amp;($B$8-55*60000))+SUMIFS($Y$5:$Y$50004,$V$5:$V$50004,"SHORT",$T$5:$T$50004,"&gt;="&amp;($B$8-60*60000),$T$5:$T$50004,"&lt;"&amp;($B$8-55*60000))</f>
        <v>0</v>
      </c>
      <c r="D38" s="99" t="n">
        <f aca="false">B38+C38</f>
        <v>0</v>
      </c>
      <c r="E38" s="87" t="str">
        <f aca="false">IF(AND(D38&gt;0,D38&gt;=3*MAX($B$51,1)),IF(B38&gt;C38,"&lt;&lt; CASCADA LONG","&lt;&lt; SQUEEZE SHORT"),"")</f>
        <v/>
      </c>
    </row>
    <row r="39" customFormat="false" ht="15" hidden="false" customHeight="false" outlineLevel="0" collapsed="false">
      <c r="A39" s="11" t="s">
        <v>606</v>
      </c>
      <c r="B39" s="97" t="n">
        <f aca="false">SUMIFS($R$5:$R$5004,$O$5:$O$5004,"LONG",$M$5:$M$5004,"&gt;="&amp;($B$8-55*60000),$M$5:$M$5004,"&lt;"&amp;($B$8-50*60000))+SUMIFS($Y$5:$Y$50004,$V$5:$V$50004,"LONG",$T$5:$T$50004,"&gt;="&amp;($B$8-55*60000),$T$5:$T$50004,"&lt;"&amp;($B$8-50*60000))</f>
        <v>0</v>
      </c>
      <c r="C39" s="98" t="n">
        <f aca="false">SUMIFS($R$5:$R$5004,$O$5:$O$5004,"SHORT",$M$5:$M$5004,"&gt;="&amp;($B$8-55*60000),$M$5:$M$5004,"&lt;"&amp;($B$8-50*60000))+SUMIFS($Y$5:$Y$50004,$V$5:$V$50004,"SHORT",$T$5:$T$50004,"&gt;="&amp;($B$8-55*60000),$T$5:$T$50004,"&lt;"&amp;($B$8-50*60000))</f>
        <v>0</v>
      </c>
      <c r="D39" s="99" t="n">
        <f aca="false">B39+C39</f>
        <v>0</v>
      </c>
      <c r="E39" s="87" t="str">
        <f aca="false">IF(AND(D39&gt;0,D39&gt;=3*MAX($B$51,1)),IF(B39&gt;C39,"&lt;&lt; CASCADA LONG","&lt;&lt; SQUEEZE SHORT"),"")</f>
        <v/>
      </c>
    </row>
    <row r="40" customFormat="false" ht="15" hidden="false" customHeight="false" outlineLevel="0" collapsed="false">
      <c r="A40" s="11" t="s">
        <v>607</v>
      </c>
      <c r="B40" s="97" t="n">
        <f aca="false">SUMIFS($R$5:$R$5004,$O$5:$O$5004,"LONG",$M$5:$M$5004,"&gt;="&amp;($B$8-50*60000),$M$5:$M$5004,"&lt;"&amp;($B$8-45*60000))+SUMIFS($Y$5:$Y$50004,$V$5:$V$50004,"LONG",$T$5:$T$50004,"&gt;="&amp;($B$8-50*60000),$T$5:$T$50004,"&lt;"&amp;($B$8-45*60000))</f>
        <v>0</v>
      </c>
      <c r="C40" s="98" t="n">
        <f aca="false">SUMIFS($R$5:$R$5004,$O$5:$O$5004,"SHORT",$M$5:$M$5004,"&gt;="&amp;($B$8-50*60000),$M$5:$M$5004,"&lt;"&amp;($B$8-45*60000))+SUMIFS($Y$5:$Y$50004,$V$5:$V$50004,"SHORT",$T$5:$T$50004,"&gt;="&amp;($B$8-50*60000),$T$5:$T$50004,"&lt;"&amp;($B$8-45*60000))</f>
        <v>0</v>
      </c>
      <c r="D40" s="99" t="n">
        <f aca="false">B40+C40</f>
        <v>0</v>
      </c>
      <c r="E40" s="87" t="str">
        <f aca="false">IF(AND(D40&gt;0,D40&gt;=3*MAX($B$51,1)),IF(B40&gt;C40,"&lt;&lt; CASCADA LONG","&lt;&lt; SQUEEZE SHORT"),"")</f>
        <v/>
      </c>
    </row>
    <row r="41" customFormat="false" ht="15" hidden="false" customHeight="false" outlineLevel="0" collapsed="false">
      <c r="A41" s="11" t="s">
        <v>608</v>
      </c>
      <c r="B41" s="97" t="n">
        <f aca="false">SUMIFS($R$5:$R$5004,$O$5:$O$5004,"LONG",$M$5:$M$5004,"&gt;="&amp;($B$8-45*60000),$M$5:$M$5004,"&lt;"&amp;($B$8-40*60000))+SUMIFS($Y$5:$Y$50004,$V$5:$V$50004,"LONG",$T$5:$T$50004,"&gt;="&amp;($B$8-45*60000),$T$5:$T$50004,"&lt;"&amp;($B$8-40*60000))</f>
        <v>0</v>
      </c>
      <c r="C41" s="98" t="n">
        <f aca="false">SUMIFS($R$5:$R$5004,$O$5:$O$5004,"SHORT",$M$5:$M$5004,"&gt;="&amp;($B$8-45*60000),$M$5:$M$5004,"&lt;"&amp;($B$8-40*60000))+SUMIFS($Y$5:$Y$50004,$V$5:$V$50004,"SHORT",$T$5:$T$50004,"&gt;="&amp;($B$8-45*60000),$T$5:$T$50004,"&lt;"&amp;($B$8-40*60000))</f>
        <v>0</v>
      </c>
      <c r="D41" s="99" t="n">
        <f aca="false">B41+C41</f>
        <v>0</v>
      </c>
      <c r="E41" s="87" t="str">
        <f aca="false">IF(AND(D41&gt;0,D41&gt;=3*MAX($B$51,1)),IF(B41&gt;C41,"&lt;&lt; CASCADA LONG","&lt;&lt; SQUEEZE SHORT"),"")</f>
        <v/>
      </c>
    </row>
    <row r="42" customFormat="false" ht="15" hidden="false" customHeight="false" outlineLevel="0" collapsed="false">
      <c r="A42" s="11" t="s">
        <v>609</v>
      </c>
      <c r="B42" s="97" t="n">
        <f aca="false">SUMIFS($R$5:$R$5004,$O$5:$O$5004,"LONG",$M$5:$M$5004,"&gt;="&amp;($B$8-40*60000),$M$5:$M$5004,"&lt;"&amp;($B$8-35*60000))+SUMIFS($Y$5:$Y$50004,$V$5:$V$50004,"LONG",$T$5:$T$50004,"&gt;="&amp;($B$8-40*60000),$T$5:$T$50004,"&lt;"&amp;($B$8-35*60000))</f>
        <v>0</v>
      </c>
      <c r="C42" s="98" t="n">
        <f aca="false">SUMIFS($R$5:$R$5004,$O$5:$O$5004,"SHORT",$M$5:$M$5004,"&gt;="&amp;($B$8-40*60000),$M$5:$M$5004,"&lt;"&amp;($B$8-35*60000))+SUMIFS($Y$5:$Y$50004,$V$5:$V$50004,"SHORT",$T$5:$T$50004,"&gt;="&amp;($B$8-40*60000),$T$5:$T$50004,"&lt;"&amp;($B$8-35*60000))</f>
        <v>0</v>
      </c>
      <c r="D42" s="99" t="n">
        <f aca="false">B42+C42</f>
        <v>0</v>
      </c>
      <c r="E42" s="87" t="str">
        <f aca="false">IF(AND(D42&gt;0,D42&gt;=3*MAX($B$51,1)),IF(B42&gt;C42,"&lt;&lt; CASCADA LONG","&lt;&lt; SQUEEZE SHORT"),"")</f>
        <v/>
      </c>
    </row>
    <row r="43" customFormat="false" ht="15" hidden="false" customHeight="false" outlineLevel="0" collapsed="false">
      <c r="A43" s="11" t="s">
        <v>610</v>
      </c>
      <c r="B43" s="97" t="n">
        <f aca="false">SUMIFS($R$5:$R$5004,$O$5:$O$5004,"LONG",$M$5:$M$5004,"&gt;="&amp;($B$8-35*60000),$M$5:$M$5004,"&lt;"&amp;($B$8-30*60000))+SUMIFS($Y$5:$Y$50004,$V$5:$V$50004,"LONG",$T$5:$T$50004,"&gt;="&amp;($B$8-35*60000),$T$5:$T$50004,"&lt;"&amp;($B$8-30*60000))</f>
        <v>0</v>
      </c>
      <c r="C43" s="98" t="n">
        <f aca="false">SUMIFS($R$5:$R$5004,$O$5:$O$5004,"SHORT",$M$5:$M$5004,"&gt;="&amp;($B$8-35*60000),$M$5:$M$5004,"&lt;"&amp;($B$8-30*60000))+SUMIFS($Y$5:$Y$50004,$V$5:$V$50004,"SHORT",$T$5:$T$50004,"&gt;="&amp;($B$8-35*60000),$T$5:$T$50004,"&lt;"&amp;($B$8-30*60000))</f>
        <v>0</v>
      </c>
      <c r="D43" s="99" t="n">
        <f aca="false">B43+C43</f>
        <v>0</v>
      </c>
      <c r="E43" s="87" t="str">
        <f aca="false">IF(AND(D43&gt;0,D43&gt;=3*MAX($B$51,1)),IF(B43&gt;C43,"&lt;&lt; CASCADA LONG","&lt;&lt; SQUEEZE SHORT"),"")</f>
        <v/>
      </c>
    </row>
    <row r="44" customFormat="false" ht="15" hidden="false" customHeight="false" outlineLevel="0" collapsed="false">
      <c r="A44" s="11" t="s">
        <v>611</v>
      </c>
      <c r="B44" s="97" t="n">
        <f aca="false">SUMIFS($R$5:$R$5004,$O$5:$O$5004,"LONG",$M$5:$M$5004,"&gt;="&amp;($B$8-30*60000),$M$5:$M$5004,"&lt;"&amp;($B$8-25*60000))+SUMIFS($Y$5:$Y$50004,$V$5:$V$50004,"LONG",$T$5:$T$50004,"&gt;="&amp;($B$8-30*60000),$T$5:$T$50004,"&lt;"&amp;($B$8-25*60000))</f>
        <v>0</v>
      </c>
      <c r="C44" s="98" t="n">
        <f aca="false">SUMIFS($R$5:$R$5004,$O$5:$O$5004,"SHORT",$M$5:$M$5004,"&gt;="&amp;($B$8-30*60000),$M$5:$M$5004,"&lt;"&amp;($B$8-25*60000))+SUMIFS($Y$5:$Y$50004,$V$5:$V$50004,"SHORT",$T$5:$T$50004,"&gt;="&amp;($B$8-30*60000),$T$5:$T$50004,"&lt;"&amp;($B$8-25*60000))</f>
        <v>0</v>
      </c>
      <c r="D44" s="99" t="n">
        <f aca="false">B44+C44</f>
        <v>0</v>
      </c>
      <c r="E44" s="87" t="str">
        <f aca="false">IF(AND(D44&gt;0,D44&gt;=3*MAX($B$51,1)),IF(B44&gt;C44,"&lt;&lt; CASCADA LONG","&lt;&lt; SQUEEZE SHORT"),"")</f>
        <v/>
      </c>
    </row>
    <row r="45" customFormat="false" ht="15" hidden="false" customHeight="false" outlineLevel="0" collapsed="false">
      <c r="A45" s="11" t="s">
        <v>612</v>
      </c>
      <c r="B45" s="97" t="n">
        <f aca="false">SUMIFS($R$5:$R$5004,$O$5:$O$5004,"LONG",$M$5:$M$5004,"&gt;="&amp;($B$8-25*60000),$M$5:$M$5004,"&lt;"&amp;($B$8-20*60000))+SUMIFS($Y$5:$Y$50004,$V$5:$V$50004,"LONG",$T$5:$T$50004,"&gt;="&amp;($B$8-25*60000),$T$5:$T$50004,"&lt;"&amp;($B$8-20*60000))</f>
        <v>0</v>
      </c>
      <c r="C45" s="98" t="n">
        <f aca="false">SUMIFS($R$5:$R$5004,$O$5:$O$5004,"SHORT",$M$5:$M$5004,"&gt;="&amp;($B$8-25*60000),$M$5:$M$5004,"&lt;"&amp;($B$8-20*60000))+SUMIFS($Y$5:$Y$50004,$V$5:$V$50004,"SHORT",$T$5:$T$50004,"&gt;="&amp;($B$8-25*60000),$T$5:$T$50004,"&lt;"&amp;($B$8-20*60000))</f>
        <v>0</v>
      </c>
      <c r="D45" s="99" t="n">
        <f aca="false">B45+C45</f>
        <v>0</v>
      </c>
      <c r="E45" s="87" t="str">
        <f aca="false">IF(AND(D45&gt;0,D45&gt;=3*MAX($B$51,1)),IF(B45&gt;C45,"&lt;&lt; CASCADA LONG","&lt;&lt; SQUEEZE SHORT"),"")</f>
        <v/>
      </c>
    </row>
    <row r="46" customFormat="false" ht="15" hidden="false" customHeight="false" outlineLevel="0" collapsed="false">
      <c r="A46" s="11" t="s">
        <v>613</v>
      </c>
      <c r="B46" s="97" t="n">
        <f aca="false">SUMIFS($R$5:$R$5004,$O$5:$O$5004,"LONG",$M$5:$M$5004,"&gt;="&amp;($B$8-20*60000),$M$5:$M$5004,"&lt;"&amp;($B$8-15*60000))+SUMIFS($Y$5:$Y$50004,$V$5:$V$50004,"LONG",$T$5:$T$50004,"&gt;="&amp;($B$8-20*60000),$T$5:$T$50004,"&lt;"&amp;($B$8-15*60000))</f>
        <v>0</v>
      </c>
      <c r="C46" s="98" t="n">
        <f aca="false">SUMIFS($R$5:$R$5004,$O$5:$O$5004,"SHORT",$M$5:$M$5004,"&gt;="&amp;($B$8-20*60000),$M$5:$M$5004,"&lt;"&amp;($B$8-15*60000))+SUMIFS($Y$5:$Y$50004,$V$5:$V$50004,"SHORT",$T$5:$T$50004,"&gt;="&amp;($B$8-20*60000),$T$5:$T$50004,"&lt;"&amp;($B$8-15*60000))</f>
        <v>0</v>
      </c>
      <c r="D46" s="99" t="n">
        <f aca="false">B46+C46</f>
        <v>0</v>
      </c>
      <c r="E46" s="87" t="str">
        <f aca="false">IF(AND(D46&gt;0,D46&gt;=3*MAX($B$51,1)),IF(B46&gt;C46,"&lt;&lt; CASCADA LONG","&lt;&lt; SQUEEZE SHORT"),"")</f>
        <v/>
      </c>
    </row>
    <row r="47" customFormat="false" ht="15" hidden="false" customHeight="false" outlineLevel="0" collapsed="false">
      <c r="A47" s="11" t="s">
        <v>614</v>
      </c>
      <c r="B47" s="97" t="n">
        <f aca="false">SUMIFS($R$5:$R$5004,$O$5:$O$5004,"LONG",$M$5:$M$5004,"&gt;="&amp;($B$8-15*60000),$M$5:$M$5004,"&lt;"&amp;($B$8-10*60000))+SUMIFS($Y$5:$Y$50004,$V$5:$V$50004,"LONG",$T$5:$T$50004,"&gt;="&amp;($B$8-15*60000),$T$5:$T$50004,"&lt;"&amp;($B$8-10*60000))</f>
        <v>0</v>
      </c>
      <c r="C47" s="98" t="n">
        <f aca="false">SUMIFS($R$5:$R$5004,$O$5:$O$5004,"SHORT",$M$5:$M$5004,"&gt;="&amp;($B$8-15*60000),$M$5:$M$5004,"&lt;"&amp;($B$8-10*60000))+SUMIFS($Y$5:$Y$50004,$V$5:$V$50004,"SHORT",$T$5:$T$50004,"&gt;="&amp;($B$8-15*60000),$T$5:$T$50004,"&lt;"&amp;($B$8-10*60000))</f>
        <v>0</v>
      </c>
      <c r="D47" s="99" t="n">
        <f aca="false">B47+C47</f>
        <v>0</v>
      </c>
      <c r="E47" s="87" t="str">
        <f aca="false">IF(AND(D47&gt;0,D47&gt;=3*MAX($B$51,1)),IF(B47&gt;C47,"&lt;&lt; CASCADA LONG","&lt;&lt; SQUEEZE SHORT"),"")</f>
        <v/>
      </c>
    </row>
    <row r="48" customFormat="false" ht="15" hidden="false" customHeight="false" outlineLevel="0" collapsed="false">
      <c r="A48" s="11" t="s">
        <v>615</v>
      </c>
      <c r="B48" s="97" t="n">
        <f aca="false">SUMIFS($R$5:$R$5004,$O$5:$O$5004,"LONG",$M$5:$M$5004,"&gt;="&amp;($B$8-10*60000),$M$5:$M$5004,"&lt;"&amp;($B$8-5*60000))+SUMIFS($Y$5:$Y$50004,$V$5:$V$50004,"LONG",$T$5:$T$50004,"&gt;="&amp;($B$8-10*60000),$T$5:$T$50004,"&lt;"&amp;($B$8-5*60000))</f>
        <v>0</v>
      </c>
      <c r="C48" s="98" t="n">
        <f aca="false">SUMIFS($R$5:$R$5004,$O$5:$O$5004,"SHORT",$M$5:$M$5004,"&gt;="&amp;($B$8-10*60000),$M$5:$M$5004,"&lt;"&amp;($B$8-5*60000))+SUMIFS($Y$5:$Y$50004,$V$5:$V$50004,"SHORT",$T$5:$T$50004,"&gt;="&amp;($B$8-10*60000),$T$5:$T$50004,"&lt;"&amp;($B$8-5*60000))</f>
        <v>0</v>
      </c>
      <c r="D48" s="99" t="n">
        <f aca="false">B48+C48</f>
        <v>0</v>
      </c>
      <c r="E48" s="87" t="str">
        <f aca="false">IF(AND(D48&gt;0,D48&gt;=3*MAX($B$51,1)),IF(B48&gt;C48,"&lt;&lt; CASCADA LONG","&lt;&lt; SQUEEZE SHORT"),"")</f>
        <v/>
      </c>
    </row>
    <row r="49" customFormat="false" ht="15" hidden="false" customHeight="false" outlineLevel="0" collapsed="false">
      <c r="A49" s="11" t="s">
        <v>616</v>
      </c>
      <c r="B49" s="97" t="n">
        <f aca="false">SUMIFS($R$5:$R$5004,$O$5:$O$5004,"LONG",$M$5:$M$5004,"&gt;="&amp;($B$8-5*60000),$M$5:$M$5004,"&lt;"&amp;($B$8-0*60000))+SUMIFS($Y$5:$Y$50004,$V$5:$V$50004,"LONG",$T$5:$T$50004,"&gt;="&amp;($B$8-5*60000),$T$5:$T$50004,"&lt;"&amp;($B$8-0*60000))</f>
        <v>0</v>
      </c>
      <c r="C49" s="98" t="n">
        <f aca="false">SUMIFS($R$5:$R$5004,$O$5:$O$5004,"SHORT",$M$5:$M$5004,"&gt;="&amp;($B$8-5*60000),$M$5:$M$5004,"&lt;"&amp;($B$8-0*60000))+SUMIFS($Y$5:$Y$50004,$V$5:$V$50004,"SHORT",$T$5:$T$50004,"&gt;="&amp;($B$8-5*60000),$T$5:$T$50004,"&lt;"&amp;($B$8-0*60000))</f>
        <v>0</v>
      </c>
      <c r="D49" s="99" t="n">
        <f aca="false">B49+C49</f>
        <v>0</v>
      </c>
      <c r="E49" s="87" t="str">
        <f aca="false">IF(AND(D49&gt;0,D49&gt;=3*MAX($B$51,1)),IF(B49&gt;C49,"&lt;&lt; CASCADA LONG","&lt;&lt; SQUEEZE SHORT"),"")</f>
        <v/>
      </c>
    </row>
    <row r="51" customFormat="false" ht="15" hidden="false" customHeight="false" outlineLevel="0" collapsed="false">
      <c r="A51" s="37" t="s">
        <v>617</v>
      </c>
      <c r="B51" s="94" t="n">
        <f aca="false">MEDIAN(D26:D49)</f>
        <v>0</v>
      </c>
    </row>
    <row r="52" customFormat="false" ht="15" hidden="false" customHeight="false" outlineLevel="0" collapsed="false">
      <c r="A52" s="37" t="s">
        <v>618</v>
      </c>
      <c r="B52" s="94" t="n">
        <f aca="false">MAX(D26:D49)</f>
        <v>0</v>
      </c>
    </row>
    <row r="53" customFormat="false" ht="15" hidden="false" customHeight="false" outlineLevel="0" collapsed="false">
      <c r="A53" s="37" t="s">
        <v>619</v>
      </c>
      <c r="B53" s="94" t="n">
        <f aca="false">B52/$B$5</f>
        <v>0</v>
      </c>
    </row>
    <row r="54" customFormat="false" ht="15" hidden="false" customHeight="false" outlineLevel="0" collapsed="false">
      <c r="A54" s="37" t="s">
        <v>620</v>
      </c>
      <c r="B54" s="100" t="n">
        <f aca="false">IF(B51=0,IF(B52&gt;0,99,0),B52/B51)</f>
        <v>0</v>
      </c>
    </row>
    <row r="55" customFormat="false" ht="15" hidden="false" customHeight="false" outlineLevel="0" collapsed="false">
      <c r="A55" s="101" t="s">
        <v>621</v>
      </c>
      <c r="B55" s="102" t="str">
        <f aca="false">IF(B52=0,"SIN LIQUIDACIONES REGISTRADAS",IF(AND(B54&gt;=3,B53&gt;=50000000),"CASCADA DETECTADA",IF(B54&gt;=3,"MINI-CASCADA","FLUJO NORMAL")))</f>
        <v>SIN LIQUIDACIONES REGISTRADAS</v>
      </c>
      <c r="C55" s="102"/>
      <c r="D55" s="102"/>
      <c r="E55" s="102"/>
    </row>
  </sheetData>
  <mergeCells count="7">
    <mergeCell ref="A1:E1"/>
    <mergeCell ref="A2:E2"/>
    <mergeCell ref="A4:E4"/>
    <mergeCell ref="B6:D6"/>
    <mergeCell ref="A10:E10"/>
    <mergeCell ref="A24:E24"/>
    <mergeCell ref="B55:E55"/>
  </mergeCells>
  <conditionalFormatting sqref="D26:D49">
    <cfRule type="dataBar" priority="2">
      <dataBar showValue="1" minLength="10" maxLength="90">
        <cfvo type="num" val="0"/>
        <cfvo type="max" val="0"/>
        <color rgb="FFE06666"/>
      </dataBar>
      <extLst>
        <ext xmlns:x14="http://schemas.microsoft.com/office/spreadsheetml/2009/9/main" uri="{B025F937-C7B1-47D3-B67F-A62EFF666E3E}">
          <x14:id>{C9EB5D1C-8C82-46C5-8BFB-5212CE707ED0}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EB5D1C-8C82-46C5-8BFB-5212CE707ED0}">
            <x14:dataBar minLength="10" maxLength="90" axisPosition="none" gradient="true">
              <x14:cfvo type="num">
                <xm:f>0</xm:f>
              </x14:cfvo>
              <x14:cfvo type="max"/>
              <x14:negativeFillColor rgb="FFE06666"/>
              <x14:axisColor rgb="FF000000"/>
            </x14:dataBar>
          </x14:cfRule>
          <xm:sqref>D26:D49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7"/>
    <col collapsed="false" customWidth="true" hidden="false" outlineLevel="0" max="6" min="6" style="0" width="56"/>
  </cols>
  <sheetData>
    <row r="1" customFormat="false" ht="21.75" hidden="false" customHeight="true" outlineLevel="0" collapsed="false">
      <c r="A1" s="41" t="s">
        <v>622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62" t="s">
        <v>623</v>
      </c>
      <c r="B2" s="62"/>
      <c r="C2" s="62"/>
      <c r="D2" s="62"/>
      <c r="E2" s="62"/>
      <c r="F2" s="62"/>
    </row>
    <row r="4" customFormat="false" ht="15" hidden="false" customHeight="false" outlineLevel="0" collapsed="false">
      <c r="A4" s="37" t="s">
        <v>624</v>
      </c>
      <c r="B4" s="103" t="n">
        <f aca="false">COUNT('12_Datos_5m'!$F$5:$F$504)</f>
        <v>0</v>
      </c>
    </row>
    <row r="6" customFormat="false" ht="30" hidden="false" customHeight="true" outlineLevel="0" collapsed="false">
      <c r="A6" s="5" t="s">
        <v>3</v>
      </c>
      <c r="B6" s="5" t="s">
        <v>625</v>
      </c>
      <c r="C6" s="5" t="s">
        <v>626</v>
      </c>
      <c r="D6" s="5" t="s">
        <v>627</v>
      </c>
      <c r="E6" s="5" t="s">
        <v>628</v>
      </c>
      <c r="F6" s="5" t="s">
        <v>629</v>
      </c>
    </row>
    <row r="7" customFormat="false" ht="15" hidden="false" customHeight="false" outlineLevel="0" collapsed="false">
      <c r="A7" s="104" t="s">
        <v>630</v>
      </c>
      <c r="B7" s="76" t="n">
        <v>3</v>
      </c>
      <c r="C7" s="76" t="n">
        <v>12</v>
      </c>
      <c r="D7" s="76" t="n">
        <v>48</v>
      </c>
      <c r="E7" s="76" t="n">
        <v>288</v>
      </c>
      <c r="F7" s="105"/>
    </row>
    <row r="8" customFormat="false" ht="18" hidden="false" customHeight="true" outlineLevel="0" collapsed="false">
      <c r="A8" s="37" t="s">
        <v>631</v>
      </c>
      <c r="B8" s="106" t="str">
        <f aca="false">IF($B$4&lt;2,"n/d",IFERROR(INDEX('12_Datos_5m'!$F$5:$F$504,$B$4)/INDEX('12_Datos_5m'!$F$5:$F$504,MAX(1,$B$4-B7))-1,"n/d"))</f>
        <v>n/d</v>
      </c>
      <c r="C8" s="106" t="str">
        <f aca="false">IF($B$4&lt;2,"n/d",IFERROR(INDEX('12_Datos_5m'!$F$5:$F$504,$B$4)/INDEX('12_Datos_5m'!$F$5:$F$504,MAX(1,$B$4-C7))-1,"n/d"))</f>
        <v>n/d</v>
      </c>
      <c r="D8" s="106" t="str">
        <f aca="false">IF($B$4&lt;2,"n/d",IFERROR(INDEX('12_Datos_5m'!$F$5:$F$504,$B$4)/INDEX('12_Datos_5m'!$F$5:$F$504,MAX(1,$B$4-D7))-1,"n/d"))</f>
        <v>n/d</v>
      </c>
      <c r="E8" s="106" t="str">
        <f aca="false">IF($B$4&lt;2,"n/d",IFERROR(INDEX('12_Datos_5m'!$F$5:$F$504,$B$4)/INDEX('12_Datos_5m'!$F$5:$F$504,MAX(1,$B$4-E7))-1,"n/d"))</f>
        <v>n/d</v>
      </c>
      <c r="F8" s="13" t="s">
        <v>632</v>
      </c>
    </row>
    <row r="9" customFormat="false" ht="18" hidden="false" customHeight="true" outlineLevel="0" collapsed="false">
      <c r="A9" s="37" t="s">
        <v>633</v>
      </c>
      <c r="B9" s="106" t="str">
        <f aca="false">IF($B$4&lt;2,"n/d",IFERROR(INDEX('12_Datos_5m'!$I$5:$I$504,$B$4)/INDEX('12_Datos_5m'!$I$5:$I$504,MAX(1,$B$4-B7))-1,"n/d"))</f>
        <v>n/d</v>
      </c>
      <c r="C9" s="106" t="str">
        <f aca="false">IF($B$4&lt;2,"n/d",IFERROR(INDEX('12_Datos_5m'!$I$5:$I$504,$B$4)/INDEX('12_Datos_5m'!$I$5:$I$504,MAX(1,$B$4-C7))-1,"n/d"))</f>
        <v>n/d</v>
      </c>
      <c r="D9" s="106" t="str">
        <f aca="false">IF($B$4&lt;2,"n/d",IFERROR(INDEX('12_Datos_5m'!$I$5:$I$504,$B$4)/INDEX('12_Datos_5m'!$I$5:$I$504,MAX(1,$B$4-D7))-1,"n/d"))</f>
        <v>n/d</v>
      </c>
      <c r="E9" s="106" t="str">
        <f aca="false">IF($B$4&lt;2,"n/d",IFERROR(INDEX('12_Datos_5m'!$I$5:$I$504,$B$4)/INDEX('12_Datos_5m'!$I$5:$I$504,MAX(1,$B$4-E7))-1,"n/d"))</f>
        <v>n/d</v>
      </c>
      <c r="F9" s="13" t="s">
        <v>634</v>
      </c>
    </row>
    <row r="10" customFormat="false" ht="18" hidden="false" customHeight="true" outlineLevel="0" collapsed="false">
      <c r="A10" s="37" t="s">
        <v>635</v>
      </c>
      <c r="B10" s="107" t="str">
        <f aca="false">IF($B$4&lt;2,"n/d",IFERROR(SUMPRODUCT((ROW('12_Datos_5m'!$H$5:$H$504)-4&gt;$B$4-B7)*(ROW('12_Datos_5m'!$H$5:$H$504)-4&lt;=$B$4)*'12_Datos_5m'!$H$5:$H$504)/SUMPRODUCT((ROW('12_Datos_5m'!$G$5:$G$504)-4&gt;$B$4-B7)*(ROW('12_Datos_5m'!$G$5:$G$504)-4&lt;=$B$4)*'12_Datos_5m'!$G$5:$G$504),"n/d"))</f>
        <v>n/d</v>
      </c>
      <c r="C10" s="107" t="str">
        <f aca="false">IF($B$4&lt;2,"n/d",IFERROR(SUMPRODUCT((ROW('12_Datos_5m'!$H$5:$H$504)-4&gt;$B$4-C7)*(ROW('12_Datos_5m'!$H$5:$H$504)-4&lt;=$B$4)*'12_Datos_5m'!$H$5:$H$504)/SUMPRODUCT((ROW('12_Datos_5m'!$G$5:$G$504)-4&gt;$B$4-C7)*(ROW('12_Datos_5m'!$G$5:$G$504)-4&lt;=$B$4)*'12_Datos_5m'!$G$5:$G$504),"n/d"))</f>
        <v>n/d</v>
      </c>
      <c r="D10" s="107" t="str">
        <f aca="false">IF($B$4&lt;2,"n/d",IFERROR(SUMPRODUCT((ROW('12_Datos_5m'!$H$5:$H$504)-4&gt;$B$4-D7)*(ROW('12_Datos_5m'!$H$5:$H$504)-4&lt;=$B$4)*'12_Datos_5m'!$H$5:$H$504)/SUMPRODUCT((ROW('12_Datos_5m'!$G$5:$G$504)-4&gt;$B$4-D7)*(ROW('12_Datos_5m'!$G$5:$G$504)-4&lt;=$B$4)*'12_Datos_5m'!$G$5:$G$504),"n/d"))</f>
        <v>n/d</v>
      </c>
      <c r="E10" s="107" t="str">
        <f aca="false">IF($B$4&lt;2,"n/d",IFERROR(SUMPRODUCT((ROW('12_Datos_5m'!$H$5:$H$504)-4&gt;$B$4-E7)*(ROW('12_Datos_5m'!$H$5:$H$504)-4&lt;=$B$4)*'12_Datos_5m'!$H$5:$H$504)/SUMPRODUCT((ROW('12_Datos_5m'!$G$5:$G$504)-4&gt;$B$4-E7)*(ROW('12_Datos_5m'!$G$5:$G$504)-4&lt;=$B$4)*'12_Datos_5m'!$G$5:$G$504),"n/d"))</f>
        <v>n/d</v>
      </c>
      <c r="F10" s="13" t="s">
        <v>636</v>
      </c>
    </row>
    <row r="11" customFormat="false" ht="18" hidden="false" customHeight="true" outlineLevel="0" collapsed="false">
      <c r="A11" s="37" t="s">
        <v>637</v>
      </c>
      <c r="B11" s="108" t="str">
        <f aca="false">IF($B$4&lt;2,"n/d",IFERROR((SUMPRODUCT((ROW('12_Datos_5m'!$G$5:$G$504)-4&gt;$B$4-B7)*(ROW('12_Datos_5m'!$G$5:$G$504)-4&lt;=$B$4)*'12_Datos_5m'!$G$5:$G$504)/MIN(B7,$B$4))/(SUM('12_Datos_5m'!$G$5:$G$504)/$B$4),"n/d"))</f>
        <v>n/d</v>
      </c>
      <c r="C11" s="108" t="str">
        <f aca="false">IF($B$4&lt;2,"n/d",IFERROR((SUMPRODUCT((ROW('12_Datos_5m'!$G$5:$G$504)-4&gt;$B$4-C7)*(ROW('12_Datos_5m'!$G$5:$G$504)-4&lt;=$B$4)*'12_Datos_5m'!$G$5:$G$504)/MIN(C7,$B$4))/(SUM('12_Datos_5m'!$G$5:$G$504)/$B$4),"n/d"))</f>
        <v>n/d</v>
      </c>
      <c r="D11" s="108" t="str">
        <f aca="false">IF($B$4&lt;2,"n/d",IFERROR((SUMPRODUCT((ROW('12_Datos_5m'!$G$5:$G$504)-4&gt;$B$4-D7)*(ROW('12_Datos_5m'!$G$5:$G$504)-4&lt;=$B$4)*'12_Datos_5m'!$G$5:$G$504)/MIN(D7,$B$4))/(SUM('12_Datos_5m'!$G$5:$G$504)/$B$4),"n/d"))</f>
        <v>n/d</v>
      </c>
      <c r="E11" s="108" t="str">
        <f aca="false">IF($B$4&lt;2,"n/d",IFERROR((SUMPRODUCT((ROW('12_Datos_5m'!$G$5:$G$504)-4&gt;$B$4-E7)*(ROW('12_Datos_5m'!$G$5:$G$504)-4&lt;=$B$4)*'12_Datos_5m'!$G$5:$G$504)/MIN(E7,$B$4))/(SUM('12_Datos_5m'!$G$5:$G$504)/$B$4),"n/d"))</f>
        <v>n/d</v>
      </c>
      <c r="F11" s="13" t="s">
        <v>638</v>
      </c>
    </row>
    <row r="12" customFormat="false" ht="30" hidden="false" customHeight="true" outlineLevel="0" collapsed="false">
      <c r="A12" s="37" t="s">
        <v>639</v>
      </c>
      <c r="B12" s="109" t="str">
        <f aca="false">IF(OR(NOT(ISNUMBER(B8)),NOT(ISNUMBER(B9))),"n/d",IF(B8&gt;=0,IF(B9&gt;=0,"P+ OI+ largos nuevos","P+ OI- cierre de cortos"),IF(B9&gt;=0,"P- OI+ cortos nuevos","P- OI- liquidacion de largos")))</f>
        <v>n/d</v>
      </c>
      <c r="C12" s="109" t="str">
        <f aca="false">IF(OR(NOT(ISNUMBER(C8)),NOT(ISNUMBER(C9))),"n/d",IF(C8&gt;=0,IF(C9&gt;=0,"P+ OI+ largos nuevos","P+ OI- cierre de cortos"),IF(C9&gt;=0,"P- OI+ cortos nuevos","P- OI- liquidacion de largos")))</f>
        <v>n/d</v>
      </c>
      <c r="D12" s="109" t="str">
        <f aca="false">IF(OR(NOT(ISNUMBER(D8)),NOT(ISNUMBER(D9))),"n/d",IF(D8&gt;=0,IF(D9&gt;=0,"P+ OI+ largos nuevos","P+ OI- cierre de cortos"),IF(D9&gt;=0,"P- OI+ cortos nuevos","P- OI- liquidacion de largos")))</f>
        <v>n/d</v>
      </c>
      <c r="E12" s="109" t="str">
        <f aca="false">IF(OR(NOT(ISNUMBER(E8)),NOT(ISNUMBER(E9))),"n/d",IF(E8&gt;=0,IF(E9&gt;=0,"P+ OI+ largos nuevos","P+ OI- cierre de cortos"),IF(E9&gt;=0,"P- OI+ cortos nuevos","P- OI- liquidacion de largos")))</f>
        <v>n/d</v>
      </c>
      <c r="F12" s="13" t="s">
        <v>640</v>
      </c>
    </row>
    <row r="13" customFormat="false" ht="15" hidden="false" customHeight="false" outlineLevel="0" collapsed="false">
      <c r="A13" s="37" t="s">
        <v>641</v>
      </c>
      <c r="B13" s="110" t="str">
        <f aca="false">IF($B$4&lt;1,"n/d",IFERROR((MIN(INDEX('12_Datos_5m'!$C$5:$C$504,$B$4),INDEX('12_Datos_5m'!$F$5:$F$504,$B$4))-INDEX('12_Datos_5m'!$E$5:$E$504,$B$4))/(INDEX('12_Datos_5m'!$D$5:$D$504,$B$4)-INDEX('12_Datos_5m'!$E$5:$E$504,$B$4)),0))</f>
        <v>n/d</v>
      </c>
      <c r="F13" s="13" t="s">
        <v>642</v>
      </c>
    </row>
    <row r="14" customFormat="false" ht="22.35" hidden="false" customHeight="false" outlineLevel="0" collapsed="false">
      <c r="A14" s="37" t="s">
        <v>643</v>
      </c>
      <c r="B14" s="111" t="str">
        <f aca="false">IF($B$4&lt;2,"n/d",IFERROR(1-INDEX('12_Datos_5m'!$I$5:$I$504,$B$4)/_xlfn.MAXIFS('12_Datos_5m'!$I$5:$I$504,'12_Datos_5m'!$A$5:$A$504,"&gt;="&amp;(INDEX('12_Datos_5m'!$A$5:$A$504,$B$4)-86400000)),"n/d"))</f>
        <v>n/d</v>
      </c>
      <c r="F14" s="13" t="s">
        <v>644</v>
      </c>
    </row>
    <row r="16" customFormat="false" ht="15" hidden="false" customHeight="false" outlineLevel="0" collapsed="false">
      <c r="A16" s="40" t="s">
        <v>645</v>
      </c>
      <c r="B16" s="40"/>
      <c r="C16" s="40"/>
      <c r="D16" s="40"/>
      <c r="E16" s="40"/>
      <c r="F16" s="40"/>
    </row>
    <row r="17" customFormat="false" ht="15" hidden="false" customHeight="false" outlineLevel="0" collapsed="false">
      <c r="A17" s="34" t="s">
        <v>646</v>
      </c>
      <c r="B17" s="112" t="n">
        <v>-0.02</v>
      </c>
    </row>
    <row r="18" customFormat="false" ht="15" hidden="false" customHeight="false" outlineLevel="0" collapsed="false">
      <c r="A18" s="34" t="s">
        <v>647</v>
      </c>
      <c r="B18" s="112" t="n">
        <v>-0.015</v>
      </c>
    </row>
    <row r="19" customFormat="false" ht="15" hidden="false" customHeight="false" outlineLevel="0" collapsed="false">
      <c r="A19" s="34" t="s">
        <v>648</v>
      </c>
      <c r="B19" s="113" t="n">
        <v>2</v>
      </c>
    </row>
    <row r="20" customFormat="false" ht="15" hidden="false" customHeight="false" outlineLevel="0" collapsed="false">
      <c r="A20" s="34" t="s">
        <v>649</v>
      </c>
      <c r="B20" s="112" t="n">
        <v>-0.03</v>
      </c>
    </row>
    <row r="21" customFormat="false" ht="15" hidden="false" customHeight="false" outlineLevel="0" collapsed="false">
      <c r="A21" s="34" t="s">
        <v>650</v>
      </c>
      <c r="B21" s="112" t="n">
        <v>-0.02</v>
      </c>
    </row>
    <row r="22" customFormat="false" ht="15" hidden="false" customHeight="false" outlineLevel="0" collapsed="false">
      <c r="A22" s="34" t="s">
        <v>651</v>
      </c>
      <c r="B22" s="60" t="n">
        <v>0.52</v>
      </c>
    </row>
    <row r="23" customFormat="false" ht="15" hidden="false" customHeight="false" outlineLevel="0" collapsed="false">
      <c r="A23" s="34" t="s">
        <v>652</v>
      </c>
      <c r="B23" s="112" t="n">
        <v>-0.008</v>
      </c>
    </row>
    <row r="24" customFormat="false" ht="15" hidden="false" customHeight="false" outlineLevel="0" collapsed="false">
      <c r="A24" s="34" t="s">
        <v>653</v>
      </c>
      <c r="B24" s="112" t="n">
        <v>0.02</v>
      </c>
    </row>
    <row r="25" customFormat="false" ht="15" hidden="false" customHeight="false" outlineLevel="0" collapsed="false">
      <c r="A25" s="34" t="s">
        <v>654</v>
      </c>
      <c r="B25" s="18" t="n">
        <v>0.01</v>
      </c>
    </row>
    <row r="27" customFormat="false" ht="15" hidden="false" customHeight="false" outlineLevel="0" collapsed="false">
      <c r="A27" s="40" t="s">
        <v>655</v>
      </c>
      <c r="B27" s="40"/>
      <c r="C27" s="40"/>
      <c r="D27" s="40"/>
      <c r="E27" s="40"/>
      <c r="F27" s="40"/>
    </row>
    <row r="28" customFormat="false" ht="17.35" hidden="false" customHeight="false" outlineLevel="0" collapsed="false">
      <c r="A28" s="114" t="s">
        <v>656</v>
      </c>
      <c r="B28" s="115" t="str">
        <f aca="false">IFERROR(IF($B$4&lt;60,"SIN DATOS SUFICIENTES",IF(AND(C8&lt;=B17,C9&lt;=B18,C11&gt;=B19),"CASCADA LONG EN CURSO",IF(AND(C8&gt;=-B17,C9&lt;=B18,C11&gt;=B19),"SQUEEZE DE CORTOS EN CURSO",IF(AND(D8&lt;=B20,D9&lt;=B21,B8&gt;=0,B10&gt;=B22),"AGOTAMIENTO POST-CASCADA",IF(AND(B8&lt;=B23,B9&lt;0),"IGNICION",IF(AND(D9&gt;=B24,ABS(D8)&lt;=B25),"CARGANDO COMBUSTIBLE","NEUTRO")))))),"NEUTRO")</f>
        <v>SIN DATOS SUFICIENTES</v>
      </c>
      <c r="C28" s="115"/>
      <c r="D28" s="115"/>
      <c r="E28" s="115"/>
    </row>
    <row r="29" customFormat="false" ht="33.75" hidden="false" customHeight="true" outlineLevel="0" collapsed="false">
      <c r="A29" s="101" t="s">
        <v>657</v>
      </c>
      <c r="B29" s="116" t="str">
        <f aca="false">IFERROR(INDEX($C$33:$C$39,MATCH(B28,$A$33:$A$39,0)),"")</f>
        <v>Instala y refresca qBase5m (hoja 9).</v>
      </c>
      <c r="C29" s="116"/>
      <c r="D29" s="116"/>
      <c r="E29" s="116"/>
      <c r="F29" s="116"/>
    </row>
    <row r="32" customFormat="false" ht="30" hidden="false" customHeight="true" outlineLevel="0" collapsed="false">
      <c r="A32" s="5" t="s">
        <v>658</v>
      </c>
      <c r="B32" s="5" t="s">
        <v>659</v>
      </c>
      <c r="C32" s="5" t="s">
        <v>45</v>
      </c>
      <c r="D32" s="5"/>
      <c r="E32" s="5"/>
      <c r="F32" s="5"/>
    </row>
    <row r="33" customFormat="false" ht="30" hidden="false" customHeight="true" outlineLevel="0" collapsed="false">
      <c r="A33" s="37" t="s">
        <v>660</v>
      </c>
      <c r="B33" s="21" t="s">
        <v>661</v>
      </c>
      <c r="C33" s="21" t="s">
        <v>662</v>
      </c>
      <c r="D33" s="21"/>
      <c r="E33" s="21"/>
      <c r="F33" s="21"/>
    </row>
    <row r="34" customFormat="false" ht="30" hidden="false" customHeight="true" outlineLevel="0" collapsed="false">
      <c r="A34" s="37" t="s">
        <v>663</v>
      </c>
      <c r="B34" s="21" t="s">
        <v>664</v>
      </c>
      <c r="C34" s="21" t="s">
        <v>665</v>
      </c>
      <c r="D34" s="21"/>
      <c r="E34" s="21"/>
      <c r="F34" s="21"/>
    </row>
    <row r="35" customFormat="false" ht="30" hidden="false" customHeight="true" outlineLevel="0" collapsed="false">
      <c r="A35" s="37" t="s">
        <v>666</v>
      </c>
      <c r="B35" s="21" t="s">
        <v>667</v>
      </c>
      <c r="C35" s="21" t="s">
        <v>668</v>
      </c>
      <c r="D35" s="21"/>
      <c r="E35" s="21"/>
      <c r="F35" s="21"/>
    </row>
    <row r="36" customFormat="false" ht="30" hidden="false" customHeight="true" outlineLevel="0" collapsed="false">
      <c r="A36" s="37" t="s">
        <v>669</v>
      </c>
      <c r="B36" s="21" t="s">
        <v>670</v>
      </c>
      <c r="C36" s="21" t="s">
        <v>671</v>
      </c>
      <c r="D36" s="21"/>
      <c r="E36" s="21"/>
      <c r="F36" s="21"/>
    </row>
    <row r="37" customFormat="false" ht="30" hidden="false" customHeight="true" outlineLevel="0" collapsed="false">
      <c r="A37" s="37" t="s">
        <v>672</v>
      </c>
      <c r="B37" s="21" t="s">
        <v>673</v>
      </c>
      <c r="C37" s="21" t="s">
        <v>674</v>
      </c>
      <c r="D37" s="21"/>
      <c r="E37" s="21"/>
      <c r="F37" s="21"/>
    </row>
    <row r="38" customFormat="false" ht="30" hidden="false" customHeight="true" outlineLevel="0" collapsed="false">
      <c r="A38" s="37" t="s">
        <v>675</v>
      </c>
      <c r="B38" s="21" t="s">
        <v>676</v>
      </c>
      <c r="C38" s="21" t="s">
        <v>677</v>
      </c>
      <c r="D38" s="21"/>
      <c r="E38" s="21"/>
      <c r="F38" s="21"/>
    </row>
    <row r="39" customFormat="false" ht="30" hidden="false" customHeight="true" outlineLevel="0" collapsed="false">
      <c r="A39" s="37" t="s">
        <v>678</v>
      </c>
      <c r="B39" s="21" t="s">
        <v>679</v>
      </c>
      <c r="C39" s="21" t="s">
        <v>680</v>
      </c>
      <c r="D39" s="21"/>
      <c r="E39" s="21"/>
      <c r="F39" s="21"/>
    </row>
  </sheetData>
  <mergeCells count="13">
    <mergeCell ref="A1:F1"/>
    <mergeCell ref="A2:F2"/>
    <mergeCell ref="A16:F16"/>
    <mergeCell ref="A27:F27"/>
    <mergeCell ref="B28:E28"/>
    <mergeCell ref="B29:F29"/>
    <mergeCell ref="C33:F33"/>
    <mergeCell ref="C34:F34"/>
    <mergeCell ref="C35:F35"/>
    <mergeCell ref="C36:F36"/>
    <mergeCell ref="C37:F37"/>
    <mergeCell ref="C38:F38"/>
    <mergeCell ref="C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4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44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41" t="s">
        <v>681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682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683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684</v>
      </c>
      <c r="B5" s="5" t="s">
        <v>68</v>
      </c>
      <c r="C5" s="5" t="s">
        <v>685</v>
      </c>
      <c r="D5" s="5" t="s">
        <v>686</v>
      </c>
      <c r="E5" s="5" t="s">
        <v>687</v>
      </c>
      <c r="F5" s="5" t="s">
        <v>688</v>
      </c>
      <c r="G5" s="5" t="s">
        <v>689</v>
      </c>
      <c r="H5" s="5" t="s">
        <v>10</v>
      </c>
      <c r="I5" s="5"/>
    </row>
    <row r="6" customFormat="false" ht="15" hidden="false" customHeight="true" outlineLevel="0" collapsed="false">
      <c r="A6" s="117" t="s">
        <v>690</v>
      </c>
      <c r="B6" s="64" t="n">
        <v>3</v>
      </c>
      <c r="C6" s="64" t="n">
        <v>3</v>
      </c>
      <c r="D6" s="118" t="n">
        <f aca="false">B6*C6</f>
        <v>9</v>
      </c>
      <c r="E6" s="11" t="s">
        <v>691</v>
      </c>
      <c r="F6" s="49" t="s">
        <v>378</v>
      </c>
      <c r="G6" s="11" t="s">
        <v>692</v>
      </c>
      <c r="H6" s="13" t="s">
        <v>693</v>
      </c>
      <c r="I6" s="14"/>
    </row>
    <row r="7" customFormat="false" ht="15" hidden="false" customHeight="true" outlineLevel="0" collapsed="false">
      <c r="A7" s="117" t="s">
        <v>694</v>
      </c>
      <c r="B7" s="64" t="n">
        <v>3</v>
      </c>
      <c r="C7" s="64" t="n">
        <v>3</v>
      </c>
      <c r="D7" s="118" t="n">
        <f aca="false">B7*C7</f>
        <v>9</v>
      </c>
      <c r="E7" s="11" t="s">
        <v>691</v>
      </c>
      <c r="F7" s="49" t="s">
        <v>378</v>
      </c>
      <c r="G7" s="11" t="s">
        <v>692</v>
      </c>
      <c r="H7" s="13" t="s">
        <v>695</v>
      </c>
      <c r="I7" s="14"/>
    </row>
    <row r="8" customFormat="false" ht="15" hidden="false" customHeight="true" outlineLevel="0" collapsed="false">
      <c r="A8" s="117" t="s">
        <v>696</v>
      </c>
      <c r="B8" s="64" t="n">
        <v>3</v>
      </c>
      <c r="C8" s="64" t="n">
        <v>3</v>
      </c>
      <c r="D8" s="118" t="n">
        <f aca="false">B8*C8</f>
        <v>9</v>
      </c>
      <c r="E8" s="11" t="s">
        <v>697</v>
      </c>
      <c r="F8" s="49" t="s">
        <v>698</v>
      </c>
      <c r="G8" s="11" t="s">
        <v>699</v>
      </c>
      <c r="H8" s="13" t="s">
        <v>700</v>
      </c>
      <c r="I8" s="14"/>
    </row>
    <row r="9" customFormat="false" ht="15" hidden="false" customHeight="true" outlineLevel="0" collapsed="false">
      <c r="A9" s="117" t="s">
        <v>701</v>
      </c>
      <c r="B9" s="64" t="n">
        <v>2</v>
      </c>
      <c r="C9" s="64" t="n">
        <v>3</v>
      </c>
      <c r="D9" s="118" t="n">
        <f aca="false">B9*C9</f>
        <v>6</v>
      </c>
      <c r="E9" s="11" t="s">
        <v>697</v>
      </c>
      <c r="F9" s="49" t="s">
        <v>702</v>
      </c>
      <c r="G9" s="11" t="s">
        <v>703</v>
      </c>
      <c r="H9" s="13" t="s">
        <v>704</v>
      </c>
      <c r="I9" s="14"/>
    </row>
    <row r="10" customFormat="false" ht="15" hidden="false" customHeight="true" outlineLevel="0" collapsed="false">
      <c r="A10" s="117" t="s">
        <v>705</v>
      </c>
      <c r="B10" s="64" t="n">
        <v>2</v>
      </c>
      <c r="C10" s="64" t="n">
        <v>2</v>
      </c>
      <c r="D10" s="118" t="n">
        <f aca="false">B10*C10</f>
        <v>4</v>
      </c>
      <c r="E10" s="11" t="s">
        <v>691</v>
      </c>
      <c r="F10" s="49" t="s">
        <v>378</v>
      </c>
      <c r="G10" s="11" t="s">
        <v>706</v>
      </c>
      <c r="H10" s="13" t="s">
        <v>707</v>
      </c>
      <c r="I10" s="14"/>
    </row>
    <row r="11" customFormat="false" ht="15" hidden="false" customHeight="true" outlineLevel="0" collapsed="false">
      <c r="A11" s="117" t="s">
        <v>708</v>
      </c>
      <c r="B11" s="64" t="n">
        <v>3</v>
      </c>
      <c r="C11" s="64" t="n">
        <v>3</v>
      </c>
      <c r="D11" s="118" t="n">
        <f aca="false">B11*C11</f>
        <v>9</v>
      </c>
      <c r="E11" s="11" t="s">
        <v>691</v>
      </c>
      <c r="F11" s="49" t="s">
        <v>378</v>
      </c>
      <c r="G11" s="11" t="s">
        <v>709</v>
      </c>
      <c r="H11" s="13" t="s">
        <v>710</v>
      </c>
      <c r="I11" s="14"/>
    </row>
    <row r="12" customFormat="false" ht="15" hidden="false" customHeight="true" outlineLevel="0" collapsed="false">
      <c r="A12" s="117" t="s">
        <v>711</v>
      </c>
      <c r="B12" s="64" t="n">
        <v>3</v>
      </c>
      <c r="C12" s="64" t="n">
        <v>3</v>
      </c>
      <c r="D12" s="118" t="n">
        <f aca="false">B12*C12</f>
        <v>9</v>
      </c>
      <c r="E12" s="11" t="s">
        <v>691</v>
      </c>
      <c r="F12" s="49" t="s">
        <v>378</v>
      </c>
      <c r="G12" s="11" t="s">
        <v>692</v>
      </c>
      <c r="H12" s="13" t="s">
        <v>712</v>
      </c>
      <c r="I12" s="14"/>
    </row>
    <row r="13" customFormat="false" ht="15" hidden="false" customHeight="true" outlineLevel="0" collapsed="false">
      <c r="A13" s="22" t="s">
        <v>713</v>
      </c>
      <c r="D13" s="119" t="n">
        <f aca="false">SUM(D6:D12)</f>
        <v>55</v>
      </c>
      <c r="E13" s="11" t="n">
        <f aca="false">SUM(B6:B12)*3</f>
        <v>57</v>
      </c>
      <c r="F13" s="20" t="n">
        <f aca="false">D13/E13</f>
        <v>0.964912280701754</v>
      </c>
      <c r="G13" s="25" t="s">
        <v>714</v>
      </c>
      <c r="H13" s="14"/>
      <c r="I13" s="14"/>
    </row>
    <row r="15" customFormat="false" ht="15" hidden="false" customHeight="true" outlineLevel="0" collapsed="false">
      <c r="A15" s="4" t="s">
        <v>715</v>
      </c>
      <c r="B15" s="4"/>
      <c r="C15" s="4"/>
      <c r="D15" s="4"/>
      <c r="E15" s="4"/>
      <c r="F15" s="4"/>
      <c r="G15" s="4"/>
      <c r="H15" s="4"/>
      <c r="I15" s="4"/>
    </row>
    <row r="16" customFormat="false" ht="30" hidden="false" customHeight="true" outlineLevel="0" collapsed="false">
      <c r="A16" s="5" t="s">
        <v>684</v>
      </c>
      <c r="B16" s="5" t="s">
        <v>68</v>
      </c>
      <c r="C16" s="5" t="s">
        <v>685</v>
      </c>
      <c r="D16" s="5" t="s">
        <v>686</v>
      </c>
      <c r="E16" s="5" t="s">
        <v>687</v>
      </c>
      <c r="F16" s="5" t="s">
        <v>688</v>
      </c>
      <c r="G16" s="5" t="s">
        <v>689</v>
      </c>
      <c r="H16" s="5" t="s">
        <v>10</v>
      </c>
      <c r="I16" s="5"/>
    </row>
    <row r="17" customFormat="false" ht="15" hidden="false" customHeight="true" outlineLevel="0" collapsed="false">
      <c r="A17" s="117" t="s">
        <v>716</v>
      </c>
      <c r="B17" s="64" t="n">
        <v>3</v>
      </c>
      <c r="C17" s="64" t="n">
        <v>3</v>
      </c>
      <c r="D17" s="118" t="n">
        <f aca="false">B17*C17</f>
        <v>9</v>
      </c>
      <c r="E17" s="11" t="s">
        <v>697</v>
      </c>
      <c r="F17" s="49" t="s">
        <v>717</v>
      </c>
      <c r="G17" s="11" t="s">
        <v>718</v>
      </c>
      <c r="H17" s="13" t="s">
        <v>719</v>
      </c>
      <c r="I17" s="14"/>
    </row>
    <row r="18" customFormat="false" ht="15" hidden="false" customHeight="true" outlineLevel="0" collapsed="false">
      <c r="A18" s="117" t="s">
        <v>720</v>
      </c>
      <c r="B18" s="64" t="n">
        <v>2</v>
      </c>
      <c r="C18" s="64" t="n">
        <v>3</v>
      </c>
      <c r="D18" s="118" t="n">
        <f aca="false">B18*C18</f>
        <v>6</v>
      </c>
      <c r="E18" s="11" t="s">
        <v>697</v>
      </c>
      <c r="F18" s="49" t="s">
        <v>721</v>
      </c>
      <c r="G18" s="11" t="s">
        <v>692</v>
      </c>
      <c r="H18" s="13" t="s">
        <v>722</v>
      </c>
      <c r="I18" s="14"/>
    </row>
    <row r="19" customFormat="false" ht="15" hidden="false" customHeight="true" outlineLevel="0" collapsed="false">
      <c r="A19" s="117" t="s">
        <v>723</v>
      </c>
      <c r="B19" s="64" t="n">
        <v>3</v>
      </c>
      <c r="C19" s="64" t="n">
        <v>3</v>
      </c>
      <c r="D19" s="118" t="n">
        <f aca="false">B19*C19</f>
        <v>9</v>
      </c>
      <c r="E19" s="11" t="s">
        <v>691</v>
      </c>
      <c r="F19" s="49" t="s">
        <v>378</v>
      </c>
      <c r="G19" s="11" t="s">
        <v>692</v>
      </c>
      <c r="H19" s="13" t="s">
        <v>724</v>
      </c>
      <c r="I19" s="14"/>
    </row>
    <row r="20" customFormat="false" ht="15" hidden="false" customHeight="true" outlineLevel="0" collapsed="false">
      <c r="A20" s="117" t="s">
        <v>725</v>
      </c>
      <c r="B20" s="64" t="n">
        <v>3</v>
      </c>
      <c r="C20" s="64" t="n">
        <v>2</v>
      </c>
      <c r="D20" s="118" t="n">
        <f aca="false">B20*C20</f>
        <v>6</v>
      </c>
      <c r="E20" s="11" t="s">
        <v>697</v>
      </c>
      <c r="F20" s="49" t="s">
        <v>726</v>
      </c>
      <c r="G20" s="11" t="s">
        <v>692</v>
      </c>
      <c r="H20" s="13" t="s">
        <v>727</v>
      </c>
      <c r="I20" s="14"/>
    </row>
    <row r="21" customFormat="false" ht="15" hidden="false" customHeight="true" outlineLevel="0" collapsed="false">
      <c r="A21" s="117" t="s">
        <v>728</v>
      </c>
      <c r="B21" s="64" t="n">
        <v>3</v>
      </c>
      <c r="C21" s="64" t="n">
        <v>3</v>
      </c>
      <c r="D21" s="118" t="n">
        <f aca="false">B21*C21</f>
        <v>9</v>
      </c>
      <c r="E21" s="11" t="s">
        <v>697</v>
      </c>
      <c r="F21" s="49" t="s">
        <v>729</v>
      </c>
      <c r="G21" s="11" t="s">
        <v>730</v>
      </c>
      <c r="H21" s="13" t="s">
        <v>731</v>
      </c>
      <c r="I21" s="14"/>
    </row>
    <row r="22" customFormat="false" ht="15" hidden="false" customHeight="true" outlineLevel="0" collapsed="false">
      <c r="A22" s="117" t="s">
        <v>732</v>
      </c>
      <c r="B22" s="64" t="n">
        <v>2</v>
      </c>
      <c r="C22" s="64" t="n">
        <v>2</v>
      </c>
      <c r="D22" s="118" t="n">
        <f aca="false">B22*C22</f>
        <v>4</v>
      </c>
      <c r="E22" s="11" t="s">
        <v>691</v>
      </c>
      <c r="F22" s="49" t="s">
        <v>378</v>
      </c>
      <c r="G22" s="11" t="s">
        <v>692</v>
      </c>
      <c r="H22" s="13" t="s">
        <v>733</v>
      </c>
      <c r="I22" s="14"/>
    </row>
    <row r="23" customFormat="false" ht="15" hidden="false" customHeight="true" outlineLevel="0" collapsed="false">
      <c r="A23" s="117" t="s">
        <v>734</v>
      </c>
      <c r="B23" s="64" t="n">
        <v>2</v>
      </c>
      <c r="C23" s="64" t="n">
        <v>2</v>
      </c>
      <c r="D23" s="118" t="n">
        <f aca="false">B23*C23</f>
        <v>4</v>
      </c>
      <c r="E23" s="11" t="s">
        <v>697</v>
      </c>
      <c r="F23" s="49" t="s">
        <v>735</v>
      </c>
      <c r="G23" s="11" t="s">
        <v>736</v>
      </c>
      <c r="H23" s="13" t="s">
        <v>737</v>
      </c>
      <c r="I23" s="14"/>
    </row>
    <row r="24" customFormat="false" ht="15" hidden="false" customHeight="true" outlineLevel="0" collapsed="false">
      <c r="A24" s="22" t="s">
        <v>738</v>
      </c>
      <c r="D24" s="119" t="n">
        <f aca="false">SUM(D17:D23)</f>
        <v>47</v>
      </c>
      <c r="E24" s="11" t="n">
        <f aca="false">SUM(B17:B23)*3</f>
        <v>54</v>
      </c>
      <c r="F24" s="20" t="n">
        <f aca="false">D24/E24</f>
        <v>0.87037037037037</v>
      </c>
      <c r="G24" s="25" t="s">
        <v>714</v>
      </c>
      <c r="H24" s="14"/>
      <c r="I24" s="14"/>
    </row>
    <row r="26" customFormat="false" ht="15" hidden="false" customHeight="true" outlineLevel="0" collapsed="false">
      <c r="A26" s="4" t="s">
        <v>739</v>
      </c>
      <c r="B26" s="4"/>
      <c r="C26" s="4"/>
      <c r="D26" s="4"/>
      <c r="E26" s="4"/>
      <c r="F26" s="4"/>
      <c r="G26" s="4"/>
      <c r="H26" s="4"/>
      <c r="I26" s="4"/>
    </row>
    <row r="27" customFormat="false" ht="30" hidden="false" customHeight="true" outlineLevel="0" collapsed="false">
      <c r="A27" s="5" t="s">
        <v>740</v>
      </c>
      <c r="B27" s="5" t="s">
        <v>133</v>
      </c>
      <c r="C27" s="5" t="s">
        <v>741</v>
      </c>
      <c r="D27" s="5" t="s">
        <v>742</v>
      </c>
      <c r="E27" s="5" t="s">
        <v>127</v>
      </c>
      <c r="F27" s="5"/>
      <c r="G27" s="5"/>
      <c r="H27" s="5"/>
      <c r="I27" s="5"/>
    </row>
    <row r="28" customFormat="false" ht="27.75" hidden="false" customHeight="true" outlineLevel="0" collapsed="false">
      <c r="A28" s="6" t="s">
        <v>743</v>
      </c>
      <c r="B28" s="24" t="n">
        <f aca="false">IFERROR(F13/(F13+F24),0)</f>
        <v>0.525756771109931</v>
      </c>
      <c r="C28" s="11" t="s">
        <v>744</v>
      </c>
      <c r="D28" s="21" t="s">
        <v>745</v>
      </c>
      <c r="E28" s="21" t="s">
        <v>746</v>
      </c>
      <c r="F28" s="14"/>
      <c r="G28" s="14"/>
      <c r="H28" s="14"/>
      <c r="I28" s="14"/>
    </row>
    <row r="29" customFormat="false" ht="27.75" hidden="false" customHeight="true" outlineLevel="0" collapsed="false">
      <c r="A29" s="6" t="s">
        <v>747</v>
      </c>
      <c r="B29" s="24" t="n">
        <f aca="false">IFERROR(F24/(F13+F24),0)</f>
        <v>0.474243228890069</v>
      </c>
      <c r="C29" s="11" t="s">
        <v>748</v>
      </c>
      <c r="D29" s="21" t="s">
        <v>749</v>
      </c>
      <c r="E29" s="21" t="s">
        <v>750</v>
      </c>
      <c r="F29" s="14"/>
      <c r="G29" s="14"/>
      <c r="H29" s="14"/>
      <c r="I29" s="14"/>
    </row>
    <row r="30" customFormat="false" ht="27.75" hidden="false" customHeight="true" outlineLevel="0" collapsed="false">
      <c r="A30" s="6" t="s">
        <v>751</v>
      </c>
      <c r="B30" s="24" t="n">
        <v>0.58</v>
      </c>
      <c r="C30" s="11" t="s">
        <v>752</v>
      </c>
      <c r="D30" s="21" t="s">
        <v>753</v>
      </c>
      <c r="E30" s="21" t="s">
        <v>754</v>
      </c>
      <c r="F30" s="14"/>
      <c r="G30" s="14"/>
      <c r="H30" s="14"/>
      <c r="I30" s="14"/>
    </row>
    <row r="31" customFormat="false" ht="27.75" hidden="false" customHeight="true" outlineLevel="0" collapsed="false">
      <c r="A31" s="6" t="s">
        <v>755</v>
      </c>
      <c r="B31" s="24" t="n">
        <f aca="false">B29*B30</f>
        <v>0.27506107275624</v>
      </c>
      <c r="C31" s="11" t="s">
        <v>756</v>
      </c>
      <c r="D31" s="21" t="s">
        <v>757</v>
      </c>
      <c r="E31" s="21" t="s">
        <v>758</v>
      </c>
      <c r="F31" s="14"/>
      <c r="G31" s="14"/>
      <c r="H31" s="14"/>
      <c r="I31" s="14"/>
    </row>
    <row r="32" customFormat="false" ht="27.75" hidden="false" customHeight="true" outlineLevel="0" collapsed="false">
      <c r="A32" s="6" t="s">
        <v>759</v>
      </c>
      <c r="B32" s="24" t="n">
        <f aca="false">MAX(0,1-B28-B31)</f>
        <v>0.199182156133829</v>
      </c>
      <c r="C32" s="11" t="s">
        <v>760</v>
      </c>
      <c r="D32" s="21" t="s">
        <v>761</v>
      </c>
      <c r="E32" s="21" t="s">
        <v>762</v>
      </c>
      <c r="F32" s="14"/>
      <c r="G32" s="14"/>
      <c r="H32" s="14"/>
      <c r="I32" s="14"/>
    </row>
    <row r="33" customFormat="false" ht="15" hidden="false" customHeight="true" outlineLevel="0" collapsed="false">
      <c r="A33" s="22" t="s">
        <v>763</v>
      </c>
      <c r="B33" s="23" t="str">
        <f aca="false">IF(B28&gt;B31,"UTAD / DISTRIBUCION","SPRING / REACUMULACION")</f>
        <v>UTAD / DISTRIBUCION</v>
      </c>
      <c r="C33" s="23"/>
      <c r="D33" s="23"/>
      <c r="E33" s="23"/>
      <c r="F33" s="14"/>
      <c r="G33" s="14"/>
      <c r="H33" s="14"/>
      <c r="I33" s="14"/>
    </row>
  </sheetData>
  <mergeCells count="6">
    <mergeCell ref="A1:I1"/>
    <mergeCell ref="A2:I2"/>
    <mergeCell ref="A4:I4"/>
    <mergeCell ref="A15:I15"/>
    <mergeCell ref="A26:I26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8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41" t="s">
        <v>764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765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766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767</v>
      </c>
      <c r="B5" s="5" t="s">
        <v>133</v>
      </c>
      <c r="C5" s="5"/>
      <c r="D5" s="5"/>
      <c r="E5" s="5"/>
      <c r="F5" s="5"/>
      <c r="G5" s="5"/>
      <c r="H5" s="5" t="s">
        <v>71</v>
      </c>
      <c r="I5" s="5"/>
    </row>
    <row r="6" customFormat="false" ht="15" hidden="false" customHeight="true" outlineLevel="0" collapsed="false">
      <c r="A6" s="6" t="s">
        <v>768</v>
      </c>
      <c r="B6" s="120" t="n">
        <v>10000</v>
      </c>
      <c r="C6" s="14"/>
      <c r="D6" s="14"/>
      <c r="E6" s="14"/>
      <c r="F6" s="14"/>
      <c r="G6" s="14"/>
      <c r="H6" s="13" t="s">
        <v>769</v>
      </c>
      <c r="I6" s="14"/>
    </row>
    <row r="7" customFormat="false" ht="15" hidden="false" customHeight="true" outlineLevel="0" collapsed="false">
      <c r="A7" s="6" t="s">
        <v>770</v>
      </c>
      <c r="B7" s="121" t="n">
        <v>0.02</v>
      </c>
      <c r="C7" s="14"/>
      <c r="D7" s="14"/>
      <c r="E7" s="14"/>
      <c r="F7" s="14"/>
      <c r="G7" s="14"/>
      <c r="H7" s="13" t="s">
        <v>771</v>
      </c>
      <c r="I7" s="14"/>
    </row>
    <row r="8" customFormat="false" ht="15" hidden="false" customHeight="true" outlineLevel="0" collapsed="false">
      <c r="A8" s="6" t="s">
        <v>772</v>
      </c>
      <c r="B8" s="122" t="n">
        <v>3</v>
      </c>
      <c r="C8" s="14"/>
      <c r="D8" s="14"/>
      <c r="E8" s="14"/>
      <c r="F8" s="14"/>
      <c r="G8" s="14"/>
      <c r="H8" s="13" t="s">
        <v>773</v>
      </c>
      <c r="I8" s="14"/>
    </row>
    <row r="9" customFormat="false" ht="15" hidden="false" customHeight="true" outlineLevel="0" collapsed="false">
      <c r="A9" s="6" t="s">
        <v>774</v>
      </c>
      <c r="B9" s="120" t="n">
        <v>75000</v>
      </c>
      <c r="C9" s="14"/>
      <c r="D9" s="14"/>
      <c r="E9" s="14"/>
      <c r="F9" s="14"/>
      <c r="G9" s="14"/>
      <c r="H9" s="13" t="s">
        <v>775</v>
      </c>
      <c r="I9" s="14"/>
    </row>
    <row r="10" customFormat="false" ht="15" hidden="false" customHeight="true" outlineLevel="0" collapsed="false">
      <c r="A10" s="6" t="s">
        <v>776</v>
      </c>
      <c r="B10" s="120" t="n">
        <v>73800</v>
      </c>
      <c r="C10" s="14"/>
      <c r="D10" s="14"/>
      <c r="E10" s="14"/>
      <c r="F10" s="14"/>
      <c r="G10" s="14"/>
      <c r="H10" s="13" t="s">
        <v>777</v>
      </c>
      <c r="I10" s="14"/>
    </row>
    <row r="11" customFormat="false" ht="15" hidden="false" customHeight="true" outlineLevel="0" collapsed="false">
      <c r="A11" s="6" t="s">
        <v>778</v>
      </c>
      <c r="B11" s="120" t="n">
        <v>77250</v>
      </c>
      <c r="C11" s="14"/>
      <c r="D11" s="14"/>
      <c r="E11" s="14"/>
      <c r="F11" s="14"/>
      <c r="G11" s="14"/>
      <c r="H11" s="13" t="s">
        <v>779</v>
      </c>
      <c r="I11" s="14"/>
    </row>
    <row r="12" customFormat="false" ht="15" hidden="false" customHeight="true" outlineLevel="0" collapsed="false">
      <c r="A12" s="6" t="s">
        <v>780</v>
      </c>
      <c r="B12" s="120" t="n">
        <v>79000</v>
      </c>
      <c r="C12" s="14"/>
      <c r="D12" s="14"/>
      <c r="E12" s="14"/>
      <c r="F12" s="14"/>
      <c r="G12" s="14"/>
      <c r="H12" s="13" t="s">
        <v>781</v>
      </c>
      <c r="I12" s="14"/>
    </row>
    <row r="13" customFormat="false" ht="15" hidden="false" customHeight="true" outlineLevel="0" collapsed="false">
      <c r="A13" s="6" t="s">
        <v>782</v>
      </c>
      <c r="B13" s="123" t="n">
        <v>3</v>
      </c>
      <c r="C13" s="14"/>
      <c r="D13" s="14"/>
      <c r="E13" s="14"/>
      <c r="F13" s="14"/>
      <c r="G13" s="14"/>
      <c r="H13" s="13" t="s">
        <v>783</v>
      </c>
      <c r="I13" s="14"/>
    </row>
    <row r="15" customFormat="false" ht="15" hidden="false" customHeight="true" outlineLevel="0" collapsed="false">
      <c r="A15" s="4" t="s">
        <v>784</v>
      </c>
      <c r="B15" s="4"/>
      <c r="C15" s="4"/>
      <c r="D15" s="4"/>
      <c r="E15" s="4"/>
      <c r="F15" s="4"/>
      <c r="G15" s="4"/>
      <c r="H15" s="4"/>
      <c r="I15" s="4"/>
    </row>
    <row r="16" customFormat="false" ht="30" hidden="false" customHeight="true" outlineLevel="0" collapsed="false">
      <c r="A16" s="5" t="s">
        <v>3</v>
      </c>
      <c r="B16" s="5" t="s">
        <v>133</v>
      </c>
      <c r="C16" s="5" t="s">
        <v>401</v>
      </c>
      <c r="D16" s="5"/>
      <c r="E16" s="5"/>
      <c r="F16" s="5"/>
      <c r="G16" s="5"/>
      <c r="H16" s="5" t="s">
        <v>405</v>
      </c>
      <c r="I16" s="5"/>
    </row>
    <row r="17" customFormat="false" ht="24" hidden="false" customHeight="true" outlineLevel="0" collapsed="false">
      <c r="A17" s="6" t="s">
        <v>785</v>
      </c>
      <c r="B17" s="124" t="n">
        <f aca="false">($B$9-$B$10)/$B$9</f>
        <v>0.016</v>
      </c>
      <c r="C17" s="49" t="s">
        <v>415</v>
      </c>
      <c r="D17" s="14"/>
      <c r="E17" s="14"/>
      <c r="F17" s="14"/>
      <c r="G17" s="14"/>
      <c r="H17" s="13" t="s">
        <v>786</v>
      </c>
      <c r="I17" s="14"/>
    </row>
    <row r="18" customFormat="false" ht="24" hidden="false" customHeight="true" outlineLevel="0" collapsed="false">
      <c r="A18" s="6" t="s">
        <v>787</v>
      </c>
      <c r="B18" s="124" t="n">
        <f aca="false">(($B$9-$B$10)/$B$9)*$B$8</f>
        <v>0.048</v>
      </c>
      <c r="C18" s="49" t="s">
        <v>415</v>
      </c>
      <c r="D18" s="14"/>
      <c r="E18" s="14"/>
      <c r="F18" s="14"/>
      <c r="G18" s="14"/>
      <c r="H18" s="13" t="s">
        <v>788</v>
      </c>
      <c r="I18" s="14"/>
    </row>
    <row r="19" customFormat="false" ht="24" hidden="false" customHeight="true" outlineLevel="0" collapsed="false">
      <c r="A19" s="6" t="s">
        <v>789</v>
      </c>
      <c r="B19" s="124" t="n">
        <f aca="false">(($B$11-$B$9)/$B$9)*$B$8</f>
        <v>0.09</v>
      </c>
      <c r="C19" s="49" t="s">
        <v>415</v>
      </c>
      <c r="D19" s="14"/>
      <c r="E19" s="14"/>
      <c r="F19" s="14"/>
      <c r="G19" s="14"/>
      <c r="H19" s="13" t="s">
        <v>790</v>
      </c>
      <c r="I19" s="14"/>
    </row>
    <row r="20" customFormat="false" ht="24" hidden="false" customHeight="true" outlineLevel="0" collapsed="false">
      <c r="A20" s="6" t="s">
        <v>791</v>
      </c>
      <c r="B20" s="124" t="n">
        <f aca="false">(($B$12-$B$9)/$B$9)*$B$8</f>
        <v>0.16</v>
      </c>
      <c r="C20" s="49" t="s">
        <v>415</v>
      </c>
      <c r="D20" s="14"/>
      <c r="E20" s="14"/>
      <c r="F20" s="14"/>
      <c r="G20" s="14"/>
      <c r="H20" s="13" t="s">
        <v>792</v>
      </c>
      <c r="I20" s="14"/>
    </row>
    <row r="21" customFormat="false" ht="24" hidden="false" customHeight="true" outlineLevel="0" collapsed="false">
      <c r="A21" s="6" t="s">
        <v>793</v>
      </c>
      <c r="B21" s="125" t="n">
        <f aca="false">IFERROR(($B$11-$B$9)/($B$9-$B$10),0)</f>
        <v>1.875</v>
      </c>
      <c r="C21" s="49" t="s">
        <v>419</v>
      </c>
      <c r="D21" s="14"/>
      <c r="E21" s="14"/>
      <c r="F21" s="14"/>
      <c r="G21" s="14"/>
      <c r="H21" s="13" t="s">
        <v>794</v>
      </c>
      <c r="I21" s="14"/>
    </row>
    <row r="22" customFormat="false" ht="24" hidden="false" customHeight="true" outlineLevel="0" collapsed="false">
      <c r="A22" s="6" t="s">
        <v>795</v>
      </c>
      <c r="B22" s="72" t="n">
        <f aca="false">IFERROR($B$6*$B$7/(($B$9-$B$10)/$B$9),0)</f>
        <v>12500</v>
      </c>
      <c r="C22" s="49" t="s">
        <v>407</v>
      </c>
      <c r="D22" s="14"/>
      <c r="E22" s="14"/>
      <c r="F22" s="14"/>
      <c r="G22" s="14"/>
      <c r="H22" s="13" t="s">
        <v>796</v>
      </c>
      <c r="I22" s="14"/>
    </row>
    <row r="23" customFormat="false" ht="24" hidden="false" customHeight="true" outlineLevel="0" collapsed="false">
      <c r="A23" s="6" t="s">
        <v>797</v>
      </c>
      <c r="B23" s="72" t="n">
        <f aca="false">IFERROR(B22/$B$8,0)</f>
        <v>4166.66666666667</v>
      </c>
      <c r="C23" s="49" t="s">
        <v>407</v>
      </c>
      <c r="D23" s="14"/>
      <c r="E23" s="14"/>
      <c r="F23" s="14"/>
      <c r="G23" s="14"/>
      <c r="H23" s="13" t="s">
        <v>798</v>
      </c>
      <c r="I23" s="14"/>
    </row>
    <row r="24" customFormat="false" ht="24" hidden="false" customHeight="true" outlineLevel="0" collapsed="false">
      <c r="A24" s="6" t="s">
        <v>799</v>
      </c>
      <c r="B24" s="72" t="n">
        <f aca="false">IFERROR($B$6*$B$7,0)</f>
        <v>200</v>
      </c>
      <c r="C24" s="49" t="s">
        <v>407</v>
      </c>
      <c r="D24" s="14"/>
      <c r="E24" s="14"/>
      <c r="F24" s="14"/>
      <c r="G24" s="14"/>
      <c r="H24" s="13" t="s">
        <v>800</v>
      </c>
      <c r="I24" s="14"/>
    </row>
    <row r="25" customFormat="false" ht="24" hidden="false" customHeight="true" outlineLevel="0" collapsed="false">
      <c r="A25" s="6" t="s">
        <v>801</v>
      </c>
      <c r="B25" s="126" t="n">
        <f aca="false">IFERROR((($B$9-$B$10)/$B$9)/((($B$9-$B$10)/$B$9)+(($B$11-$B$9)/$B$9)),0)</f>
        <v>0.347826086956522</v>
      </c>
      <c r="C25" s="49" t="s">
        <v>411</v>
      </c>
      <c r="D25" s="14"/>
      <c r="E25" s="14"/>
      <c r="F25" s="14"/>
      <c r="G25" s="14"/>
      <c r="H25" s="13" t="s">
        <v>802</v>
      </c>
      <c r="I25" s="14"/>
    </row>
    <row r="26" customFormat="false" ht="24" hidden="false" customHeight="true" outlineLevel="0" collapsed="false">
      <c r="A26" s="6" t="s">
        <v>803</v>
      </c>
      <c r="B26" s="126" t="n">
        <f aca="false">1-(1-$B$7)^$B$13</f>
        <v>0.0588080000000001</v>
      </c>
      <c r="C26" s="49" t="s">
        <v>411</v>
      </c>
      <c r="D26" s="14"/>
      <c r="E26" s="14"/>
      <c r="F26" s="14"/>
      <c r="G26" s="14"/>
      <c r="H26" s="13" t="s">
        <v>804</v>
      </c>
      <c r="I26" s="14"/>
    </row>
    <row r="27" customFormat="false" ht="24" hidden="false" customHeight="true" outlineLevel="0" collapsed="false">
      <c r="A27" s="6" t="s">
        <v>805</v>
      </c>
      <c r="B27" s="124" t="n">
        <f aca="false">(($B$9-$B$10)/$B$9)*5</f>
        <v>0.08</v>
      </c>
      <c r="C27" s="49" t="s">
        <v>415</v>
      </c>
      <c r="D27" s="14"/>
      <c r="E27" s="14"/>
      <c r="F27" s="14"/>
      <c r="G27" s="14"/>
      <c r="H27" s="13" t="s">
        <v>806</v>
      </c>
      <c r="I27" s="14"/>
    </row>
    <row r="29" customFormat="false" ht="15" hidden="false" customHeight="true" outlineLevel="0" collapsed="false">
      <c r="A29" s="4" t="s">
        <v>807</v>
      </c>
      <c r="B29" s="4"/>
      <c r="C29" s="4"/>
      <c r="D29" s="4"/>
      <c r="E29" s="4"/>
      <c r="F29" s="4"/>
      <c r="G29" s="4"/>
      <c r="H29" s="4"/>
      <c r="I29" s="4"/>
    </row>
    <row r="30" customFormat="false" ht="30" hidden="false" customHeight="true" outlineLevel="0" collapsed="false">
      <c r="A30" s="5" t="s">
        <v>64</v>
      </c>
      <c r="B30" s="5" t="s">
        <v>65</v>
      </c>
      <c r="C30" s="5" t="s">
        <v>133</v>
      </c>
      <c r="D30" s="5" t="s">
        <v>67</v>
      </c>
      <c r="E30" s="5" t="s">
        <v>68</v>
      </c>
      <c r="F30" s="5" t="s">
        <v>69</v>
      </c>
      <c r="G30" s="5" t="s">
        <v>808</v>
      </c>
      <c r="H30" s="5" t="s">
        <v>809</v>
      </c>
      <c r="I30" s="5"/>
    </row>
    <row r="31" customFormat="false" ht="15" hidden="false" customHeight="true" outlineLevel="0" collapsed="false">
      <c r="A31" s="6" t="s">
        <v>72</v>
      </c>
      <c r="B31" s="11" t="s">
        <v>810</v>
      </c>
      <c r="C31" s="15" t="n">
        <f aca="false">'1_Dashboard'!C24</f>
        <v>0</v>
      </c>
      <c r="D31" s="27" t="n">
        <f aca="false">IF(NOT(ISNUMBER(C31)),0,IF(C31&gt;=800000000,1,0))</f>
        <v>0</v>
      </c>
      <c r="E31" s="28" t="n">
        <v>1</v>
      </c>
      <c r="F31" s="29" t="n">
        <f aca="false">D31*E31</f>
        <v>0</v>
      </c>
      <c r="G31" s="11" t="s">
        <v>811</v>
      </c>
      <c r="H31" s="13" t="s">
        <v>812</v>
      </c>
      <c r="I31" s="14"/>
    </row>
    <row r="32" customFormat="false" ht="15" hidden="false" customHeight="true" outlineLevel="0" collapsed="false">
      <c r="A32" s="6" t="s">
        <v>813</v>
      </c>
      <c r="B32" s="11" t="s">
        <v>77</v>
      </c>
      <c r="C32" s="15" t="n">
        <f aca="false">'1_Dashboard'!C25</f>
        <v>0.00863456090651558</v>
      </c>
      <c r="D32" s="27" t="n">
        <f aca="false">IF(NOT(ISNUMBER(C32)),0,IF(C32&gt;=0.025,1,0))</f>
        <v>0</v>
      </c>
      <c r="E32" s="28" t="n">
        <v>1.5</v>
      </c>
      <c r="F32" s="29" t="n">
        <f aca="false">D32*E32</f>
        <v>0</v>
      </c>
      <c r="G32" s="11" t="s">
        <v>811</v>
      </c>
      <c r="H32" s="13" t="s">
        <v>814</v>
      </c>
      <c r="I32" s="14"/>
    </row>
    <row r="33" customFormat="false" ht="15" hidden="false" customHeight="true" outlineLevel="0" collapsed="false">
      <c r="A33" s="6" t="s">
        <v>815</v>
      </c>
      <c r="B33" s="11" t="s">
        <v>81</v>
      </c>
      <c r="C33" s="15" t="n">
        <f aca="false">'1_Dashboard'!C26</f>
        <v>0.738188976377953</v>
      </c>
      <c r="D33" s="27" t="n">
        <f aca="false">IF(NOT(ISNUMBER(C33)),0,IF(C33&gt;=0.75,1,0))</f>
        <v>0</v>
      </c>
      <c r="E33" s="28" t="n">
        <v>1</v>
      </c>
      <c r="F33" s="29" t="n">
        <f aca="false">D33*E33</f>
        <v>0</v>
      </c>
      <c r="G33" s="11" t="s">
        <v>811</v>
      </c>
      <c r="H33" s="13" t="s">
        <v>816</v>
      </c>
      <c r="I33" s="14"/>
    </row>
    <row r="34" customFormat="false" ht="15" hidden="false" customHeight="true" outlineLevel="0" collapsed="false">
      <c r="A34" s="6" t="s">
        <v>84</v>
      </c>
      <c r="B34" s="11" t="s">
        <v>817</v>
      </c>
      <c r="C34" s="15" t="n">
        <f aca="false">'1_Dashboard'!C27</f>
        <v>4.8E-005</v>
      </c>
      <c r="D34" s="27" t="n">
        <f aca="false">IF(NOT(ISNUMBER(C34)),0,IF(C34&lt;=0.0001,1,0))</f>
        <v>1</v>
      </c>
      <c r="E34" s="28" t="n">
        <v>1</v>
      </c>
      <c r="F34" s="29" t="n">
        <f aca="false">D34*E34</f>
        <v>1</v>
      </c>
      <c r="G34" s="11" t="s">
        <v>811</v>
      </c>
      <c r="H34" s="13" t="s">
        <v>818</v>
      </c>
      <c r="I34" s="14"/>
    </row>
    <row r="35" customFormat="false" ht="15" hidden="false" customHeight="true" outlineLevel="0" collapsed="false">
      <c r="A35" s="6" t="s">
        <v>88</v>
      </c>
      <c r="B35" s="11" t="s">
        <v>819</v>
      </c>
      <c r="C35" s="15" t="n">
        <f aca="false">'1_Dashboard'!C28</f>
        <v>1</v>
      </c>
      <c r="D35" s="27" t="n">
        <f aca="false">IF(NOT(ISNUMBER(C35)),0,IF(C35&gt;=0.5,1,0))</f>
        <v>1</v>
      </c>
      <c r="E35" s="28" t="n">
        <v>0.5</v>
      </c>
      <c r="F35" s="29" t="n">
        <f aca="false">D35*E35</f>
        <v>0.5</v>
      </c>
      <c r="G35" s="11" t="s">
        <v>811</v>
      </c>
      <c r="H35" s="13" t="s">
        <v>820</v>
      </c>
      <c r="I35" s="14"/>
    </row>
    <row r="36" customFormat="false" ht="15" hidden="false" customHeight="true" outlineLevel="0" collapsed="false">
      <c r="A36" s="22" t="s">
        <v>821</v>
      </c>
      <c r="B36" s="30" t="n">
        <f aca="false">SUM(F31:F35)</f>
        <v>1.5</v>
      </c>
      <c r="C36" s="23" t="str">
        <f aca="false">IF(B36&gt;=4,"EJECUTAR",IF(B36&gt;=3,"ORDEN LIMITE PREPARADA","NO OPERAR"))</f>
        <v>NO OPERAR</v>
      </c>
      <c r="D36" s="23"/>
      <c r="E36" s="23"/>
      <c r="F36" s="23"/>
      <c r="G36" s="11" t="s">
        <v>93</v>
      </c>
      <c r="H36" s="13" t="s">
        <v>822</v>
      </c>
      <c r="I36" s="14"/>
    </row>
    <row r="38" customFormat="false" ht="15" hidden="false" customHeight="true" outlineLevel="0" collapsed="false">
      <c r="A38" s="4" t="s">
        <v>823</v>
      </c>
      <c r="B38" s="4"/>
      <c r="C38" s="4"/>
      <c r="D38" s="4"/>
      <c r="E38" s="4"/>
      <c r="F38" s="4"/>
      <c r="G38" s="4"/>
      <c r="H38" s="4"/>
      <c r="I38" s="4"/>
    </row>
    <row r="39" customFormat="false" ht="30" hidden="false" customHeight="true" outlineLevel="0" collapsed="false">
      <c r="A39" s="5" t="s">
        <v>824</v>
      </c>
      <c r="B39" s="5" t="s">
        <v>825</v>
      </c>
      <c r="C39" s="5" t="s">
        <v>439</v>
      </c>
      <c r="D39" s="5" t="s">
        <v>440</v>
      </c>
      <c r="E39" s="5" t="s">
        <v>441</v>
      </c>
      <c r="F39" s="5"/>
      <c r="G39" s="5" t="s">
        <v>826</v>
      </c>
      <c r="H39" s="5" t="s">
        <v>71</v>
      </c>
      <c r="I39" s="5"/>
    </row>
    <row r="40" customFormat="false" ht="21.75" hidden="false" customHeight="true" outlineLevel="0" collapsed="false">
      <c r="A40" s="6" t="s">
        <v>827</v>
      </c>
      <c r="B40" s="19" t="n">
        <f aca="false">(1+0.013*2)^3*(1-0.029*2)^0-1</f>
        <v>0.0800455760000001</v>
      </c>
      <c r="C40" s="19" t="n">
        <f aca="false">(1+0.013*3)^3*(1-0.029*3)^0-1</f>
        <v>0.121622319</v>
      </c>
      <c r="D40" s="19" t="n">
        <f aca="false">(1+0.013*5)^3*(1-0.029*5)^0-1</f>
        <v>0.207949625</v>
      </c>
      <c r="E40" s="19" t="n">
        <f aca="false">(1+0.013*10)^3*(1-0.029*10)^0-1</f>
        <v>0.442897</v>
      </c>
      <c r="F40" s="14"/>
      <c r="G40" s="12" t="str">
        <f aca="false">IF(D40&lt;0,"5x DESTRUYE","5x sobrevive")</f>
        <v>5x sobrevive</v>
      </c>
      <c r="H40" s="13" t="s">
        <v>828</v>
      </c>
      <c r="I40" s="14"/>
    </row>
    <row r="41" customFormat="false" ht="21.75" hidden="false" customHeight="true" outlineLevel="0" collapsed="false">
      <c r="A41" s="6" t="s">
        <v>829</v>
      </c>
      <c r="B41" s="19" t="n">
        <f aca="false">(1+0.013*2)^0*(1-0.029*2)^3-1</f>
        <v>-0.164103112</v>
      </c>
      <c r="C41" s="19" t="n">
        <f aca="false">(1+0.013*3)^0*(1-0.029*3)^3-1</f>
        <v>-0.238951503</v>
      </c>
      <c r="D41" s="19" t="n">
        <f aca="false">(1+0.013*5)^0*(1-0.029*5)^3-1</f>
        <v>-0.374973625</v>
      </c>
      <c r="E41" s="19" t="n">
        <f aca="false">(1+0.013*10)^0*(1-0.029*10)^3-1</f>
        <v>-0.642089</v>
      </c>
      <c r="F41" s="14"/>
      <c r="G41" s="12" t="str">
        <f aca="false">IF(D41&lt;0,"5x DESTRUYE","5x sobrevive")</f>
        <v>5x DESTRUYE</v>
      </c>
      <c r="H41" s="13" t="s">
        <v>828</v>
      </c>
      <c r="I41" s="14"/>
    </row>
    <row r="42" customFormat="false" ht="21.75" hidden="false" customHeight="true" outlineLevel="0" collapsed="false">
      <c r="A42" s="6" t="s">
        <v>830</v>
      </c>
      <c r="B42" s="19" t="n">
        <f aca="false">(1+0.013*2)^2*(1-0.029*2)^1-1</f>
        <v>-0.00837920800000014</v>
      </c>
      <c r="C42" s="19" t="n">
        <f aca="false">(1+0.013*3)^2*(1-0.029*3)^1-1</f>
        <v>-0.0143973270000002</v>
      </c>
      <c r="D42" s="19" t="n">
        <f aca="false">(1+0.013*5)^2*(1-0.029*5)^1-1</f>
        <v>-0.0302376250000002</v>
      </c>
      <c r="E42" s="19" t="n">
        <f aca="false">(1+0.013*10)^2*(1-0.029*10)^1-1</f>
        <v>-0.0934010000000003</v>
      </c>
      <c r="F42" s="14"/>
      <c r="G42" s="12" t="str">
        <f aca="false">IF(D42&lt;0,"5x DESTRUYE","5x sobrevive")</f>
        <v>5x DESTRUYE</v>
      </c>
      <c r="H42" s="13" t="s">
        <v>828</v>
      </c>
      <c r="I42" s="14"/>
    </row>
    <row r="43" customFormat="false" ht="21.75" hidden="false" customHeight="true" outlineLevel="0" collapsed="false">
      <c r="A43" s="6" t="s">
        <v>831</v>
      </c>
      <c r="B43" s="19" t="n">
        <f aca="false">(1+0.013*2)^1*(1-0.029*2)^2-1</f>
        <v>-0.089564536</v>
      </c>
      <c r="C43" s="19" t="n">
        <f aca="false">(1+0.013*3)^1*(1-0.029*3)^2-1</f>
        <v>-0.133921809</v>
      </c>
      <c r="D43" s="19" t="n">
        <f aca="false">(1+0.013*5)^1*(1-0.029*5)^2-1</f>
        <v>-0.221458375</v>
      </c>
      <c r="E43" s="19" t="n">
        <f aca="false">(1+0.013*10)^1*(1-0.029*10)^2-1</f>
        <v>-0.430367</v>
      </c>
      <c r="F43" s="14"/>
      <c r="G43" s="12" t="str">
        <f aca="false">IF(D43&lt;0,"5x DESTRUYE","5x sobrevive")</f>
        <v>5x DESTRUYE</v>
      </c>
      <c r="H43" s="13" t="s">
        <v>828</v>
      </c>
      <c r="I43" s="14"/>
    </row>
    <row r="45" customFormat="false" ht="15" hidden="false" customHeight="true" outlineLevel="0" collapsed="false">
      <c r="A45" s="4" t="s">
        <v>832</v>
      </c>
      <c r="B45" s="4"/>
      <c r="C45" s="4"/>
      <c r="D45" s="4"/>
      <c r="E45" s="4"/>
      <c r="F45" s="4"/>
      <c r="G45" s="4"/>
      <c r="H45" s="4"/>
      <c r="I45" s="4"/>
    </row>
    <row r="46" customFormat="false" ht="30" hidden="false" customHeight="true" outlineLevel="0" collapsed="false">
      <c r="A46" s="5" t="s">
        <v>833</v>
      </c>
      <c r="B46" s="5" t="s">
        <v>834</v>
      </c>
      <c r="C46" s="5" t="s">
        <v>835</v>
      </c>
      <c r="D46" s="5" t="s">
        <v>836</v>
      </c>
      <c r="E46" s="5" t="s">
        <v>778</v>
      </c>
      <c r="F46" s="5" t="s">
        <v>780</v>
      </c>
      <c r="G46" s="5" t="s">
        <v>837</v>
      </c>
      <c r="H46" s="5" t="s">
        <v>838</v>
      </c>
      <c r="I46" s="5"/>
    </row>
    <row r="47" customFormat="false" ht="15" hidden="false" customHeight="true" outlineLevel="0" collapsed="false">
      <c r="A47" s="6" t="s">
        <v>242</v>
      </c>
      <c r="B47" s="127" t="s">
        <v>839</v>
      </c>
      <c r="C47" s="127" t="s">
        <v>840</v>
      </c>
      <c r="D47" s="127" t="s">
        <v>841</v>
      </c>
      <c r="E47" s="127" t="s">
        <v>842</v>
      </c>
      <c r="F47" s="127" t="s">
        <v>843</v>
      </c>
      <c r="G47" s="127" t="s">
        <v>844</v>
      </c>
      <c r="H47" s="13" t="s">
        <v>845</v>
      </c>
      <c r="I47" s="14"/>
    </row>
    <row r="48" customFormat="false" ht="21.75" hidden="false" customHeight="true" outlineLevel="0" collapsed="false">
      <c r="A48" s="6" t="s">
        <v>246</v>
      </c>
      <c r="B48" s="127" t="s">
        <v>846</v>
      </c>
      <c r="C48" s="127" t="s">
        <v>847</v>
      </c>
      <c r="D48" s="127" t="s">
        <v>848</v>
      </c>
      <c r="E48" s="127" t="s">
        <v>849</v>
      </c>
      <c r="F48" s="127" t="s">
        <v>850</v>
      </c>
      <c r="G48" s="127" t="s">
        <v>844</v>
      </c>
      <c r="H48" s="13" t="s">
        <v>851</v>
      </c>
      <c r="I48" s="14"/>
    </row>
  </sheetData>
  <mergeCells count="8">
    <mergeCell ref="A1:I1"/>
    <mergeCell ref="A2:I2"/>
    <mergeCell ref="A4:I4"/>
    <mergeCell ref="A15:I15"/>
    <mergeCell ref="A29:I29"/>
    <mergeCell ref="C36:F36"/>
    <mergeCell ref="A38:I38"/>
    <mergeCell ref="A45:I45"/>
  </mergeCells>
  <conditionalFormatting sqref="D31:D35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8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34"/>
    <col collapsed="false" customWidth="true" hidden="false" outlineLevel="0" max="8" min="8" style="1" width="12"/>
    <col collapsed="false" customWidth="true" hidden="false" outlineLevel="0" max="9" min="9" style="1" width="10"/>
  </cols>
  <sheetData>
    <row r="1" customFormat="false" ht="21.75" hidden="false" customHeight="true" outlineLevel="0" collapsed="false">
      <c r="A1" s="41" t="s">
        <v>852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853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5" t="s">
        <v>854</v>
      </c>
      <c r="B4" s="5" t="s">
        <v>855</v>
      </c>
      <c r="C4" s="5" t="s">
        <v>856</v>
      </c>
      <c r="D4" s="5" t="s">
        <v>857</v>
      </c>
      <c r="E4" s="5" t="s">
        <v>858</v>
      </c>
      <c r="F4" s="5" t="s">
        <v>401</v>
      </c>
      <c r="G4" s="5" t="s">
        <v>859</v>
      </c>
      <c r="H4" s="5"/>
      <c r="I4" s="5"/>
    </row>
    <row r="5" customFormat="false" ht="30" hidden="false" customHeight="true" outlineLevel="0" collapsed="false">
      <c r="A5" s="6" t="s">
        <v>860</v>
      </c>
      <c r="B5" s="21" t="s">
        <v>861</v>
      </c>
      <c r="C5" s="43" t="s">
        <v>177</v>
      </c>
      <c r="D5" s="128" t="s">
        <v>691</v>
      </c>
      <c r="E5" s="11" t="s">
        <v>862</v>
      </c>
      <c r="F5" s="11" t="s">
        <v>863</v>
      </c>
      <c r="G5" s="13" t="s">
        <v>864</v>
      </c>
      <c r="H5" s="14"/>
      <c r="I5" s="14"/>
    </row>
    <row r="6" customFormat="false" ht="30" hidden="false" customHeight="true" outlineLevel="0" collapsed="false">
      <c r="A6" s="6" t="s">
        <v>865</v>
      </c>
      <c r="B6" s="21" t="s">
        <v>866</v>
      </c>
      <c r="C6" s="43" t="s">
        <v>232</v>
      </c>
      <c r="D6" s="128" t="s">
        <v>691</v>
      </c>
      <c r="E6" s="11" t="s">
        <v>867</v>
      </c>
      <c r="F6" s="11" t="s">
        <v>863</v>
      </c>
      <c r="G6" s="13" t="s">
        <v>868</v>
      </c>
      <c r="H6" s="14"/>
      <c r="I6" s="14"/>
    </row>
    <row r="7" customFormat="false" ht="30" hidden="false" customHeight="true" outlineLevel="0" collapsed="false">
      <c r="A7" s="6" t="s">
        <v>869</v>
      </c>
      <c r="B7" s="21" t="s">
        <v>870</v>
      </c>
      <c r="C7" s="43" t="s">
        <v>871</v>
      </c>
      <c r="D7" s="128" t="s">
        <v>691</v>
      </c>
      <c r="E7" s="11" t="s">
        <v>872</v>
      </c>
      <c r="F7" s="11" t="s">
        <v>863</v>
      </c>
      <c r="G7" s="13" t="s">
        <v>873</v>
      </c>
      <c r="H7" s="14"/>
      <c r="I7" s="14"/>
    </row>
    <row r="8" customFormat="false" ht="30" hidden="false" customHeight="true" outlineLevel="0" collapsed="false">
      <c r="A8" s="6" t="s">
        <v>195</v>
      </c>
      <c r="B8" s="21" t="s">
        <v>874</v>
      </c>
      <c r="C8" s="43" t="s">
        <v>196</v>
      </c>
      <c r="D8" s="128" t="s">
        <v>691</v>
      </c>
      <c r="E8" s="11" t="s">
        <v>875</v>
      </c>
      <c r="F8" s="11" t="s">
        <v>863</v>
      </c>
      <c r="G8" s="13" t="s">
        <v>876</v>
      </c>
      <c r="H8" s="14"/>
      <c r="I8" s="14"/>
    </row>
    <row r="9" customFormat="false" ht="30" hidden="false" customHeight="true" outlineLevel="0" collapsed="false">
      <c r="A9" s="6" t="s">
        <v>203</v>
      </c>
      <c r="B9" s="21" t="s">
        <v>877</v>
      </c>
      <c r="C9" s="43" t="s">
        <v>204</v>
      </c>
      <c r="D9" s="128" t="s">
        <v>691</v>
      </c>
      <c r="E9" s="11" t="s">
        <v>878</v>
      </c>
      <c r="F9" s="11" t="s">
        <v>863</v>
      </c>
      <c r="G9" s="13" t="s">
        <v>879</v>
      </c>
      <c r="H9" s="14"/>
      <c r="I9" s="14"/>
    </row>
    <row r="10" customFormat="false" ht="30" hidden="false" customHeight="true" outlineLevel="0" collapsed="false">
      <c r="A10" s="6" t="s">
        <v>225</v>
      </c>
      <c r="B10" s="21" t="s">
        <v>880</v>
      </c>
      <c r="C10" s="43" t="s">
        <v>226</v>
      </c>
      <c r="D10" s="128" t="s">
        <v>691</v>
      </c>
      <c r="E10" s="11" t="s">
        <v>881</v>
      </c>
      <c r="F10" s="11" t="s">
        <v>863</v>
      </c>
      <c r="G10" s="13" t="s">
        <v>882</v>
      </c>
      <c r="H10" s="14"/>
      <c r="I10" s="14"/>
    </row>
    <row r="11" customFormat="false" ht="30" hidden="false" customHeight="true" outlineLevel="0" collapsed="false">
      <c r="A11" s="6" t="s">
        <v>883</v>
      </c>
      <c r="B11" s="21" t="s">
        <v>884</v>
      </c>
      <c r="C11" s="43" t="s">
        <v>274</v>
      </c>
      <c r="D11" s="128" t="s">
        <v>691</v>
      </c>
      <c r="E11" s="11" t="s">
        <v>885</v>
      </c>
      <c r="F11" s="11" t="s">
        <v>863</v>
      </c>
      <c r="G11" s="13" t="s">
        <v>886</v>
      </c>
      <c r="H11" s="14"/>
      <c r="I11" s="14"/>
    </row>
    <row r="12" customFormat="false" ht="30" hidden="false" customHeight="true" outlineLevel="0" collapsed="false">
      <c r="A12" s="6" t="s">
        <v>887</v>
      </c>
      <c r="B12" s="21" t="s">
        <v>888</v>
      </c>
      <c r="C12" s="43" t="s">
        <v>269</v>
      </c>
      <c r="D12" s="128" t="s">
        <v>691</v>
      </c>
      <c r="E12" s="11" t="s">
        <v>889</v>
      </c>
      <c r="F12" s="11" t="s">
        <v>863</v>
      </c>
      <c r="G12" s="13" t="s">
        <v>890</v>
      </c>
      <c r="H12" s="14"/>
      <c r="I12" s="14"/>
    </row>
    <row r="13" customFormat="false" ht="30" hidden="false" customHeight="true" outlineLevel="0" collapsed="false">
      <c r="A13" s="6" t="s">
        <v>891</v>
      </c>
      <c r="B13" s="21" t="s">
        <v>892</v>
      </c>
      <c r="C13" s="43" t="s">
        <v>287</v>
      </c>
      <c r="D13" s="128" t="s">
        <v>691</v>
      </c>
      <c r="E13" s="11" t="s">
        <v>893</v>
      </c>
      <c r="F13" s="11" t="s">
        <v>863</v>
      </c>
      <c r="G13" s="13" t="s">
        <v>894</v>
      </c>
      <c r="H13" s="14"/>
      <c r="I13" s="14"/>
    </row>
    <row r="14" customFormat="false" ht="30" hidden="false" customHeight="true" outlineLevel="0" collapsed="false">
      <c r="A14" s="6" t="s">
        <v>216</v>
      </c>
      <c r="B14" s="21" t="s">
        <v>895</v>
      </c>
      <c r="C14" s="43" t="s">
        <v>221</v>
      </c>
      <c r="D14" s="128" t="s">
        <v>691</v>
      </c>
      <c r="E14" s="11" t="s">
        <v>896</v>
      </c>
      <c r="F14" s="11" t="s">
        <v>863</v>
      </c>
      <c r="G14" s="13" t="s">
        <v>897</v>
      </c>
      <c r="H14" s="14"/>
      <c r="I14" s="14"/>
    </row>
    <row r="15" customFormat="false" ht="30" hidden="false" customHeight="true" outlineLevel="0" collapsed="false">
      <c r="A15" s="6" t="s">
        <v>30</v>
      </c>
      <c r="B15" s="21" t="s">
        <v>29</v>
      </c>
      <c r="C15" s="43" t="s">
        <v>898</v>
      </c>
      <c r="D15" s="128" t="s">
        <v>691</v>
      </c>
      <c r="E15" s="11" t="s">
        <v>899</v>
      </c>
      <c r="F15" s="11" t="s">
        <v>863</v>
      </c>
      <c r="G15" s="13" t="s">
        <v>900</v>
      </c>
      <c r="H15" s="14"/>
      <c r="I15" s="14"/>
    </row>
    <row r="16" customFormat="false" ht="30" hidden="false" customHeight="true" outlineLevel="0" collapsed="false">
      <c r="A16" s="6" t="s">
        <v>901</v>
      </c>
      <c r="B16" s="21" t="s">
        <v>902</v>
      </c>
      <c r="C16" s="43" t="s">
        <v>903</v>
      </c>
      <c r="D16" s="128" t="s">
        <v>691</v>
      </c>
      <c r="E16" s="11" t="s">
        <v>904</v>
      </c>
      <c r="F16" s="11" t="s">
        <v>863</v>
      </c>
      <c r="G16" s="13" t="s">
        <v>905</v>
      </c>
      <c r="H16" s="14"/>
      <c r="I16" s="14"/>
    </row>
    <row r="17" customFormat="false" ht="30" hidden="false" customHeight="true" outlineLevel="0" collapsed="false">
      <c r="A17" s="6" t="s">
        <v>34</v>
      </c>
      <c r="B17" s="21" t="s">
        <v>906</v>
      </c>
      <c r="C17" s="43" t="s">
        <v>907</v>
      </c>
      <c r="D17" s="128" t="s">
        <v>691</v>
      </c>
      <c r="E17" s="11" t="s">
        <v>904</v>
      </c>
      <c r="F17" s="11" t="s">
        <v>908</v>
      </c>
      <c r="G17" s="13" t="s">
        <v>909</v>
      </c>
      <c r="H17" s="14"/>
      <c r="I17" s="14"/>
    </row>
    <row r="18" customFormat="false" ht="30" hidden="false" customHeight="true" outlineLevel="0" collapsed="false">
      <c r="A18" s="6" t="s">
        <v>910</v>
      </c>
      <c r="B18" s="21" t="s">
        <v>911</v>
      </c>
      <c r="C18" s="43" t="s">
        <v>330</v>
      </c>
      <c r="D18" s="128" t="s">
        <v>912</v>
      </c>
      <c r="E18" s="11" t="s">
        <v>904</v>
      </c>
      <c r="F18" s="11" t="s">
        <v>908</v>
      </c>
      <c r="G18" s="13" t="s">
        <v>913</v>
      </c>
      <c r="H18" s="14"/>
      <c r="I18" s="14"/>
    </row>
    <row r="19" customFormat="false" ht="30" hidden="false" customHeight="true" outlineLevel="0" collapsed="false">
      <c r="A19" s="6" t="s">
        <v>348</v>
      </c>
      <c r="B19" s="21" t="s">
        <v>914</v>
      </c>
      <c r="C19" s="43" t="s">
        <v>353</v>
      </c>
      <c r="D19" s="128" t="s">
        <v>691</v>
      </c>
      <c r="E19" s="11" t="s">
        <v>915</v>
      </c>
      <c r="F19" s="11" t="s">
        <v>863</v>
      </c>
      <c r="G19" s="13" t="s">
        <v>916</v>
      </c>
      <c r="H19" s="14"/>
      <c r="I19" s="14"/>
    </row>
    <row r="20" customFormat="false" ht="30" hidden="false" customHeight="true" outlineLevel="0" collapsed="false">
      <c r="A20" s="6" t="s">
        <v>358</v>
      </c>
      <c r="B20" s="21" t="s">
        <v>917</v>
      </c>
      <c r="C20" s="43" t="s">
        <v>918</v>
      </c>
      <c r="D20" s="128" t="s">
        <v>691</v>
      </c>
      <c r="E20" s="11" t="s">
        <v>915</v>
      </c>
      <c r="F20" s="11" t="s">
        <v>863</v>
      </c>
      <c r="G20" s="13" t="s">
        <v>919</v>
      </c>
      <c r="H20" s="14"/>
      <c r="I20" s="14"/>
    </row>
    <row r="21" customFormat="false" ht="30" hidden="false" customHeight="true" outlineLevel="0" collapsed="false">
      <c r="A21" s="6" t="s">
        <v>920</v>
      </c>
      <c r="B21" s="21" t="s">
        <v>921</v>
      </c>
      <c r="C21" s="43" t="s">
        <v>340</v>
      </c>
      <c r="D21" s="128" t="s">
        <v>691</v>
      </c>
      <c r="E21" s="11" t="s">
        <v>922</v>
      </c>
      <c r="F21" s="11" t="s">
        <v>923</v>
      </c>
      <c r="G21" s="13" t="s">
        <v>924</v>
      </c>
      <c r="H21" s="14"/>
      <c r="I21" s="14"/>
    </row>
    <row r="22" customFormat="false" ht="30" hidden="false" customHeight="true" outlineLevel="0" collapsed="false">
      <c r="A22" s="6" t="s">
        <v>925</v>
      </c>
      <c r="B22" s="21" t="s">
        <v>926</v>
      </c>
      <c r="C22" s="43" t="s">
        <v>364</v>
      </c>
      <c r="D22" s="128" t="s">
        <v>691</v>
      </c>
      <c r="E22" s="11" t="s">
        <v>915</v>
      </c>
      <c r="F22" s="11" t="s">
        <v>863</v>
      </c>
      <c r="G22" s="13" t="s">
        <v>927</v>
      </c>
      <c r="H22" s="14"/>
      <c r="I22" s="14"/>
    </row>
    <row r="23" customFormat="false" ht="30" hidden="false" customHeight="true" outlineLevel="0" collapsed="false">
      <c r="A23" s="6" t="s">
        <v>928</v>
      </c>
      <c r="B23" s="21" t="s">
        <v>929</v>
      </c>
      <c r="C23" s="43" t="s">
        <v>930</v>
      </c>
      <c r="D23" s="68" t="s">
        <v>931</v>
      </c>
      <c r="E23" s="11" t="s">
        <v>932</v>
      </c>
      <c r="F23" s="11" t="s">
        <v>863</v>
      </c>
      <c r="G23" s="13" t="s">
        <v>933</v>
      </c>
      <c r="H23" s="14"/>
      <c r="I23" s="14"/>
    </row>
    <row r="24" customFormat="false" ht="30" hidden="false" customHeight="true" outlineLevel="0" collapsed="false">
      <c r="A24" s="6" t="s">
        <v>934</v>
      </c>
      <c r="B24" s="21" t="s">
        <v>935</v>
      </c>
      <c r="C24" s="43" t="s">
        <v>936</v>
      </c>
      <c r="D24" s="68" t="s">
        <v>931</v>
      </c>
      <c r="E24" s="11" t="s">
        <v>932</v>
      </c>
      <c r="F24" s="11" t="s">
        <v>863</v>
      </c>
      <c r="G24" s="13" t="s">
        <v>937</v>
      </c>
      <c r="H24" s="14"/>
      <c r="I24" s="14"/>
    </row>
    <row r="25" customFormat="false" ht="30" hidden="false" customHeight="true" outlineLevel="0" collapsed="false">
      <c r="A25" s="6" t="s">
        <v>938</v>
      </c>
      <c r="B25" s="21" t="s">
        <v>939</v>
      </c>
      <c r="C25" s="43" t="s">
        <v>940</v>
      </c>
      <c r="D25" s="68" t="s">
        <v>931</v>
      </c>
      <c r="E25" s="11" t="s">
        <v>932</v>
      </c>
      <c r="F25" s="11" t="s">
        <v>863</v>
      </c>
      <c r="G25" s="13" t="s">
        <v>941</v>
      </c>
      <c r="H25" s="14"/>
      <c r="I25" s="14"/>
    </row>
    <row r="26" customFormat="false" ht="30" hidden="false" customHeight="true" outlineLevel="0" collapsed="false">
      <c r="A26" s="37" t="s">
        <v>942</v>
      </c>
      <c r="B26" s="21" t="s">
        <v>943</v>
      </c>
      <c r="C26" s="43" t="s">
        <v>944</v>
      </c>
      <c r="D26" s="128" t="s">
        <v>691</v>
      </c>
      <c r="E26" s="11" t="s">
        <v>889</v>
      </c>
      <c r="F26" s="11" t="s">
        <v>863</v>
      </c>
      <c r="G26" s="13" t="s">
        <v>945</v>
      </c>
    </row>
    <row r="27" customFormat="false" ht="30" hidden="false" customHeight="true" outlineLevel="0" collapsed="false">
      <c r="A27" s="37" t="s">
        <v>946</v>
      </c>
      <c r="B27" s="21" t="s">
        <v>947</v>
      </c>
      <c r="C27" s="43" t="s">
        <v>948</v>
      </c>
      <c r="D27" s="128" t="s">
        <v>691</v>
      </c>
      <c r="E27" s="11" t="s">
        <v>949</v>
      </c>
      <c r="F27" s="11" t="s">
        <v>950</v>
      </c>
      <c r="G27" s="13" t="s">
        <v>951</v>
      </c>
    </row>
    <row r="28" customFormat="false" ht="30" hidden="false" customHeight="true" outlineLevel="0" collapsed="false">
      <c r="A28" s="37" t="s">
        <v>952</v>
      </c>
      <c r="B28" s="21" t="s">
        <v>953</v>
      </c>
      <c r="C28" s="43" t="s">
        <v>954</v>
      </c>
      <c r="D28" s="128" t="s">
        <v>691</v>
      </c>
      <c r="E28" s="11" t="s">
        <v>872</v>
      </c>
      <c r="F28" s="11" t="s">
        <v>863</v>
      </c>
      <c r="G28" s="13" t="s">
        <v>955</v>
      </c>
    </row>
    <row r="29" customFormat="false" ht="30" hidden="false" customHeight="true" outlineLevel="0" collapsed="false">
      <c r="A29" s="37" t="s">
        <v>956</v>
      </c>
      <c r="B29" s="21" t="s">
        <v>957</v>
      </c>
      <c r="C29" s="43" t="s">
        <v>958</v>
      </c>
      <c r="D29" s="128" t="s">
        <v>691</v>
      </c>
      <c r="E29" s="11" t="s">
        <v>872</v>
      </c>
      <c r="F29" s="11" t="s">
        <v>863</v>
      </c>
      <c r="G29" s="13" t="s">
        <v>955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5"/>
  </cols>
  <sheetData>
    <row r="1" customFormat="false" ht="21.75" hidden="false" customHeight="true" outlineLevel="0" collapsed="false">
      <c r="A1" s="41" t="s">
        <v>959</v>
      </c>
      <c r="B1" s="41"/>
    </row>
    <row r="2" customFormat="false" ht="15" hidden="false" customHeight="false" outlineLevel="0" collapsed="false">
      <c r="A2" s="129" t="s">
        <v>960</v>
      </c>
      <c r="B2" s="129"/>
    </row>
    <row r="3" customFormat="false" ht="15" hidden="false" customHeight="false" outlineLevel="0" collapsed="false">
      <c r="A3" s="129"/>
      <c r="B3" s="129"/>
    </row>
    <row r="4" customFormat="false" ht="15" hidden="false" customHeight="false" outlineLevel="0" collapsed="false">
      <c r="A4" s="130" t="s">
        <v>961</v>
      </c>
      <c r="B4" s="130"/>
    </row>
    <row r="5" customFormat="false" ht="15" hidden="false" customHeight="false" outlineLevel="0" collapsed="false">
      <c r="A5" s="129" t="s">
        <v>962</v>
      </c>
      <c r="B5" s="129"/>
    </row>
    <row r="6" customFormat="false" ht="15" hidden="false" customHeight="false" outlineLevel="0" collapsed="false">
      <c r="A6" s="129" t="s">
        <v>963</v>
      </c>
      <c r="B6" s="129"/>
    </row>
    <row r="7" customFormat="false" ht="15" hidden="false" customHeight="false" outlineLevel="0" collapsed="false">
      <c r="A7" s="129" t="s">
        <v>964</v>
      </c>
      <c r="B7" s="129"/>
    </row>
    <row r="8" customFormat="false" ht="15" hidden="false" customHeight="false" outlineLevel="0" collapsed="false">
      <c r="A8" s="129" t="s">
        <v>965</v>
      </c>
      <c r="B8" s="129"/>
    </row>
    <row r="9" customFormat="false" ht="15" hidden="false" customHeight="false" outlineLevel="0" collapsed="false">
      <c r="A9" s="129" t="s">
        <v>966</v>
      </c>
      <c r="B9" s="129"/>
    </row>
    <row r="10" customFormat="false" ht="15" hidden="false" customHeight="false" outlineLevel="0" collapsed="false">
      <c r="A10" s="129" t="s">
        <v>967</v>
      </c>
      <c r="B10" s="129"/>
    </row>
    <row r="12" customFormat="false" ht="15" hidden="false" customHeight="false" outlineLevel="0" collapsed="false">
      <c r="A12" s="37" t="s">
        <v>968</v>
      </c>
      <c r="B12" s="131" t="s">
        <v>969</v>
      </c>
    </row>
    <row r="13" customFormat="false" ht="15" hidden="false" customHeight="false" outlineLevel="0" collapsed="false">
      <c r="B13" s="132" t="s">
        <v>970</v>
      </c>
    </row>
    <row r="14" customFormat="false" ht="15" hidden="false" customHeight="false" outlineLevel="0" collapsed="false">
      <c r="B14" s="132" t="s">
        <v>971</v>
      </c>
    </row>
    <row r="15" customFormat="false" ht="15" hidden="false" customHeight="false" outlineLevel="0" collapsed="false">
      <c r="B15" s="132" t="s">
        <v>972</v>
      </c>
    </row>
    <row r="16" customFormat="false" ht="15" hidden="false" customHeight="false" outlineLevel="0" collapsed="false">
      <c r="B16" s="132" t="s">
        <v>973</v>
      </c>
    </row>
    <row r="17" customFormat="false" ht="15" hidden="false" customHeight="false" outlineLevel="0" collapsed="false">
      <c r="B17" s="132" t="s">
        <v>974</v>
      </c>
    </row>
    <row r="18" customFormat="false" ht="15" hidden="false" customHeight="false" outlineLevel="0" collapsed="false">
      <c r="B18" s="132" t="s">
        <v>975</v>
      </c>
    </row>
    <row r="19" customFormat="false" ht="15" hidden="false" customHeight="false" outlineLevel="0" collapsed="false">
      <c r="B19" s="132" t="s">
        <v>976</v>
      </c>
    </row>
    <row r="20" customFormat="false" ht="15" hidden="false" customHeight="false" outlineLevel="0" collapsed="false">
      <c r="B20" s="132" t="s">
        <v>977</v>
      </c>
    </row>
    <row r="21" customFormat="false" ht="15" hidden="false" customHeight="false" outlineLevel="0" collapsed="false">
      <c r="B21" s="132" t="s">
        <v>978</v>
      </c>
    </row>
    <row r="22" customFormat="false" ht="15" hidden="false" customHeight="false" outlineLevel="0" collapsed="false">
      <c r="B22" s="132" t="s">
        <v>979</v>
      </c>
    </row>
    <row r="23" customFormat="false" ht="15" hidden="false" customHeight="false" outlineLevel="0" collapsed="false">
      <c r="B23" s="132" t="s">
        <v>980</v>
      </c>
    </row>
    <row r="24" customFormat="false" ht="15" hidden="false" customHeight="false" outlineLevel="0" collapsed="false">
      <c r="B24" s="132" t="s">
        <v>981</v>
      </c>
    </row>
    <row r="25" customFormat="false" ht="15" hidden="false" customHeight="false" outlineLevel="0" collapsed="false">
      <c r="B25" s="132" t="s">
        <v>982</v>
      </c>
    </row>
    <row r="26" customFormat="false" ht="15" hidden="false" customHeight="false" outlineLevel="0" collapsed="false">
      <c r="B26" s="132" t="s">
        <v>983</v>
      </c>
    </row>
    <row r="27" customFormat="false" ht="15" hidden="false" customHeight="false" outlineLevel="0" collapsed="false">
      <c r="B27" s="132" t="s">
        <v>984</v>
      </c>
    </row>
    <row r="28" customFormat="false" ht="15" hidden="false" customHeight="false" outlineLevel="0" collapsed="false">
      <c r="B28" s="132" t="s">
        <v>985</v>
      </c>
    </row>
    <row r="29" customFormat="false" ht="15" hidden="false" customHeight="false" outlineLevel="0" collapsed="false">
      <c r="B29" s="132" t="s">
        <v>986</v>
      </c>
    </row>
    <row r="30" customFormat="false" ht="15" hidden="false" customHeight="false" outlineLevel="0" collapsed="false">
      <c r="B30" s="132" t="s">
        <v>987</v>
      </c>
    </row>
    <row r="31" customFormat="false" ht="15" hidden="false" customHeight="false" outlineLevel="0" collapsed="false">
      <c r="B31" s="132" t="s">
        <v>988</v>
      </c>
    </row>
    <row r="32" customFormat="false" ht="15" hidden="false" customHeight="false" outlineLevel="0" collapsed="false">
      <c r="B32" s="132" t="s">
        <v>989</v>
      </c>
    </row>
    <row r="33" customFormat="false" ht="15" hidden="false" customHeight="false" outlineLevel="0" collapsed="false">
      <c r="B33" s="132" t="s">
        <v>990</v>
      </c>
    </row>
    <row r="34" customFormat="false" ht="15" hidden="false" customHeight="false" outlineLevel="0" collapsed="false">
      <c r="B34" s="132" t="s">
        <v>991</v>
      </c>
    </row>
    <row r="35" customFormat="false" ht="15" hidden="false" customHeight="false" outlineLevel="0" collapsed="false">
      <c r="B35" s="132" t="s">
        <v>992</v>
      </c>
    </row>
    <row r="36" customFormat="false" ht="15" hidden="false" customHeight="false" outlineLevel="0" collapsed="false">
      <c r="B36" s="132" t="s">
        <v>993</v>
      </c>
    </row>
    <row r="37" customFormat="false" ht="15" hidden="false" customHeight="false" outlineLevel="0" collapsed="false">
      <c r="B37" s="132" t="s">
        <v>994</v>
      </c>
    </row>
    <row r="38" customFormat="false" ht="15" hidden="false" customHeight="false" outlineLevel="0" collapsed="false">
      <c r="B38" s="132" t="s">
        <v>995</v>
      </c>
    </row>
    <row r="39" customFormat="false" ht="15" hidden="false" customHeight="false" outlineLevel="0" collapsed="false">
      <c r="B39" s="132" t="s">
        <v>996</v>
      </c>
    </row>
    <row r="41" customFormat="false" ht="15" hidden="false" customHeight="false" outlineLevel="0" collapsed="false">
      <c r="A41" s="37" t="s">
        <v>968</v>
      </c>
      <c r="B41" s="131" t="s">
        <v>997</v>
      </c>
    </row>
    <row r="42" customFormat="false" ht="15" hidden="false" customHeight="false" outlineLevel="0" collapsed="false">
      <c r="B42" s="132" t="s">
        <v>998</v>
      </c>
    </row>
    <row r="43" customFormat="false" ht="15" hidden="false" customHeight="false" outlineLevel="0" collapsed="false">
      <c r="B43" s="132" t="s">
        <v>999</v>
      </c>
    </row>
    <row r="44" customFormat="false" ht="15" hidden="false" customHeight="false" outlineLevel="0" collapsed="false">
      <c r="B44" s="132" t="s">
        <v>973</v>
      </c>
    </row>
    <row r="45" customFormat="false" ht="15" hidden="false" customHeight="false" outlineLevel="0" collapsed="false">
      <c r="B45" s="132" t="s">
        <v>1000</v>
      </c>
    </row>
    <row r="46" customFormat="false" ht="15" hidden="false" customHeight="false" outlineLevel="0" collapsed="false">
      <c r="B46" s="132" t="s">
        <v>1001</v>
      </c>
    </row>
    <row r="47" customFormat="false" ht="15" hidden="false" customHeight="false" outlineLevel="0" collapsed="false">
      <c r="B47" s="132" t="s">
        <v>1002</v>
      </c>
    </row>
    <row r="48" customFormat="false" ht="15" hidden="false" customHeight="false" outlineLevel="0" collapsed="false">
      <c r="B48" s="132" t="s">
        <v>1003</v>
      </c>
    </row>
    <row r="49" customFormat="false" ht="15" hidden="false" customHeight="false" outlineLevel="0" collapsed="false">
      <c r="B49" s="132" t="s">
        <v>1004</v>
      </c>
    </row>
    <row r="50" customFormat="false" ht="15" hidden="false" customHeight="false" outlineLevel="0" collapsed="false">
      <c r="B50" s="132" t="s">
        <v>1005</v>
      </c>
    </row>
    <row r="51" customFormat="false" ht="15" hidden="false" customHeight="false" outlineLevel="0" collapsed="false">
      <c r="B51" s="132" t="s">
        <v>1006</v>
      </c>
    </row>
    <row r="52" customFormat="false" ht="15" hidden="false" customHeight="false" outlineLevel="0" collapsed="false">
      <c r="B52" s="132" t="s">
        <v>1007</v>
      </c>
    </row>
    <row r="53" customFormat="false" ht="15" hidden="false" customHeight="false" outlineLevel="0" collapsed="false">
      <c r="B53" s="132" t="s">
        <v>1008</v>
      </c>
    </row>
    <row r="54" customFormat="false" ht="15" hidden="false" customHeight="false" outlineLevel="0" collapsed="false">
      <c r="B54" s="132" t="s">
        <v>1009</v>
      </c>
    </row>
    <row r="55" customFormat="false" ht="15" hidden="false" customHeight="false" outlineLevel="0" collapsed="false">
      <c r="B55" s="132" t="s">
        <v>1010</v>
      </c>
    </row>
    <row r="56" customFormat="false" ht="15" hidden="false" customHeight="false" outlineLevel="0" collapsed="false">
      <c r="B56" s="132" t="s">
        <v>1011</v>
      </c>
    </row>
    <row r="57" customFormat="false" ht="15" hidden="false" customHeight="false" outlineLevel="0" collapsed="false">
      <c r="B57" s="132" t="s">
        <v>1012</v>
      </c>
    </row>
    <row r="58" customFormat="false" ht="15" hidden="false" customHeight="false" outlineLevel="0" collapsed="false">
      <c r="B58" s="132" t="s">
        <v>1013</v>
      </c>
    </row>
    <row r="59" customFormat="false" ht="15" hidden="false" customHeight="false" outlineLevel="0" collapsed="false">
      <c r="B59" s="132" t="s">
        <v>1014</v>
      </c>
    </row>
    <row r="60" customFormat="false" ht="15" hidden="false" customHeight="false" outlineLevel="0" collapsed="false">
      <c r="B60" s="132" t="s">
        <v>1015</v>
      </c>
    </row>
    <row r="61" customFormat="false" ht="15" hidden="false" customHeight="false" outlineLevel="0" collapsed="false">
      <c r="B61" s="132" t="s">
        <v>1016</v>
      </c>
    </row>
    <row r="62" customFormat="false" ht="15" hidden="false" customHeight="false" outlineLevel="0" collapsed="false">
      <c r="B62" s="132" t="s">
        <v>1017</v>
      </c>
    </row>
    <row r="63" customFormat="false" ht="15" hidden="false" customHeight="false" outlineLevel="0" collapsed="false">
      <c r="B63" s="132" t="s">
        <v>1018</v>
      </c>
    </row>
    <row r="64" customFormat="false" ht="15" hidden="false" customHeight="false" outlineLevel="0" collapsed="false">
      <c r="B64" s="132" t="s">
        <v>1019</v>
      </c>
    </row>
    <row r="65" customFormat="false" ht="15" hidden="false" customHeight="false" outlineLevel="0" collapsed="false">
      <c r="B65" s="132" t="s">
        <v>1020</v>
      </c>
    </row>
    <row r="66" customFormat="false" ht="15" hidden="false" customHeight="false" outlineLevel="0" collapsed="false">
      <c r="B66" s="132" t="s">
        <v>1021</v>
      </c>
    </row>
    <row r="67" customFormat="false" ht="15" hidden="false" customHeight="false" outlineLevel="0" collapsed="false">
      <c r="B67" s="132" t="s">
        <v>1022</v>
      </c>
    </row>
    <row r="68" customFormat="false" ht="15" hidden="false" customHeight="false" outlineLevel="0" collapsed="false">
      <c r="B68" s="132" t="s">
        <v>1023</v>
      </c>
    </row>
    <row r="69" customFormat="false" ht="15" hidden="false" customHeight="false" outlineLevel="0" collapsed="false">
      <c r="B69" s="132" t="s">
        <v>1024</v>
      </c>
    </row>
    <row r="70" customFormat="false" ht="15" hidden="false" customHeight="false" outlineLevel="0" collapsed="false">
      <c r="B70" s="132" t="s">
        <v>1025</v>
      </c>
    </row>
    <row r="71" customFormat="false" ht="15" hidden="false" customHeight="false" outlineLevel="0" collapsed="false">
      <c r="B71" s="132" t="s">
        <v>995</v>
      </c>
    </row>
    <row r="72" customFormat="false" ht="15" hidden="false" customHeight="false" outlineLevel="0" collapsed="false">
      <c r="B72" s="132" t="s">
        <v>1026</v>
      </c>
    </row>
    <row r="74" customFormat="false" ht="15" hidden="false" customHeight="false" outlineLevel="0" collapsed="false">
      <c r="A74" s="37" t="s">
        <v>968</v>
      </c>
      <c r="B74" s="131" t="s">
        <v>1027</v>
      </c>
    </row>
    <row r="75" customFormat="false" ht="15" hidden="false" customHeight="false" outlineLevel="0" collapsed="false">
      <c r="B75" s="132" t="s">
        <v>1028</v>
      </c>
    </row>
    <row r="76" customFormat="false" ht="15" hidden="false" customHeight="false" outlineLevel="0" collapsed="false">
      <c r="B76" s="132" t="s">
        <v>1029</v>
      </c>
    </row>
    <row r="77" customFormat="false" ht="15" hidden="false" customHeight="false" outlineLevel="0" collapsed="false">
      <c r="B77" s="132" t="s">
        <v>1030</v>
      </c>
    </row>
    <row r="78" customFormat="false" ht="15" hidden="false" customHeight="false" outlineLevel="0" collapsed="false">
      <c r="B78" s="132" t="s">
        <v>973</v>
      </c>
    </row>
    <row r="79" customFormat="false" ht="15" hidden="false" customHeight="false" outlineLevel="0" collapsed="false">
      <c r="B79" s="132" t="s">
        <v>1031</v>
      </c>
    </row>
    <row r="80" customFormat="false" ht="15" hidden="false" customHeight="false" outlineLevel="0" collapsed="false">
      <c r="B80" s="132" t="s">
        <v>1032</v>
      </c>
    </row>
    <row r="81" customFormat="false" ht="15" hidden="false" customHeight="false" outlineLevel="0" collapsed="false">
      <c r="B81" s="132" t="s">
        <v>1033</v>
      </c>
    </row>
    <row r="82" customFormat="false" ht="15" hidden="false" customHeight="false" outlineLevel="0" collapsed="false">
      <c r="B82" s="132" t="s">
        <v>1034</v>
      </c>
    </row>
    <row r="83" customFormat="false" ht="15" hidden="false" customHeight="false" outlineLevel="0" collapsed="false">
      <c r="B83" s="132" t="s">
        <v>1035</v>
      </c>
    </row>
    <row r="84" customFormat="false" ht="15" hidden="false" customHeight="false" outlineLevel="0" collapsed="false">
      <c r="B84" s="132" t="s">
        <v>1036</v>
      </c>
    </row>
    <row r="85" customFormat="false" ht="15" hidden="false" customHeight="false" outlineLevel="0" collapsed="false">
      <c r="B85" s="132" t="s">
        <v>1037</v>
      </c>
    </row>
    <row r="86" customFormat="false" ht="15" hidden="false" customHeight="false" outlineLevel="0" collapsed="false">
      <c r="B86" s="132" t="s">
        <v>1038</v>
      </c>
    </row>
    <row r="87" customFormat="false" ht="15" hidden="false" customHeight="false" outlineLevel="0" collapsed="false">
      <c r="B87" s="132" t="s">
        <v>1039</v>
      </c>
    </row>
    <row r="88" customFormat="false" ht="15" hidden="false" customHeight="false" outlineLevel="0" collapsed="false">
      <c r="B88" s="132" t="s">
        <v>1040</v>
      </c>
    </row>
    <row r="89" customFormat="false" ht="15" hidden="false" customHeight="false" outlineLevel="0" collapsed="false">
      <c r="B89" s="132" t="s">
        <v>1041</v>
      </c>
    </row>
    <row r="90" customFormat="false" ht="15" hidden="false" customHeight="false" outlineLevel="0" collapsed="false">
      <c r="B90" s="132" t="s">
        <v>1042</v>
      </c>
    </row>
    <row r="91" customFormat="false" ht="15" hidden="false" customHeight="false" outlineLevel="0" collapsed="false">
      <c r="B91" s="132" t="s">
        <v>1043</v>
      </c>
    </row>
    <row r="92" customFormat="false" ht="15" hidden="false" customHeight="false" outlineLevel="0" collapsed="false">
      <c r="B92" s="132" t="s">
        <v>995</v>
      </c>
    </row>
    <row r="93" customFormat="false" ht="15" hidden="false" customHeight="false" outlineLevel="0" collapsed="false">
      <c r="B93" s="132" t="s">
        <v>996</v>
      </c>
    </row>
    <row r="95" customFormat="false" ht="15" hidden="false" customHeight="false" outlineLevel="0" collapsed="false">
      <c r="A95" s="37" t="s">
        <v>968</v>
      </c>
      <c r="B95" s="131" t="s">
        <v>1044</v>
      </c>
    </row>
    <row r="96" customFormat="false" ht="15" hidden="false" customHeight="false" outlineLevel="0" collapsed="false">
      <c r="B96" s="132" t="s">
        <v>973</v>
      </c>
    </row>
    <row r="97" customFormat="false" ht="15" hidden="false" customHeight="false" outlineLevel="0" collapsed="false">
      <c r="B97" s="132" t="s">
        <v>1045</v>
      </c>
    </row>
    <row r="98" customFormat="false" ht="15" hidden="false" customHeight="false" outlineLevel="0" collapsed="false">
      <c r="B98" s="132" t="s">
        <v>1046</v>
      </c>
    </row>
    <row r="99" customFormat="false" ht="15" hidden="false" customHeight="false" outlineLevel="0" collapsed="false">
      <c r="B99" s="132" t="s">
        <v>1047</v>
      </c>
    </row>
    <row r="100" customFormat="false" ht="15" hidden="false" customHeight="false" outlineLevel="0" collapsed="false">
      <c r="B100" s="132" t="s">
        <v>1048</v>
      </c>
    </row>
    <row r="101" customFormat="false" ht="15" hidden="false" customHeight="false" outlineLevel="0" collapsed="false">
      <c r="B101" s="132" t="s">
        <v>1049</v>
      </c>
    </row>
    <row r="102" customFormat="false" ht="15" hidden="false" customHeight="false" outlineLevel="0" collapsed="false">
      <c r="B102" s="132" t="s">
        <v>1050</v>
      </c>
    </row>
    <row r="103" customFormat="false" ht="15" hidden="false" customHeight="false" outlineLevel="0" collapsed="false">
      <c r="B103" s="132" t="s">
        <v>1051</v>
      </c>
    </row>
    <row r="104" customFormat="false" ht="15" hidden="false" customHeight="false" outlineLevel="0" collapsed="false">
      <c r="B104" s="132" t="s">
        <v>1052</v>
      </c>
    </row>
    <row r="105" customFormat="false" ht="15" hidden="false" customHeight="false" outlineLevel="0" collapsed="false">
      <c r="B105" s="132" t="s">
        <v>1053</v>
      </c>
    </row>
    <row r="106" customFormat="false" ht="15" hidden="false" customHeight="false" outlineLevel="0" collapsed="false">
      <c r="B106" s="132" t="s">
        <v>1054</v>
      </c>
    </row>
    <row r="107" customFormat="false" ht="15" hidden="false" customHeight="false" outlineLevel="0" collapsed="false">
      <c r="B107" s="132" t="s">
        <v>1055</v>
      </c>
    </row>
    <row r="108" customFormat="false" ht="15" hidden="false" customHeight="false" outlineLevel="0" collapsed="false">
      <c r="B108" s="132" t="s">
        <v>1056</v>
      </c>
    </row>
    <row r="109" customFormat="false" ht="15" hidden="false" customHeight="false" outlineLevel="0" collapsed="false">
      <c r="B109" s="132" t="s">
        <v>1057</v>
      </c>
    </row>
    <row r="110" customFormat="false" ht="15" hidden="false" customHeight="false" outlineLevel="0" collapsed="false">
      <c r="B110" s="132" t="s">
        <v>1058</v>
      </c>
    </row>
    <row r="111" customFormat="false" ht="15" hidden="false" customHeight="false" outlineLevel="0" collapsed="false">
      <c r="B111" s="132" t="s">
        <v>1059</v>
      </c>
    </row>
    <row r="112" customFormat="false" ht="15" hidden="false" customHeight="false" outlineLevel="0" collapsed="false">
      <c r="B112" s="132" t="s">
        <v>1060</v>
      </c>
    </row>
    <row r="113" customFormat="false" ht="15" hidden="false" customHeight="false" outlineLevel="0" collapsed="false">
      <c r="B113" s="132" t="s">
        <v>995</v>
      </c>
    </row>
    <row r="114" customFormat="false" ht="15" hidden="false" customHeight="false" outlineLevel="0" collapsed="false">
      <c r="B114" s="132" t="s">
        <v>996</v>
      </c>
    </row>
    <row r="116" customFormat="false" ht="15" hidden="false" customHeight="false" outlineLevel="0" collapsed="false">
      <c r="A116" s="37" t="s">
        <v>968</v>
      </c>
      <c r="B116" s="131" t="s">
        <v>1061</v>
      </c>
    </row>
    <row r="117" customFormat="false" ht="15" hidden="false" customHeight="false" outlineLevel="0" collapsed="false">
      <c r="B117" s="132" t="s">
        <v>973</v>
      </c>
    </row>
    <row r="118" customFormat="false" ht="15" hidden="false" customHeight="false" outlineLevel="0" collapsed="false">
      <c r="B118" s="132" t="s">
        <v>1062</v>
      </c>
    </row>
    <row r="119" customFormat="false" ht="15" hidden="false" customHeight="false" outlineLevel="0" collapsed="false">
      <c r="B119" s="132" t="s">
        <v>1063</v>
      </c>
    </row>
    <row r="120" customFormat="false" ht="15" hidden="false" customHeight="false" outlineLevel="0" collapsed="false">
      <c r="B120" s="132"/>
    </row>
    <row r="121" customFormat="false" ht="15" hidden="false" customHeight="false" outlineLevel="0" collapsed="false">
      <c r="B121" s="132" t="s">
        <v>1064</v>
      </c>
    </row>
    <row r="122" customFormat="false" ht="15" hidden="false" customHeight="false" outlineLevel="0" collapsed="false">
      <c r="B122" s="132" t="s">
        <v>1065</v>
      </c>
    </row>
    <row r="123" customFormat="false" ht="15" hidden="false" customHeight="false" outlineLevel="0" collapsed="false">
      <c r="B123" s="132" t="s">
        <v>1066</v>
      </c>
    </row>
    <row r="124" customFormat="false" ht="15" hidden="false" customHeight="false" outlineLevel="0" collapsed="false">
      <c r="B124" s="132" t="s">
        <v>1067</v>
      </c>
    </row>
    <row r="125" customFormat="false" ht="15" hidden="false" customHeight="false" outlineLevel="0" collapsed="false">
      <c r="B125" s="132"/>
    </row>
    <row r="126" customFormat="false" ht="15" hidden="false" customHeight="false" outlineLevel="0" collapsed="false">
      <c r="B126" s="132" t="s">
        <v>1068</v>
      </c>
    </row>
    <row r="127" customFormat="false" ht="15" hidden="false" customHeight="false" outlineLevel="0" collapsed="false">
      <c r="B127" s="132" t="s">
        <v>1069</v>
      </c>
    </row>
    <row r="128" customFormat="false" ht="15" hidden="false" customHeight="false" outlineLevel="0" collapsed="false">
      <c r="B128" s="132" t="s">
        <v>1070</v>
      </c>
    </row>
    <row r="129" customFormat="false" ht="15" hidden="false" customHeight="false" outlineLevel="0" collapsed="false">
      <c r="B129" s="132" t="s">
        <v>1071</v>
      </c>
    </row>
    <row r="130" customFormat="false" ht="15" hidden="false" customHeight="false" outlineLevel="0" collapsed="false">
      <c r="B130" s="132"/>
    </row>
    <row r="131" customFormat="false" ht="15" hidden="false" customHeight="false" outlineLevel="0" collapsed="false">
      <c r="B131" s="132" t="s">
        <v>1072</v>
      </c>
    </row>
    <row r="132" customFormat="false" ht="15" hidden="false" customHeight="false" outlineLevel="0" collapsed="false">
      <c r="B132" s="132" t="s">
        <v>1073</v>
      </c>
    </row>
    <row r="133" customFormat="false" ht="15" hidden="false" customHeight="false" outlineLevel="0" collapsed="false">
      <c r="B133" s="132" t="s">
        <v>1074</v>
      </c>
    </row>
    <row r="134" customFormat="false" ht="15" hidden="false" customHeight="false" outlineLevel="0" collapsed="false">
      <c r="B134" s="132"/>
    </row>
    <row r="135" customFormat="false" ht="15" hidden="false" customHeight="false" outlineLevel="0" collapsed="false">
      <c r="B135" s="132" t="s">
        <v>1075</v>
      </c>
    </row>
    <row r="136" customFormat="false" ht="15" hidden="false" customHeight="false" outlineLevel="0" collapsed="false">
      <c r="B136" s="132" t="s">
        <v>1076</v>
      </c>
    </row>
    <row r="137" customFormat="false" ht="15" hidden="false" customHeight="false" outlineLevel="0" collapsed="false">
      <c r="B137" s="132" t="s">
        <v>1077</v>
      </c>
    </row>
    <row r="138" customFormat="false" ht="15" hidden="false" customHeight="false" outlineLevel="0" collapsed="false">
      <c r="B138" s="132"/>
    </row>
    <row r="139" customFormat="false" ht="15" hidden="false" customHeight="false" outlineLevel="0" collapsed="false">
      <c r="B139" s="132" t="s">
        <v>1078</v>
      </c>
    </row>
    <row r="140" customFormat="false" ht="15" hidden="false" customHeight="false" outlineLevel="0" collapsed="false">
      <c r="B140" s="132" t="s">
        <v>1079</v>
      </c>
    </row>
    <row r="141" customFormat="false" ht="15" hidden="false" customHeight="false" outlineLevel="0" collapsed="false">
      <c r="B141" s="132" t="s">
        <v>1080</v>
      </c>
    </row>
    <row r="142" customFormat="false" ht="15" hidden="false" customHeight="false" outlineLevel="0" collapsed="false">
      <c r="B142" s="132"/>
    </row>
    <row r="143" customFormat="false" ht="15" hidden="false" customHeight="false" outlineLevel="0" collapsed="false">
      <c r="B143" s="132" t="s">
        <v>1081</v>
      </c>
    </row>
    <row r="144" customFormat="false" ht="15" hidden="false" customHeight="false" outlineLevel="0" collapsed="false">
      <c r="B144" s="132" t="s">
        <v>1082</v>
      </c>
    </row>
    <row r="145" customFormat="false" ht="15" hidden="false" customHeight="false" outlineLevel="0" collapsed="false">
      <c r="B145" s="132" t="s">
        <v>1083</v>
      </c>
    </row>
    <row r="146" customFormat="false" ht="15" hidden="false" customHeight="false" outlineLevel="0" collapsed="false">
      <c r="B146" s="132" t="s">
        <v>1084</v>
      </c>
    </row>
    <row r="147" customFormat="false" ht="15" hidden="false" customHeight="false" outlineLevel="0" collapsed="false">
      <c r="B147" s="132" t="s">
        <v>1085</v>
      </c>
    </row>
    <row r="148" customFormat="false" ht="15" hidden="false" customHeight="false" outlineLevel="0" collapsed="false">
      <c r="B148" s="132" t="s">
        <v>1086</v>
      </c>
    </row>
    <row r="149" customFormat="false" ht="15" hidden="false" customHeight="false" outlineLevel="0" collapsed="false">
      <c r="B149" s="132" t="s">
        <v>1087</v>
      </c>
    </row>
    <row r="150" customFormat="false" ht="15" hidden="false" customHeight="false" outlineLevel="0" collapsed="false">
      <c r="B150" s="132" t="s">
        <v>1088</v>
      </c>
    </row>
    <row r="151" customFormat="false" ht="15" hidden="false" customHeight="false" outlineLevel="0" collapsed="false">
      <c r="B151" s="132" t="s">
        <v>1089</v>
      </c>
    </row>
    <row r="152" customFormat="false" ht="15" hidden="false" customHeight="false" outlineLevel="0" collapsed="false">
      <c r="B152" s="132" t="s">
        <v>1090</v>
      </c>
    </row>
    <row r="153" customFormat="false" ht="15" hidden="false" customHeight="false" outlineLevel="0" collapsed="false">
      <c r="B153" s="132" t="s">
        <v>1091</v>
      </c>
    </row>
    <row r="154" customFormat="false" ht="15" hidden="false" customHeight="false" outlineLevel="0" collapsed="false">
      <c r="B154" s="132" t="s">
        <v>1092</v>
      </c>
    </row>
    <row r="155" customFormat="false" ht="15" hidden="false" customHeight="false" outlineLevel="0" collapsed="false">
      <c r="B155" s="132" t="s">
        <v>995</v>
      </c>
    </row>
    <row r="156" customFormat="false" ht="15" hidden="false" customHeight="false" outlineLevel="0" collapsed="false">
      <c r="B156" s="132" t="s">
        <v>1093</v>
      </c>
    </row>
    <row r="158" customFormat="false" ht="15" hidden="false" customHeight="false" outlineLevel="0" collapsed="false">
      <c r="A158" s="37" t="s">
        <v>968</v>
      </c>
      <c r="B158" s="131" t="s">
        <v>1094</v>
      </c>
    </row>
    <row r="159" customFormat="false" ht="15" hidden="false" customHeight="false" outlineLevel="0" collapsed="false">
      <c r="B159" s="132" t="s">
        <v>1095</v>
      </c>
    </row>
    <row r="160" customFormat="false" ht="15" hidden="false" customHeight="false" outlineLevel="0" collapsed="false">
      <c r="B160" s="132" t="s">
        <v>1096</v>
      </c>
    </row>
    <row r="161" customFormat="false" ht="15" hidden="false" customHeight="false" outlineLevel="0" collapsed="false">
      <c r="B161" s="132" t="s">
        <v>973</v>
      </c>
    </row>
    <row r="162" customFormat="false" ht="15" hidden="false" customHeight="false" outlineLevel="0" collapsed="false">
      <c r="B162" s="132" t="s">
        <v>1097</v>
      </c>
    </row>
    <row r="163" customFormat="false" ht="15" hidden="false" customHeight="false" outlineLevel="0" collapsed="false">
      <c r="B163" s="132" t="s">
        <v>1098</v>
      </c>
    </row>
    <row r="164" customFormat="false" ht="15" hidden="false" customHeight="false" outlineLevel="0" collapsed="false">
      <c r="B164" s="132" t="s">
        <v>1099</v>
      </c>
    </row>
    <row r="165" customFormat="false" ht="15" hidden="false" customHeight="false" outlineLevel="0" collapsed="false">
      <c r="B165" s="132" t="s">
        <v>1100</v>
      </c>
    </row>
    <row r="166" customFormat="false" ht="15" hidden="false" customHeight="false" outlineLevel="0" collapsed="false">
      <c r="B166" s="132" t="s">
        <v>1101</v>
      </c>
    </row>
    <row r="167" customFormat="false" ht="15" hidden="false" customHeight="false" outlineLevel="0" collapsed="false">
      <c r="B167" s="132" t="s">
        <v>1102</v>
      </c>
    </row>
    <row r="168" customFormat="false" ht="15" hidden="false" customHeight="false" outlineLevel="0" collapsed="false">
      <c r="B168" s="132" t="s">
        <v>1103</v>
      </c>
    </row>
    <row r="169" customFormat="false" ht="15" hidden="false" customHeight="false" outlineLevel="0" collapsed="false">
      <c r="B169" s="132" t="s">
        <v>1104</v>
      </c>
    </row>
    <row r="170" customFormat="false" ht="15" hidden="false" customHeight="false" outlineLevel="0" collapsed="false">
      <c r="B170" s="132" t="s">
        <v>1105</v>
      </c>
    </row>
    <row r="171" customFormat="false" ht="15" hidden="false" customHeight="false" outlineLevel="0" collapsed="false">
      <c r="B171" s="132" t="s">
        <v>1106</v>
      </c>
    </row>
    <row r="172" customFormat="false" ht="15" hidden="false" customHeight="false" outlineLevel="0" collapsed="false">
      <c r="B172" s="132" t="s">
        <v>1107</v>
      </c>
    </row>
    <row r="173" customFormat="false" ht="15" hidden="false" customHeight="false" outlineLevel="0" collapsed="false">
      <c r="B173" s="132" t="s">
        <v>1108</v>
      </c>
    </row>
    <row r="174" customFormat="false" ht="15" hidden="false" customHeight="false" outlineLevel="0" collapsed="false">
      <c r="B174" s="132" t="s">
        <v>1109</v>
      </c>
    </row>
    <row r="175" customFormat="false" ht="15" hidden="false" customHeight="false" outlineLevel="0" collapsed="false">
      <c r="B175" s="132" t="s">
        <v>1110</v>
      </c>
    </row>
    <row r="176" customFormat="false" ht="15" hidden="false" customHeight="false" outlineLevel="0" collapsed="false">
      <c r="B176" s="132" t="s">
        <v>1111</v>
      </c>
    </row>
    <row r="177" customFormat="false" ht="15" hidden="false" customHeight="false" outlineLevel="0" collapsed="false">
      <c r="B177" s="132" t="s">
        <v>1112</v>
      </c>
    </row>
    <row r="178" customFormat="false" ht="15" hidden="false" customHeight="false" outlineLevel="0" collapsed="false">
      <c r="B178" s="132" t="s">
        <v>1113</v>
      </c>
    </row>
    <row r="179" customFormat="false" ht="15" hidden="false" customHeight="false" outlineLevel="0" collapsed="false">
      <c r="B179" s="132" t="s">
        <v>1114</v>
      </c>
    </row>
    <row r="180" customFormat="false" ht="15" hidden="false" customHeight="false" outlineLevel="0" collapsed="false">
      <c r="B180" s="132" t="s">
        <v>1115</v>
      </c>
    </row>
    <row r="181" customFormat="false" ht="15" hidden="false" customHeight="false" outlineLevel="0" collapsed="false">
      <c r="B181" s="132" t="s">
        <v>1116</v>
      </c>
    </row>
    <row r="182" customFormat="false" ht="15" hidden="false" customHeight="false" outlineLevel="0" collapsed="false">
      <c r="B182" s="132" t="s">
        <v>1117</v>
      </c>
    </row>
    <row r="183" customFormat="false" ht="15" hidden="false" customHeight="false" outlineLevel="0" collapsed="false">
      <c r="B183" s="132" t="s">
        <v>1118</v>
      </c>
    </row>
    <row r="184" customFormat="false" ht="15" hidden="false" customHeight="false" outlineLevel="0" collapsed="false">
      <c r="B184" s="132" t="s">
        <v>1119</v>
      </c>
    </row>
    <row r="185" customFormat="false" ht="15" hidden="false" customHeight="false" outlineLevel="0" collapsed="false">
      <c r="B185" s="132" t="s">
        <v>1120</v>
      </c>
    </row>
    <row r="186" customFormat="false" ht="15" hidden="false" customHeight="false" outlineLevel="0" collapsed="false">
      <c r="B186" s="132" t="s">
        <v>1121</v>
      </c>
    </row>
    <row r="187" customFormat="false" ht="15" hidden="false" customHeight="false" outlineLevel="0" collapsed="false">
      <c r="B187" s="132" t="s">
        <v>1122</v>
      </c>
    </row>
    <row r="188" customFormat="false" ht="15" hidden="false" customHeight="false" outlineLevel="0" collapsed="false">
      <c r="B188" s="132" t="s">
        <v>1123</v>
      </c>
    </row>
    <row r="189" customFormat="false" ht="15" hidden="false" customHeight="false" outlineLevel="0" collapsed="false">
      <c r="B189" s="132" t="s">
        <v>995</v>
      </c>
    </row>
    <row r="190" customFormat="false" ht="15" hidden="false" customHeight="false" outlineLevel="0" collapsed="false">
      <c r="B190" s="132" t="s">
        <v>1124</v>
      </c>
    </row>
    <row r="192" customFormat="false" ht="15" hidden="false" customHeight="false" outlineLevel="0" collapsed="false">
      <c r="A192" s="37" t="s">
        <v>968</v>
      </c>
      <c r="B192" s="131" t="s">
        <v>1125</v>
      </c>
    </row>
    <row r="193" customFormat="false" ht="15" hidden="false" customHeight="false" outlineLevel="0" collapsed="false">
      <c r="B193" s="132" t="s">
        <v>973</v>
      </c>
    </row>
    <row r="194" customFormat="false" ht="15" hidden="false" customHeight="false" outlineLevel="0" collapsed="false">
      <c r="B194" s="132" t="s">
        <v>1126</v>
      </c>
    </row>
    <row r="195" customFormat="false" ht="15" hidden="false" customHeight="false" outlineLevel="0" collapsed="false">
      <c r="B195" s="132" t="s">
        <v>1127</v>
      </c>
    </row>
    <row r="196" customFormat="false" ht="15" hidden="false" customHeight="false" outlineLevel="0" collapsed="false">
      <c r="B196" s="132" t="s">
        <v>1128</v>
      </c>
    </row>
    <row r="197" customFormat="false" ht="15" hidden="false" customHeight="false" outlineLevel="0" collapsed="false">
      <c r="B197" s="132" t="s">
        <v>1129</v>
      </c>
    </row>
    <row r="198" customFormat="false" ht="15" hidden="false" customHeight="false" outlineLevel="0" collapsed="false">
      <c r="B198" s="132" t="s">
        <v>1130</v>
      </c>
    </row>
    <row r="199" customFormat="false" ht="15" hidden="false" customHeight="false" outlineLevel="0" collapsed="false">
      <c r="B199" s="132" t="s">
        <v>1131</v>
      </c>
    </row>
    <row r="200" customFormat="false" ht="15" hidden="false" customHeight="false" outlineLevel="0" collapsed="false">
      <c r="B200" s="132" t="s">
        <v>1132</v>
      </c>
    </row>
    <row r="201" customFormat="false" ht="15" hidden="false" customHeight="false" outlineLevel="0" collapsed="false">
      <c r="B201" s="132" t="s">
        <v>1133</v>
      </c>
    </row>
    <row r="202" customFormat="false" ht="15" hidden="false" customHeight="false" outlineLevel="0" collapsed="false">
      <c r="B202" s="132" t="s">
        <v>1134</v>
      </c>
    </row>
    <row r="203" customFormat="false" ht="15" hidden="false" customHeight="false" outlineLevel="0" collapsed="false">
      <c r="B203" s="132" t="s">
        <v>1135</v>
      </c>
    </row>
    <row r="204" customFormat="false" ht="15" hidden="false" customHeight="false" outlineLevel="0" collapsed="false">
      <c r="B204" s="132" t="s">
        <v>1136</v>
      </c>
    </row>
    <row r="205" customFormat="false" ht="15" hidden="false" customHeight="false" outlineLevel="0" collapsed="false">
      <c r="B205" s="132" t="s">
        <v>1137</v>
      </c>
    </row>
    <row r="206" customFormat="false" ht="15" hidden="false" customHeight="false" outlineLevel="0" collapsed="false">
      <c r="B206" s="132" t="s">
        <v>995</v>
      </c>
    </row>
    <row r="207" customFormat="false" ht="15" hidden="false" customHeight="false" outlineLevel="0" collapsed="false">
      <c r="B207" s="132" t="s">
        <v>996</v>
      </c>
    </row>
    <row r="209" customFormat="false" ht="15" hidden="false" customHeight="false" outlineLevel="0" collapsed="false">
      <c r="A209" s="37" t="s">
        <v>968</v>
      </c>
      <c r="B209" s="131" t="s">
        <v>1138</v>
      </c>
    </row>
    <row r="210" customFormat="false" ht="15" hidden="false" customHeight="false" outlineLevel="0" collapsed="false">
      <c r="B210" s="132" t="s">
        <v>973</v>
      </c>
    </row>
    <row r="211" customFormat="false" ht="15" hidden="false" customHeight="false" outlineLevel="0" collapsed="false">
      <c r="B211" s="132" t="s">
        <v>1139</v>
      </c>
    </row>
    <row r="212" customFormat="false" ht="15" hidden="false" customHeight="false" outlineLevel="0" collapsed="false">
      <c r="B212" s="132" t="s">
        <v>1140</v>
      </c>
    </row>
    <row r="213" customFormat="false" ht="15" hidden="false" customHeight="false" outlineLevel="0" collapsed="false">
      <c r="B213" s="132" t="s">
        <v>1141</v>
      </c>
    </row>
    <row r="214" customFormat="false" ht="15" hidden="false" customHeight="false" outlineLevel="0" collapsed="false">
      <c r="B214" s="132" t="s">
        <v>1142</v>
      </c>
    </row>
    <row r="215" customFormat="false" ht="15" hidden="false" customHeight="false" outlineLevel="0" collapsed="false">
      <c r="B215" s="132" t="s">
        <v>1143</v>
      </c>
    </row>
    <row r="216" customFormat="false" ht="15" hidden="false" customHeight="false" outlineLevel="0" collapsed="false">
      <c r="B216" s="132" t="s">
        <v>1144</v>
      </c>
    </row>
    <row r="217" customFormat="false" ht="15" hidden="false" customHeight="false" outlineLevel="0" collapsed="false">
      <c r="B217" s="132" t="s">
        <v>1145</v>
      </c>
    </row>
    <row r="218" customFormat="false" ht="15" hidden="false" customHeight="false" outlineLevel="0" collapsed="false">
      <c r="B218" s="132" t="s">
        <v>995</v>
      </c>
    </row>
    <row r="219" customFormat="false" ht="15" hidden="false" customHeight="false" outlineLevel="0" collapsed="false">
      <c r="B219" s="132" t="s">
        <v>1146</v>
      </c>
    </row>
    <row r="221" customFormat="false" ht="15" hidden="false" customHeight="false" outlineLevel="0" collapsed="false">
      <c r="A221" s="37" t="s">
        <v>968</v>
      </c>
      <c r="B221" s="131" t="s">
        <v>1147</v>
      </c>
    </row>
    <row r="222" customFormat="false" ht="15" hidden="false" customHeight="false" outlineLevel="0" collapsed="false">
      <c r="B222" s="132" t="s">
        <v>1148</v>
      </c>
    </row>
    <row r="223" customFormat="false" ht="15" hidden="false" customHeight="false" outlineLevel="0" collapsed="false">
      <c r="B223" s="132" t="s">
        <v>973</v>
      </c>
    </row>
    <row r="224" customFormat="false" ht="15" hidden="false" customHeight="false" outlineLevel="0" collapsed="false">
      <c r="B224" s="132" t="s">
        <v>1149</v>
      </c>
    </row>
    <row r="225" customFormat="false" ht="15" hidden="false" customHeight="false" outlineLevel="0" collapsed="false">
      <c r="B225" s="132" t="s">
        <v>1150</v>
      </c>
    </row>
    <row r="226" customFormat="false" ht="15" hidden="false" customHeight="false" outlineLevel="0" collapsed="false">
      <c r="B226" s="132" t="s">
        <v>1151</v>
      </c>
    </row>
    <row r="227" customFormat="false" ht="15" hidden="false" customHeight="false" outlineLevel="0" collapsed="false">
      <c r="B227" s="132" t="s">
        <v>1152</v>
      </c>
    </row>
    <row r="228" customFormat="false" ht="15" hidden="false" customHeight="false" outlineLevel="0" collapsed="false">
      <c r="B228" s="132" t="s">
        <v>1153</v>
      </c>
    </row>
    <row r="229" customFormat="false" ht="15" hidden="false" customHeight="false" outlineLevel="0" collapsed="false">
      <c r="B229" s="132" t="s">
        <v>1154</v>
      </c>
    </row>
    <row r="230" customFormat="false" ht="15" hidden="false" customHeight="false" outlineLevel="0" collapsed="false">
      <c r="B230" s="132" t="s">
        <v>995</v>
      </c>
    </row>
    <row r="231" customFormat="false" ht="15" hidden="false" customHeight="false" outlineLevel="0" collapsed="false">
      <c r="B231" s="132" t="s">
        <v>1155</v>
      </c>
    </row>
    <row r="233" customFormat="false" ht="15" hidden="false" customHeight="false" outlineLevel="0" collapsed="false">
      <c r="A233" s="37" t="s">
        <v>968</v>
      </c>
      <c r="B233" s="131" t="s">
        <v>1156</v>
      </c>
    </row>
    <row r="234" customFormat="false" ht="15" hidden="false" customHeight="false" outlineLevel="0" collapsed="false">
      <c r="B234" s="132" t="s">
        <v>1157</v>
      </c>
    </row>
    <row r="235" customFormat="false" ht="15" hidden="false" customHeight="false" outlineLevel="0" collapsed="false">
      <c r="B235" s="132" t="s">
        <v>973</v>
      </c>
    </row>
    <row r="236" customFormat="false" ht="15" hidden="false" customHeight="false" outlineLevel="0" collapsed="false">
      <c r="B236" s="132" t="s">
        <v>1158</v>
      </c>
    </row>
    <row r="237" customFormat="false" ht="15" hidden="false" customHeight="false" outlineLevel="0" collapsed="false">
      <c r="B237" s="132" t="s">
        <v>1159</v>
      </c>
    </row>
    <row r="238" customFormat="false" ht="15" hidden="false" customHeight="false" outlineLevel="0" collapsed="false">
      <c r="B238" s="132" t="s">
        <v>1150</v>
      </c>
    </row>
    <row r="239" customFormat="false" ht="15" hidden="false" customHeight="false" outlineLevel="0" collapsed="false">
      <c r="B239" s="132" t="s">
        <v>1151</v>
      </c>
    </row>
    <row r="240" customFormat="false" ht="15" hidden="false" customHeight="false" outlineLevel="0" collapsed="false">
      <c r="B240" s="132" t="s">
        <v>1160</v>
      </c>
    </row>
    <row r="241" customFormat="false" ht="15" hidden="false" customHeight="false" outlineLevel="0" collapsed="false">
      <c r="B241" s="132" t="s">
        <v>1161</v>
      </c>
    </row>
    <row r="242" customFormat="false" ht="15" hidden="false" customHeight="false" outlineLevel="0" collapsed="false">
      <c r="B242" s="132" t="s">
        <v>1162</v>
      </c>
    </row>
    <row r="243" customFormat="false" ht="15" hidden="false" customHeight="false" outlineLevel="0" collapsed="false">
      <c r="B243" s="132" t="s">
        <v>995</v>
      </c>
    </row>
    <row r="244" customFormat="false" ht="15" hidden="false" customHeight="false" outlineLevel="0" collapsed="false">
      <c r="B244" s="132" t="s">
        <v>1155</v>
      </c>
    </row>
    <row r="246" customFormat="false" ht="15" hidden="false" customHeight="false" outlineLevel="0" collapsed="false">
      <c r="A246" s="37" t="s">
        <v>968</v>
      </c>
      <c r="B246" s="131" t="s">
        <v>1163</v>
      </c>
    </row>
    <row r="247" customFormat="false" ht="15" hidden="false" customHeight="false" outlineLevel="0" collapsed="false">
      <c r="B247" s="132" t="s">
        <v>1164</v>
      </c>
    </row>
    <row r="248" customFormat="false" ht="15" hidden="false" customHeight="false" outlineLevel="0" collapsed="false">
      <c r="B248" s="132" t="s">
        <v>973</v>
      </c>
    </row>
    <row r="249" customFormat="false" ht="15" hidden="false" customHeight="false" outlineLevel="0" collapsed="false">
      <c r="B249" s="132" t="s">
        <v>1097</v>
      </c>
    </row>
    <row r="250" customFormat="false" ht="15" hidden="false" customHeight="false" outlineLevel="0" collapsed="false">
      <c r="B250" s="132" t="s">
        <v>1165</v>
      </c>
    </row>
    <row r="251" customFormat="false" ht="15" hidden="false" customHeight="false" outlineLevel="0" collapsed="false">
      <c r="B251" s="132" t="s">
        <v>1166</v>
      </c>
    </row>
    <row r="252" customFormat="false" ht="15" hidden="false" customHeight="false" outlineLevel="0" collapsed="false">
      <c r="B252" s="132" t="s">
        <v>1128</v>
      </c>
    </row>
    <row r="253" customFormat="false" ht="15" hidden="false" customHeight="false" outlineLevel="0" collapsed="false">
      <c r="B253" s="132" t="s">
        <v>1167</v>
      </c>
    </row>
    <row r="254" customFormat="false" ht="15" hidden="false" customHeight="false" outlineLevel="0" collapsed="false">
      <c r="B254" s="132" t="s">
        <v>1168</v>
      </c>
    </row>
    <row r="255" customFormat="false" ht="15" hidden="false" customHeight="false" outlineLevel="0" collapsed="false">
      <c r="B255" s="132" t="s">
        <v>1169</v>
      </c>
    </row>
    <row r="256" customFormat="false" ht="15" hidden="false" customHeight="false" outlineLevel="0" collapsed="false">
      <c r="B256" s="132" t="s">
        <v>1170</v>
      </c>
    </row>
    <row r="257" customFormat="false" ht="15" hidden="false" customHeight="false" outlineLevel="0" collapsed="false">
      <c r="B257" s="132" t="s">
        <v>1171</v>
      </c>
    </row>
    <row r="258" customFormat="false" ht="15" hidden="false" customHeight="false" outlineLevel="0" collapsed="false">
      <c r="B258" s="132" t="s">
        <v>1172</v>
      </c>
    </row>
    <row r="259" customFormat="false" ht="15" hidden="false" customHeight="false" outlineLevel="0" collapsed="false">
      <c r="B259" s="132" t="s">
        <v>1173</v>
      </c>
    </row>
    <row r="260" customFormat="false" ht="15" hidden="false" customHeight="false" outlineLevel="0" collapsed="false">
      <c r="B260" s="132" t="s">
        <v>1174</v>
      </c>
    </row>
    <row r="261" customFormat="false" ht="15" hidden="false" customHeight="false" outlineLevel="0" collapsed="false">
      <c r="B261" s="132" t="s">
        <v>1175</v>
      </c>
    </row>
    <row r="262" customFormat="false" ht="15" hidden="false" customHeight="false" outlineLevel="0" collapsed="false">
      <c r="B262" s="132" t="s">
        <v>1176</v>
      </c>
    </row>
    <row r="263" customFormat="false" ht="15" hidden="false" customHeight="false" outlineLevel="0" collapsed="false">
      <c r="B263" s="132" t="s">
        <v>1177</v>
      </c>
    </row>
    <row r="264" customFormat="false" ht="15" hidden="false" customHeight="false" outlineLevel="0" collapsed="false">
      <c r="B264" s="132" t="s">
        <v>995</v>
      </c>
    </row>
    <row r="265" customFormat="false" ht="15" hidden="false" customHeight="false" outlineLevel="0" collapsed="false">
      <c r="B265" s="132" t="s">
        <v>1026</v>
      </c>
    </row>
    <row r="267" customFormat="false" ht="15" hidden="false" customHeight="false" outlineLevel="0" collapsed="false">
      <c r="A267" s="37" t="s">
        <v>968</v>
      </c>
      <c r="B267" s="131" t="s">
        <v>1178</v>
      </c>
    </row>
    <row r="268" customFormat="false" ht="15" hidden="false" customHeight="false" outlineLevel="0" collapsed="false">
      <c r="B268" s="132" t="s">
        <v>1179</v>
      </c>
    </row>
    <row r="269" customFormat="false" ht="15" hidden="false" customHeight="false" outlineLevel="0" collapsed="false">
      <c r="B269" s="132" t="s">
        <v>973</v>
      </c>
    </row>
    <row r="270" customFormat="false" ht="15" hidden="false" customHeight="false" outlineLevel="0" collapsed="false">
      <c r="B270" s="132" t="s">
        <v>1180</v>
      </c>
    </row>
    <row r="271" customFormat="false" ht="15" hidden="false" customHeight="false" outlineLevel="0" collapsed="false">
      <c r="B271" s="132" t="s">
        <v>1181</v>
      </c>
    </row>
    <row r="272" customFormat="false" ht="15" hidden="false" customHeight="false" outlineLevel="0" collapsed="false">
      <c r="B272" s="132" t="s">
        <v>1182</v>
      </c>
    </row>
    <row r="273" customFormat="false" ht="15" hidden="false" customHeight="false" outlineLevel="0" collapsed="false">
      <c r="B273" s="132" t="s">
        <v>1183</v>
      </c>
    </row>
    <row r="274" customFormat="false" ht="15" hidden="false" customHeight="false" outlineLevel="0" collapsed="false">
      <c r="B274" s="132" t="s">
        <v>1184</v>
      </c>
    </row>
    <row r="275" customFormat="false" ht="15" hidden="false" customHeight="false" outlineLevel="0" collapsed="false">
      <c r="B275" s="132" t="s">
        <v>995</v>
      </c>
    </row>
    <row r="276" customFormat="false" ht="15" hidden="false" customHeight="false" outlineLevel="0" collapsed="false">
      <c r="B276" s="132" t="s">
        <v>1185</v>
      </c>
    </row>
    <row r="278" customFormat="false" ht="15" hidden="false" customHeight="false" outlineLevel="0" collapsed="false">
      <c r="A278" s="37" t="s">
        <v>968</v>
      </c>
      <c r="B278" s="131" t="s">
        <v>1186</v>
      </c>
    </row>
    <row r="279" customFormat="false" ht="15" hidden="false" customHeight="false" outlineLevel="0" collapsed="false">
      <c r="B279" s="132" t="s">
        <v>1187</v>
      </c>
    </row>
    <row r="280" customFormat="false" ht="15" hidden="false" customHeight="false" outlineLevel="0" collapsed="false">
      <c r="B280" s="132" t="s">
        <v>1188</v>
      </c>
    </row>
    <row r="281" customFormat="false" ht="15" hidden="false" customHeight="false" outlineLevel="0" collapsed="false">
      <c r="B281" s="132" t="s">
        <v>973</v>
      </c>
    </row>
    <row r="282" customFormat="false" ht="15" hidden="false" customHeight="false" outlineLevel="0" collapsed="false">
      <c r="B282" s="132" t="s">
        <v>1097</v>
      </c>
    </row>
    <row r="283" customFormat="false" ht="15" hidden="false" customHeight="false" outlineLevel="0" collapsed="false">
      <c r="B283" s="132" t="s">
        <v>1189</v>
      </c>
    </row>
    <row r="284" customFormat="false" ht="15" hidden="false" customHeight="false" outlineLevel="0" collapsed="false">
      <c r="B284" s="132" t="s">
        <v>1099</v>
      </c>
    </row>
    <row r="285" customFormat="false" ht="15" hidden="false" customHeight="false" outlineLevel="0" collapsed="false">
      <c r="B285" s="132" t="s">
        <v>1190</v>
      </c>
    </row>
    <row r="286" customFormat="false" ht="15" hidden="false" customHeight="false" outlineLevel="0" collapsed="false">
      <c r="B286" s="132" t="s">
        <v>1191</v>
      </c>
    </row>
    <row r="287" customFormat="false" ht="15" hidden="false" customHeight="false" outlineLevel="0" collapsed="false">
      <c r="B287" s="132" t="s">
        <v>1192</v>
      </c>
    </row>
    <row r="288" customFormat="false" ht="15" hidden="false" customHeight="false" outlineLevel="0" collapsed="false">
      <c r="B288" s="132" t="s">
        <v>1193</v>
      </c>
    </row>
    <row r="289" customFormat="false" ht="15" hidden="false" customHeight="false" outlineLevel="0" collapsed="false">
      <c r="B289" s="132" t="s">
        <v>1194</v>
      </c>
    </row>
    <row r="290" customFormat="false" ht="15" hidden="false" customHeight="false" outlineLevel="0" collapsed="false">
      <c r="B290" s="132" t="s">
        <v>1195</v>
      </c>
    </row>
    <row r="291" customFormat="false" ht="15" hidden="false" customHeight="false" outlineLevel="0" collapsed="false">
      <c r="B291" s="132" t="s">
        <v>1196</v>
      </c>
    </row>
    <row r="292" customFormat="false" ht="15" hidden="false" customHeight="false" outlineLevel="0" collapsed="false">
      <c r="B292" s="132" t="s">
        <v>1197</v>
      </c>
    </row>
    <row r="293" customFormat="false" ht="15" hidden="false" customHeight="false" outlineLevel="0" collapsed="false">
      <c r="B293" s="132" t="s">
        <v>1198</v>
      </c>
    </row>
    <row r="294" customFormat="false" ht="15" hidden="false" customHeight="false" outlineLevel="0" collapsed="false">
      <c r="B294" s="132" t="s">
        <v>1199</v>
      </c>
    </row>
    <row r="295" customFormat="false" ht="15" hidden="false" customHeight="false" outlineLevel="0" collapsed="false">
      <c r="B295" s="132" t="s">
        <v>1200</v>
      </c>
    </row>
    <row r="296" customFormat="false" ht="15" hidden="false" customHeight="false" outlineLevel="0" collapsed="false">
      <c r="B296" s="132" t="s">
        <v>1201</v>
      </c>
    </row>
    <row r="297" customFormat="false" ht="15" hidden="false" customHeight="false" outlineLevel="0" collapsed="false">
      <c r="B297" s="132" t="s">
        <v>1202</v>
      </c>
    </row>
    <row r="298" customFormat="false" ht="15" hidden="false" customHeight="false" outlineLevel="0" collapsed="false">
      <c r="B298" s="132" t="s">
        <v>1203</v>
      </c>
    </row>
    <row r="299" customFormat="false" ht="15" hidden="false" customHeight="false" outlineLevel="0" collapsed="false">
      <c r="B299" s="132" t="s">
        <v>1204</v>
      </c>
    </row>
    <row r="300" customFormat="false" ht="15" hidden="false" customHeight="false" outlineLevel="0" collapsed="false">
      <c r="B300" s="132" t="s">
        <v>1205</v>
      </c>
    </row>
    <row r="301" customFormat="false" ht="15" hidden="false" customHeight="false" outlineLevel="0" collapsed="false">
      <c r="B301" s="132" t="s">
        <v>1206</v>
      </c>
    </row>
    <row r="302" customFormat="false" ht="15" hidden="false" customHeight="false" outlineLevel="0" collapsed="false">
      <c r="B302" s="132" t="s">
        <v>1207</v>
      </c>
    </row>
    <row r="303" customFormat="false" ht="15" hidden="false" customHeight="false" outlineLevel="0" collapsed="false">
      <c r="B303" s="132" t="s">
        <v>1208</v>
      </c>
    </row>
    <row r="304" customFormat="false" ht="15" hidden="false" customHeight="false" outlineLevel="0" collapsed="false">
      <c r="B304" s="132" t="s">
        <v>1209</v>
      </c>
    </row>
    <row r="305" customFormat="false" ht="15" hidden="false" customHeight="false" outlineLevel="0" collapsed="false">
      <c r="B305" s="132" t="s">
        <v>1210</v>
      </c>
    </row>
    <row r="306" customFormat="false" ht="15" hidden="false" customHeight="false" outlineLevel="0" collapsed="false">
      <c r="B306" s="132" t="s">
        <v>1211</v>
      </c>
    </row>
    <row r="307" customFormat="false" ht="15" hidden="false" customHeight="false" outlineLevel="0" collapsed="false">
      <c r="B307" s="132" t="s">
        <v>1212</v>
      </c>
    </row>
    <row r="308" customFormat="false" ht="15" hidden="false" customHeight="false" outlineLevel="0" collapsed="false">
      <c r="B308" s="132" t="s">
        <v>995</v>
      </c>
    </row>
    <row r="309" customFormat="false" ht="15" hidden="false" customHeight="false" outlineLevel="0" collapsed="false">
      <c r="B309" s="132" t="s">
        <v>1155</v>
      </c>
    </row>
    <row r="311" customFormat="false" ht="15" hidden="false" customHeight="false" outlineLevel="0" collapsed="false">
      <c r="A311" s="37" t="s">
        <v>968</v>
      </c>
      <c r="B311" s="131" t="s">
        <v>1213</v>
      </c>
    </row>
    <row r="312" customFormat="false" ht="15" hidden="false" customHeight="false" outlineLevel="0" collapsed="false">
      <c r="B312" s="132" t="s">
        <v>1214</v>
      </c>
    </row>
    <row r="313" customFormat="false" ht="15" hidden="false" customHeight="false" outlineLevel="0" collapsed="false">
      <c r="B313" s="132" t="s">
        <v>973</v>
      </c>
    </row>
    <row r="314" customFormat="false" ht="15" hidden="false" customHeight="false" outlineLevel="0" collapsed="false">
      <c r="B314" s="132" t="s">
        <v>1215</v>
      </c>
    </row>
    <row r="315" customFormat="false" ht="15" hidden="false" customHeight="false" outlineLevel="0" collapsed="false">
      <c r="B315" s="132" t="s">
        <v>1216</v>
      </c>
    </row>
    <row r="316" customFormat="false" ht="15" hidden="false" customHeight="false" outlineLevel="0" collapsed="false">
      <c r="B316" s="132" t="s">
        <v>1217</v>
      </c>
    </row>
    <row r="317" customFormat="false" ht="15" hidden="false" customHeight="false" outlineLevel="0" collapsed="false">
      <c r="B317" s="132" t="s">
        <v>1218</v>
      </c>
    </row>
    <row r="318" customFormat="false" ht="15" hidden="false" customHeight="false" outlineLevel="0" collapsed="false">
      <c r="B318" s="132" t="s">
        <v>1219</v>
      </c>
    </row>
    <row r="319" customFormat="false" ht="15" hidden="false" customHeight="false" outlineLevel="0" collapsed="false">
      <c r="B319" s="132" t="s">
        <v>1220</v>
      </c>
    </row>
    <row r="320" customFormat="false" ht="15" hidden="false" customHeight="false" outlineLevel="0" collapsed="false">
      <c r="B320" s="132" t="s">
        <v>1221</v>
      </c>
    </row>
    <row r="321" customFormat="false" ht="15" hidden="false" customHeight="false" outlineLevel="0" collapsed="false">
      <c r="B321" s="132" t="s">
        <v>1222</v>
      </c>
    </row>
    <row r="322" customFormat="false" ht="15" hidden="false" customHeight="false" outlineLevel="0" collapsed="false">
      <c r="B322" s="132" t="s">
        <v>1223</v>
      </c>
    </row>
    <row r="323" customFormat="false" ht="15" hidden="false" customHeight="false" outlineLevel="0" collapsed="false">
      <c r="B323" s="132" t="s">
        <v>1224</v>
      </c>
    </row>
    <row r="324" customFormat="false" ht="15" hidden="false" customHeight="false" outlineLevel="0" collapsed="false">
      <c r="B324" s="132" t="s">
        <v>1225</v>
      </c>
    </row>
    <row r="325" customFormat="false" ht="15" hidden="false" customHeight="false" outlineLevel="0" collapsed="false">
      <c r="B325" s="132" t="s">
        <v>995</v>
      </c>
    </row>
    <row r="326" customFormat="false" ht="15" hidden="false" customHeight="false" outlineLevel="0" collapsed="false">
      <c r="B326" s="132" t="s">
        <v>1226</v>
      </c>
    </row>
  </sheetData>
  <mergeCells count="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6" min="3" style="1" width="12"/>
    <col collapsed="false" customWidth="true" hidden="false" outlineLevel="0" max="8" min="7" style="1" width="14"/>
    <col collapsed="false" customWidth="true" hidden="false" outlineLevel="0" max="9" min="9" style="1" width="40"/>
  </cols>
  <sheetData>
    <row r="1" customFormat="false" ht="21.75" hidden="false" customHeight="true" outlineLevel="0" collapsed="false">
      <c r="A1" s="41" t="s">
        <v>1227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1228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5" t="s">
        <v>1229</v>
      </c>
      <c r="B4" s="5" t="s">
        <v>833</v>
      </c>
      <c r="C4" s="5" t="s">
        <v>1230</v>
      </c>
      <c r="D4" s="5" t="s">
        <v>1231</v>
      </c>
      <c r="E4" s="5" t="s">
        <v>740</v>
      </c>
      <c r="F4" s="5" t="s">
        <v>495</v>
      </c>
      <c r="G4" s="5" t="s">
        <v>1232</v>
      </c>
      <c r="H4" s="5" t="s">
        <v>1233</v>
      </c>
      <c r="I4" s="5" t="s">
        <v>1234</v>
      </c>
    </row>
    <row r="5" customFormat="false" ht="21.75" hidden="false" customHeight="true" outlineLevel="0" collapsed="false">
      <c r="A5" s="133" t="s">
        <v>1235</v>
      </c>
      <c r="B5" s="133" t="s">
        <v>242</v>
      </c>
      <c r="C5" s="134" t="n">
        <v>76909</v>
      </c>
      <c r="D5" s="134" t="n">
        <v>73800</v>
      </c>
      <c r="E5" s="134" t="n">
        <v>77712</v>
      </c>
      <c r="F5" s="135" t="n">
        <v>3</v>
      </c>
      <c r="G5" s="136" t="n">
        <v>2.5</v>
      </c>
      <c r="H5" s="137" t="n">
        <f aca="false">IFERROR((E5-C5)/C5*F5,0)</f>
        <v>0.031322732059967</v>
      </c>
      <c r="I5" s="13" t="s">
        <v>1236</v>
      </c>
    </row>
    <row r="6" customFormat="false" ht="15" hidden="false" customHeight="true" outlineLevel="0" collapsed="false">
      <c r="A6" s="138"/>
      <c r="B6" s="138"/>
      <c r="C6" s="139"/>
      <c r="D6" s="139"/>
      <c r="E6" s="139"/>
      <c r="F6" s="138"/>
      <c r="G6" s="138"/>
      <c r="H6" s="140" t="str">
        <f aca="false">IF(AND(ISNUMBER(C6),ISNUMBER(E6)),(E6-C6)/C6*F6,"")</f>
        <v/>
      </c>
      <c r="I6" s="138"/>
    </row>
    <row r="7" customFormat="false" ht="15" hidden="false" customHeight="true" outlineLevel="0" collapsed="false">
      <c r="A7" s="138"/>
      <c r="B7" s="138"/>
      <c r="C7" s="139"/>
      <c r="D7" s="139"/>
      <c r="E7" s="139"/>
      <c r="F7" s="138"/>
      <c r="G7" s="138"/>
      <c r="H7" s="140" t="str">
        <f aca="false">IF(AND(ISNUMBER(C7),ISNUMBER(E7)),(E7-C7)/C7*F7,"")</f>
        <v/>
      </c>
      <c r="I7" s="138"/>
    </row>
    <row r="8" customFormat="false" ht="15" hidden="false" customHeight="true" outlineLevel="0" collapsed="false">
      <c r="A8" s="138"/>
      <c r="B8" s="138"/>
      <c r="C8" s="139"/>
      <c r="D8" s="139"/>
      <c r="E8" s="139"/>
      <c r="F8" s="138"/>
      <c r="G8" s="138"/>
      <c r="H8" s="140" t="str">
        <f aca="false">IF(AND(ISNUMBER(C8),ISNUMBER(E8)),(E8-C8)/C8*F8,"")</f>
        <v/>
      </c>
      <c r="I8" s="138"/>
    </row>
    <row r="9" customFormat="false" ht="15" hidden="false" customHeight="true" outlineLevel="0" collapsed="false">
      <c r="A9" s="138"/>
      <c r="B9" s="138"/>
      <c r="C9" s="139"/>
      <c r="D9" s="139"/>
      <c r="E9" s="139"/>
      <c r="F9" s="138"/>
      <c r="G9" s="138"/>
      <c r="H9" s="140" t="str">
        <f aca="false">IF(AND(ISNUMBER(C9),ISNUMBER(E9)),(E9-C9)/C9*F9,"")</f>
        <v/>
      </c>
      <c r="I9" s="138"/>
    </row>
    <row r="10" customFormat="false" ht="15" hidden="false" customHeight="true" outlineLevel="0" collapsed="false">
      <c r="A10" s="138"/>
      <c r="B10" s="138"/>
      <c r="C10" s="139"/>
      <c r="D10" s="139"/>
      <c r="E10" s="139"/>
      <c r="F10" s="138"/>
      <c r="G10" s="138"/>
      <c r="H10" s="140" t="str">
        <f aca="false">IF(AND(ISNUMBER(C10),ISNUMBER(E10)),(E10-C10)/C10*F10,"")</f>
        <v/>
      </c>
      <c r="I10" s="138"/>
    </row>
    <row r="11" customFormat="false" ht="15" hidden="false" customHeight="true" outlineLevel="0" collapsed="false">
      <c r="A11" s="138"/>
      <c r="B11" s="138"/>
      <c r="C11" s="139"/>
      <c r="D11" s="139"/>
      <c r="E11" s="139"/>
      <c r="F11" s="138"/>
      <c r="G11" s="138"/>
      <c r="H11" s="140" t="str">
        <f aca="false">IF(AND(ISNUMBER(C11),ISNUMBER(E11)),(E11-C11)/C11*F11,"")</f>
        <v/>
      </c>
      <c r="I11" s="138"/>
    </row>
    <row r="12" customFormat="false" ht="15" hidden="false" customHeight="true" outlineLevel="0" collapsed="false">
      <c r="A12" s="138"/>
      <c r="B12" s="138"/>
      <c r="C12" s="139"/>
      <c r="D12" s="139"/>
      <c r="E12" s="139"/>
      <c r="F12" s="138"/>
      <c r="G12" s="138"/>
      <c r="H12" s="140" t="str">
        <f aca="false">IF(AND(ISNUMBER(C12),ISNUMBER(E12)),(E12-C12)/C12*F12,"")</f>
        <v/>
      </c>
      <c r="I12" s="138"/>
    </row>
    <row r="13" customFormat="false" ht="15" hidden="false" customHeight="true" outlineLevel="0" collapsed="false">
      <c r="A13" s="138"/>
      <c r="B13" s="138"/>
      <c r="C13" s="139"/>
      <c r="D13" s="139"/>
      <c r="E13" s="139"/>
      <c r="F13" s="138"/>
      <c r="G13" s="138"/>
      <c r="H13" s="140" t="str">
        <f aca="false">IF(AND(ISNUMBER(C13),ISNUMBER(E13)),(E13-C13)/C13*F13,"")</f>
        <v/>
      </c>
      <c r="I13" s="138"/>
    </row>
    <row r="14" customFormat="false" ht="15" hidden="false" customHeight="true" outlineLevel="0" collapsed="false">
      <c r="A14" s="138"/>
      <c r="B14" s="138"/>
      <c r="C14" s="139"/>
      <c r="D14" s="139"/>
      <c r="E14" s="139"/>
      <c r="F14" s="138"/>
      <c r="G14" s="138"/>
      <c r="H14" s="140" t="str">
        <f aca="false">IF(AND(ISNUMBER(C14),ISNUMBER(E14)),(E14-C14)/C14*F14,"")</f>
        <v/>
      </c>
      <c r="I14" s="138"/>
    </row>
    <row r="15" customFormat="false" ht="15" hidden="false" customHeight="true" outlineLevel="0" collapsed="false">
      <c r="A15" s="138"/>
      <c r="B15" s="138"/>
      <c r="C15" s="139"/>
      <c r="D15" s="139"/>
      <c r="E15" s="139"/>
      <c r="F15" s="138"/>
      <c r="G15" s="138"/>
      <c r="H15" s="140" t="str">
        <f aca="false">IF(AND(ISNUMBER(C15),ISNUMBER(E15)),(E15-C15)/C15*F15,"")</f>
        <v/>
      </c>
      <c r="I15" s="138"/>
    </row>
    <row r="16" customFormat="false" ht="15" hidden="false" customHeight="true" outlineLevel="0" collapsed="false">
      <c r="A16" s="138"/>
      <c r="B16" s="138"/>
      <c r="C16" s="139"/>
      <c r="D16" s="139"/>
      <c r="E16" s="139"/>
      <c r="F16" s="138"/>
      <c r="G16" s="138"/>
      <c r="H16" s="140" t="str">
        <f aca="false">IF(AND(ISNUMBER(C16),ISNUMBER(E16)),(E16-C16)/C16*F16,"")</f>
        <v/>
      </c>
      <c r="I16" s="138"/>
    </row>
    <row r="17" customFormat="false" ht="15" hidden="false" customHeight="true" outlineLevel="0" collapsed="false">
      <c r="A17" s="138"/>
      <c r="B17" s="138"/>
      <c r="C17" s="139"/>
      <c r="D17" s="139"/>
      <c r="E17" s="139"/>
      <c r="F17" s="138"/>
      <c r="G17" s="138"/>
      <c r="H17" s="140" t="str">
        <f aca="false">IF(AND(ISNUMBER(C17),ISNUMBER(E17)),(E17-C17)/C17*F17,"")</f>
        <v/>
      </c>
      <c r="I17" s="138"/>
    </row>
    <row r="18" customFormat="false" ht="15" hidden="false" customHeight="true" outlineLevel="0" collapsed="false">
      <c r="A18" s="138"/>
      <c r="B18" s="138"/>
      <c r="C18" s="139"/>
      <c r="D18" s="139"/>
      <c r="E18" s="139"/>
      <c r="F18" s="138"/>
      <c r="G18" s="138"/>
      <c r="H18" s="140" t="str">
        <f aca="false">IF(AND(ISNUMBER(C18),ISNUMBER(E18)),(E18-C18)/C18*F18,"")</f>
        <v/>
      </c>
      <c r="I18" s="138"/>
    </row>
    <row r="19" customFormat="false" ht="15" hidden="false" customHeight="true" outlineLevel="0" collapsed="false">
      <c r="A19" s="138"/>
      <c r="B19" s="138"/>
      <c r="C19" s="139"/>
      <c r="D19" s="139"/>
      <c r="E19" s="139"/>
      <c r="F19" s="138"/>
      <c r="G19" s="138"/>
      <c r="H19" s="140" t="str">
        <f aca="false">IF(AND(ISNUMBER(C19),ISNUMBER(E19)),(E19-C19)/C19*F19,"")</f>
        <v/>
      </c>
      <c r="I19" s="138"/>
    </row>
    <row r="20" customFormat="false" ht="15" hidden="false" customHeight="true" outlineLevel="0" collapsed="false">
      <c r="A20" s="138"/>
      <c r="B20" s="138"/>
      <c r="C20" s="139"/>
      <c r="D20" s="139"/>
      <c r="E20" s="139"/>
      <c r="F20" s="138"/>
      <c r="G20" s="138"/>
      <c r="H20" s="140" t="str">
        <f aca="false">IF(AND(ISNUMBER(C20),ISNUMBER(E20)),(E20-C20)/C20*F20,"")</f>
        <v/>
      </c>
      <c r="I20" s="138"/>
    </row>
    <row r="21" customFormat="false" ht="15" hidden="false" customHeight="true" outlineLevel="0" collapsed="false">
      <c r="A21" s="138"/>
      <c r="B21" s="138"/>
      <c r="C21" s="139"/>
      <c r="D21" s="139"/>
      <c r="E21" s="139"/>
      <c r="F21" s="138"/>
      <c r="G21" s="138"/>
      <c r="H21" s="140" t="str">
        <f aca="false">IF(AND(ISNUMBER(C21),ISNUMBER(E21)),(E21-C21)/C21*F21,"")</f>
        <v/>
      </c>
      <c r="I21" s="138"/>
    </row>
    <row r="22" customFormat="false" ht="15" hidden="false" customHeight="true" outlineLevel="0" collapsed="false">
      <c r="A22" s="138"/>
      <c r="B22" s="138"/>
      <c r="C22" s="139"/>
      <c r="D22" s="139"/>
      <c r="E22" s="139"/>
      <c r="F22" s="138"/>
      <c r="G22" s="138"/>
      <c r="H22" s="140" t="str">
        <f aca="false">IF(AND(ISNUMBER(C22),ISNUMBER(E22)),(E22-C22)/C22*F22,"")</f>
        <v/>
      </c>
      <c r="I22" s="138"/>
    </row>
    <row r="23" customFormat="false" ht="15" hidden="false" customHeight="true" outlineLevel="0" collapsed="false">
      <c r="A23" s="138"/>
      <c r="B23" s="138"/>
      <c r="C23" s="139"/>
      <c r="D23" s="139"/>
      <c r="E23" s="139"/>
      <c r="F23" s="138"/>
      <c r="G23" s="138"/>
      <c r="H23" s="140" t="str">
        <f aca="false">IF(AND(ISNUMBER(C23),ISNUMBER(E23)),(E23-C23)/C23*F23,"")</f>
        <v/>
      </c>
      <c r="I23" s="138"/>
    </row>
    <row r="24" customFormat="false" ht="15" hidden="false" customHeight="true" outlineLevel="0" collapsed="false">
      <c r="A24" s="138"/>
      <c r="B24" s="138"/>
      <c r="C24" s="139"/>
      <c r="D24" s="139"/>
      <c r="E24" s="139"/>
      <c r="F24" s="138"/>
      <c r="G24" s="138"/>
      <c r="H24" s="140" t="str">
        <f aca="false">IF(AND(ISNUMBER(C24),ISNUMBER(E24)),(E24-C24)/C24*F24,"")</f>
        <v/>
      </c>
      <c r="I24" s="138"/>
    </row>
    <row r="25" customFormat="false" ht="15" hidden="false" customHeight="true" outlineLevel="0" collapsed="false">
      <c r="A25" s="138"/>
      <c r="B25" s="138"/>
      <c r="C25" s="139"/>
      <c r="D25" s="139"/>
      <c r="E25" s="139"/>
      <c r="F25" s="138"/>
      <c r="G25" s="138"/>
      <c r="H25" s="140" t="str">
        <f aca="false">IF(AND(ISNUMBER(C25),ISNUMBER(E25)),(E25-C25)/C25*F25,"")</f>
        <v/>
      </c>
      <c r="I25" s="138"/>
    </row>
    <row r="26" customFormat="false" ht="15" hidden="false" customHeight="true" outlineLevel="0" collapsed="false">
      <c r="A26" s="138"/>
      <c r="B26" s="138"/>
      <c r="C26" s="139"/>
      <c r="D26" s="139"/>
      <c r="E26" s="139"/>
      <c r="F26" s="138"/>
      <c r="G26" s="138"/>
      <c r="H26" s="140" t="str">
        <f aca="false">IF(AND(ISNUMBER(C26),ISNUMBER(E26)),(E26-C26)/C26*F26,"")</f>
        <v/>
      </c>
      <c r="I26" s="138"/>
    </row>
    <row r="27" customFormat="false" ht="15" hidden="false" customHeight="true" outlineLevel="0" collapsed="false">
      <c r="A27" s="138"/>
      <c r="B27" s="138"/>
      <c r="C27" s="139"/>
      <c r="D27" s="139"/>
      <c r="E27" s="139"/>
      <c r="F27" s="138"/>
      <c r="G27" s="138"/>
      <c r="H27" s="140" t="str">
        <f aca="false">IF(AND(ISNUMBER(C27),ISNUMBER(E27)),(E27-C27)/C27*F27,"")</f>
        <v/>
      </c>
      <c r="I27" s="138"/>
    </row>
    <row r="28" customFormat="false" ht="15" hidden="false" customHeight="true" outlineLevel="0" collapsed="false">
      <c r="A28" s="138"/>
      <c r="B28" s="138"/>
      <c r="C28" s="139"/>
      <c r="D28" s="139"/>
      <c r="E28" s="139"/>
      <c r="F28" s="138"/>
      <c r="G28" s="138"/>
      <c r="H28" s="140" t="str">
        <f aca="false">IF(AND(ISNUMBER(C28),ISNUMBER(E28)),(E28-C28)/C28*F28,"")</f>
        <v/>
      </c>
      <c r="I28" s="138"/>
    </row>
    <row r="29" customFormat="false" ht="15" hidden="false" customHeight="true" outlineLevel="0" collapsed="false">
      <c r="A29" s="138"/>
      <c r="B29" s="138"/>
      <c r="C29" s="139"/>
      <c r="D29" s="139"/>
      <c r="E29" s="139"/>
      <c r="F29" s="138"/>
      <c r="G29" s="138"/>
      <c r="H29" s="140" t="str">
        <f aca="false">IF(AND(ISNUMBER(C29),ISNUMBER(E29)),(E29-C29)/C29*F29,"")</f>
        <v/>
      </c>
      <c r="I29" s="138"/>
    </row>
    <row r="30" customFormat="false" ht="15" hidden="false" customHeight="true" outlineLevel="0" collapsed="false">
      <c r="A30" s="138"/>
      <c r="B30" s="138"/>
      <c r="C30" s="139"/>
      <c r="D30" s="139"/>
      <c r="E30" s="139"/>
      <c r="F30" s="138"/>
      <c r="G30" s="138"/>
      <c r="H30" s="140" t="str">
        <f aca="false">IF(AND(ISNUMBER(C30),ISNUMBER(E30)),(E30-C30)/C30*F30,"")</f>
        <v/>
      </c>
      <c r="I30" s="138"/>
    </row>
    <row r="31" customFormat="false" ht="15" hidden="false" customHeight="true" outlineLevel="0" collapsed="false">
      <c r="A31" s="138"/>
      <c r="B31" s="138"/>
      <c r="C31" s="139"/>
      <c r="D31" s="139"/>
      <c r="E31" s="139"/>
      <c r="F31" s="138"/>
      <c r="G31" s="138"/>
      <c r="H31" s="140" t="str">
        <f aca="false">IF(AND(ISNUMBER(C31),ISNUMBER(E31)),(E31-C31)/C31*F31,"")</f>
        <v/>
      </c>
      <c r="I31" s="138"/>
    </row>
    <row r="32" customFormat="false" ht="15" hidden="false" customHeight="true" outlineLevel="0" collapsed="false">
      <c r="A32" s="138"/>
      <c r="B32" s="138"/>
      <c r="C32" s="139"/>
      <c r="D32" s="139"/>
      <c r="E32" s="139"/>
      <c r="F32" s="138"/>
      <c r="G32" s="138"/>
      <c r="H32" s="140" t="str">
        <f aca="false">IF(AND(ISNUMBER(C32),ISNUMBER(E32)),(E32-C32)/C32*F32,"")</f>
        <v/>
      </c>
      <c r="I32" s="138"/>
    </row>
    <row r="33" customFormat="false" ht="15" hidden="false" customHeight="true" outlineLevel="0" collapsed="false">
      <c r="A33" s="138"/>
      <c r="B33" s="138"/>
      <c r="C33" s="139"/>
      <c r="D33" s="139"/>
      <c r="E33" s="139"/>
      <c r="F33" s="138"/>
      <c r="G33" s="138"/>
      <c r="H33" s="140" t="str">
        <f aca="false">IF(AND(ISNUMBER(C33),ISNUMBER(E33)),(E33-C33)/C33*F33,"")</f>
        <v/>
      </c>
      <c r="I33" s="138"/>
    </row>
    <row r="34" customFormat="false" ht="15" hidden="false" customHeight="true" outlineLevel="0" collapsed="false">
      <c r="A34" s="138"/>
      <c r="B34" s="138"/>
      <c r="C34" s="139"/>
      <c r="D34" s="139"/>
      <c r="E34" s="139"/>
      <c r="F34" s="138"/>
      <c r="G34" s="138"/>
      <c r="H34" s="140" t="str">
        <f aca="false">IF(AND(ISNUMBER(C34),ISNUMBER(E34)),(E34-C34)/C34*F34,"")</f>
        <v/>
      </c>
      <c r="I34" s="138"/>
    </row>
    <row r="35" customFormat="false" ht="15" hidden="false" customHeight="true" outlineLevel="0" collapsed="false">
      <c r="A35" s="138"/>
      <c r="B35" s="138"/>
      <c r="C35" s="139"/>
      <c r="D35" s="139"/>
      <c r="E35" s="139"/>
      <c r="F35" s="138"/>
      <c r="G35" s="138"/>
      <c r="H35" s="140" t="str">
        <f aca="false">IF(AND(ISNUMBER(C35),ISNUMBER(E35)),(E35-C35)/C35*F35,"")</f>
        <v/>
      </c>
      <c r="I35" s="138"/>
    </row>
    <row r="36" customFormat="false" ht="15" hidden="false" customHeight="true" outlineLevel="0" collapsed="false">
      <c r="A36" s="138"/>
      <c r="B36" s="138"/>
      <c r="C36" s="139"/>
      <c r="D36" s="139"/>
      <c r="E36" s="139"/>
      <c r="F36" s="138"/>
      <c r="G36" s="138"/>
      <c r="H36" s="140" t="str">
        <f aca="false">IF(AND(ISNUMBER(C36),ISNUMBER(E36)),(E36-C36)/C36*F36,"")</f>
        <v/>
      </c>
      <c r="I36" s="138"/>
    </row>
    <row r="37" customFormat="false" ht="15" hidden="false" customHeight="true" outlineLevel="0" collapsed="false">
      <c r="A37" s="138"/>
      <c r="B37" s="138"/>
      <c r="C37" s="139"/>
      <c r="D37" s="139"/>
      <c r="E37" s="139"/>
      <c r="F37" s="138"/>
      <c r="G37" s="138"/>
      <c r="H37" s="140" t="str">
        <f aca="false">IF(AND(ISNUMBER(C37),ISNUMBER(E37)),(E37-C37)/C37*F37,"")</f>
        <v/>
      </c>
      <c r="I37" s="138"/>
    </row>
    <row r="38" customFormat="false" ht="15" hidden="false" customHeight="true" outlineLevel="0" collapsed="false">
      <c r="A38" s="138"/>
      <c r="B38" s="138"/>
      <c r="C38" s="139"/>
      <c r="D38" s="139"/>
      <c r="E38" s="139"/>
      <c r="F38" s="138"/>
      <c r="G38" s="138"/>
      <c r="H38" s="140" t="str">
        <f aca="false">IF(AND(ISNUMBER(C38),ISNUMBER(E38)),(E38-C38)/C38*F38,"")</f>
        <v/>
      </c>
      <c r="I38" s="138"/>
    </row>
    <row r="39" customFormat="false" ht="15" hidden="false" customHeight="true" outlineLevel="0" collapsed="false">
      <c r="A39" s="138"/>
      <c r="B39" s="138"/>
      <c r="C39" s="139"/>
      <c r="D39" s="139"/>
      <c r="E39" s="139"/>
      <c r="F39" s="138"/>
      <c r="G39" s="138"/>
      <c r="H39" s="140" t="str">
        <f aca="false">IF(AND(ISNUMBER(C39),ISNUMBER(E39)),(E39-C39)/C39*F39,"")</f>
        <v/>
      </c>
      <c r="I39" s="138"/>
    </row>
    <row r="40" customFormat="false" ht="15" hidden="false" customHeight="true" outlineLevel="0" collapsed="false">
      <c r="A40" s="138"/>
      <c r="B40" s="138"/>
      <c r="C40" s="139"/>
      <c r="D40" s="139"/>
      <c r="E40" s="139"/>
      <c r="F40" s="138"/>
      <c r="G40" s="138"/>
      <c r="H40" s="140" t="str">
        <f aca="false">IF(AND(ISNUMBER(C40),ISNUMBER(E40)),(E40-C40)/C40*F40,"")</f>
        <v/>
      </c>
      <c r="I40" s="138"/>
    </row>
    <row r="42" customFormat="false" ht="21.75" hidden="false" customHeight="true" outlineLevel="0" collapsed="false">
      <c r="A42" s="22" t="s">
        <v>1237</v>
      </c>
      <c r="G42" s="12" t="s">
        <v>1238</v>
      </c>
      <c r="H42" s="141" t="n">
        <f aca="false">IFERROR(COUNTIF(H5:H40,"&gt;0")/COUNT(H5:H40),0)</f>
        <v>1</v>
      </c>
      <c r="I42" s="13" t="s">
        <v>1239</v>
      </c>
    </row>
    <row r="43" customFormat="false" ht="15" hidden="false" customHeight="true" outlineLevel="0" collapsed="false">
      <c r="A43" s="142"/>
      <c r="G43" s="12" t="s">
        <v>1240</v>
      </c>
      <c r="H43" s="143" t="n">
        <f aca="false">IFERROR(SUM(H5:H40),0)</f>
        <v>0.031322732059967</v>
      </c>
      <c r="I43" s="13" t="s">
        <v>1241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90"/>
    <col collapsed="false" customWidth="true" hidden="false" outlineLevel="0" max="9" min="4" style="1" width="14"/>
  </cols>
  <sheetData>
    <row r="1" customFormat="false" ht="21.75" hidden="false" customHeight="true" outlineLevel="0" collapsed="false">
      <c r="A1" s="41" t="s">
        <v>1242</v>
      </c>
      <c r="B1" s="41"/>
      <c r="C1" s="41"/>
      <c r="D1" s="41"/>
      <c r="E1" s="41"/>
      <c r="F1" s="41"/>
      <c r="G1" s="41"/>
      <c r="H1" s="41"/>
      <c r="I1" s="41"/>
    </row>
    <row r="3" customFormat="false" ht="30" hidden="false" customHeight="true" outlineLevel="0" collapsed="false">
      <c r="A3" s="5" t="s">
        <v>1243</v>
      </c>
      <c r="B3" s="5" t="s">
        <v>133</v>
      </c>
      <c r="C3" s="5" t="s">
        <v>1244</v>
      </c>
      <c r="D3" s="5"/>
      <c r="E3" s="5"/>
      <c r="F3" s="5"/>
      <c r="G3" s="5"/>
      <c r="H3" s="5"/>
      <c r="I3" s="5"/>
    </row>
    <row r="4" customFormat="false" ht="30" hidden="false" customHeight="true" outlineLevel="0" collapsed="false">
      <c r="A4" s="6" t="s">
        <v>1245</v>
      </c>
      <c r="B4" s="133" t="s">
        <v>1246</v>
      </c>
      <c r="C4" s="21" t="s">
        <v>1247</v>
      </c>
      <c r="D4" s="14"/>
      <c r="E4" s="14"/>
      <c r="F4" s="14"/>
      <c r="G4" s="14"/>
      <c r="H4" s="14"/>
      <c r="I4" s="14"/>
    </row>
    <row r="5" customFormat="false" ht="30" hidden="false" customHeight="true" outlineLevel="0" collapsed="false">
      <c r="A5" s="6" t="s">
        <v>1248</v>
      </c>
      <c r="B5" s="133" t="s">
        <v>1249</v>
      </c>
      <c r="C5" s="21" t="s">
        <v>1250</v>
      </c>
      <c r="D5" s="14"/>
      <c r="E5" s="14"/>
      <c r="F5" s="14"/>
      <c r="G5" s="14"/>
      <c r="H5" s="14"/>
      <c r="I5" s="14"/>
    </row>
    <row r="6" customFormat="false" ht="30" hidden="false" customHeight="true" outlineLevel="0" collapsed="false">
      <c r="A6" s="6" t="s">
        <v>1251</v>
      </c>
      <c r="B6" s="133" t="s">
        <v>1252</v>
      </c>
      <c r="C6" s="21" t="s">
        <v>1253</v>
      </c>
      <c r="D6" s="14"/>
      <c r="E6" s="14"/>
      <c r="F6" s="14"/>
      <c r="G6" s="14"/>
      <c r="H6" s="14"/>
      <c r="I6" s="14"/>
    </row>
    <row r="7" customFormat="false" ht="30" hidden="false" customHeight="true" outlineLevel="0" collapsed="false">
      <c r="A7" s="6" t="s">
        <v>1254</v>
      </c>
      <c r="B7" s="133" t="s">
        <v>1255</v>
      </c>
      <c r="C7" s="21" t="s">
        <v>1256</v>
      </c>
      <c r="D7" s="14"/>
      <c r="E7" s="14"/>
      <c r="F7" s="14"/>
      <c r="G7" s="14"/>
      <c r="H7" s="14"/>
      <c r="I7" s="14"/>
    </row>
    <row r="8" customFormat="false" ht="30" hidden="false" customHeight="true" outlineLevel="0" collapsed="false">
      <c r="A8" s="6" t="s">
        <v>1257</v>
      </c>
      <c r="B8" s="133" t="s">
        <v>379</v>
      </c>
      <c r="C8" s="21" t="s">
        <v>1258</v>
      </c>
      <c r="D8" s="14"/>
      <c r="E8" s="14"/>
      <c r="F8" s="14"/>
      <c r="G8" s="14"/>
      <c r="H8" s="14"/>
      <c r="I8" s="14"/>
    </row>
    <row r="9" customFormat="false" ht="30" hidden="false" customHeight="true" outlineLevel="0" collapsed="false">
      <c r="A9" s="6" t="s">
        <v>1259</v>
      </c>
      <c r="B9" s="133" t="s">
        <v>393</v>
      </c>
      <c r="C9" s="21" t="s">
        <v>1260</v>
      </c>
      <c r="D9" s="14"/>
      <c r="E9" s="14"/>
      <c r="F9" s="14"/>
      <c r="G9" s="14"/>
      <c r="H9" s="14"/>
      <c r="I9" s="14"/>
    </row>
    <row r="10" customFormat="false" ht="30" hidden="false" customHeight="true" outlineLevel="0" collapsed="false">
      <c r="A10" s="6" t="s">
        <v>1261</v>
      </c>
      <c r="B10" s="133" t="s">
        <v>1262</v>
      </c>
      <c r="C10" s="21" t="s">
        <v>1263</v>
      </c>
      <c r="D10" s="14"/>
      <c r="E10" s="14"/>
      <c r="F10" s="14"/>
      <c r="G10" s="14"/>
      <c r="H10" s="14"/>
      <c r="I10" s="14"/>
    </row>
    <row r="11" customFormat="false" ht="30" hidden="false" customHeight="true" outlineLevel="0" collapsed="false">
      <c r="A11" s="6" t="s">
        <v>1264</v>
      </c>
      <c r="B11" s="133" t="s">
        <v>1265</v>
      </c>
      <c r="C11" s="21" t="s">
        <v>1266</v>
      </c>
      <c r="D11" s="14"/>
      <c r="E11" s="14"/>
      <c r="F11" s="14"/>
      <c r="G11" s="14"/>
      <c r="H11" s="14"/>
      <c r="I11" s="14"/>
    </row>
    <row r="12" customFormat="false" ht="30" hidden="false" customHeight="true" outlineLevel="0" collapsed="false">
      <c r="A12" s="6" t="s">
        <v>1267</v>
      </c>
      <c r="B12" s="133" t="s">
        <v>1268</v>
      </c>
      <c r="C12" s="21" t="s">
        <v>1269</v>
      </c>
      <c r="D12" s="14"/>
      <c r="E12" s="14"/>
      <c r="F12" s="14"/>
      <c r="G12" s="14"/>
      <c r="H12" s="14"/>
      <c r="I12" s="14"/>
    </row>
    <row r="13" customFormat="false" ht="30" hidden="false" customHeight="true" outlineLevel="0" collapsed="false">
      <c r="A13" s="6" t="s">
        <v>1270</v>
      </c>
      <c r="B13" s="133" t="s">
        <v>1271</v>
      </c>
      <c r="C13" s="21" t="s">
        <v>1272</v>
      </c>
      <c r="D13" s="14"/>
      <c r="E13" s="14"/>
      <c r="F13" s="14"/>
      <c r="G13" s="14"/>
      <c r="H13" s="14"/>
      <c r="I13" s="14"/>
    </row>
    <row r="14" customFormat="false" ht="30" hidden="false" customHeight="true" outlineLevel="0" collapsed="false">
      <c r="A14" s="6" t="s">
        <v>1273</v>
      </c>
      <c r="B14" s="133" t="s">
        <v>1274</v>
      </c>
      <c r="C14" s="21" t="s">
        <v>1275</v>
      </c>
      <c r="D14" s="14"/>
      <c r="E14" s="14"/>
      <c r="F14" s="14"/>
      <c r="G14" s="14"/>
      <c r="H14" s="14"/>
      <c r="I14" s="14"/>
    </row>
    <row r="15" customFormat="false" ht="30" hidden="false" customHeight="true" outlineLevel="0" collapsed="false">
      <c r="A15" s="6" t="s">
        <v>1276</v>
      </c>
      <c r="B15" s="133" t="s">
        <v>1277</v>
      </c>
      <c r="C15" s="21" t="s">
        <v>1278</v>
      </c>
      <c r="D15" s="14"/>
      <c r="E15" s="14"/>
      <c r="F15" s="14"/>
      <c r="G15" s="14"/>
      <c r="H15" s="14"/>
      <c r="I15" s="14"/>
    </row>
    <row r="16" customFormat="false" ht="30" hidden="false" customHeight="true" outlineLevel="0" collapsed="false">
      <c r="A16" s="6" t="s">
        <v>1279</v>
      </c>
      <c r="B16" s="133" t="s">
        <v>48</v>
      </c>
      <c r="C16" s="21" t="s">
        <v>1280</v>
      </c>
      <c r="D16" s="14"/>
      <c r="E16" s="14"/>
      <c r="F16" s="14"/>
      <c r="G16" s="14"/>
      <c r="H16" s="14"/>
      <c r="I16" s="14"/>
    </row>
    <row r="17" customFormat="false" ht="30" hidden="false" customHeight="true" outlineLevel="0" collapsed="false">
      <c r="A17" s="6" t="s">
        <v>1281</v>
      </c>
      <c r="B17" s="133" t="s">
        <v>1282</v>
      </c>
      <c r="C17" s="21" t="s">
        <v>1283</v>
      </c>
      <c r="D17" s="14"/>
      <c r="E17" s="14"/>
      <c r="F17" s="14"/>
      <c r="G17" s="14"/>
      <c r="H17" s="14"/>
      <c r="I17" s="14"/>
    </row>
    <row r="18" customFormat="false" ht="30" hidden="false" customHeight="true" outlineLevel="0" collapsed="false">
      <c r="A18" s="6" t="s">
        <v>1284</v>
      </c>
      <c r="B18" s="133" t="s">
        <v>1285</v>
      </c>
      <c r="C18" s="21" t="s">
        <v>1286</v>
      </c>
      <c r="D18" s="14"/>
      <c r="E18" s="14"/>
      <c r="F18" s="14"/>
      <c r="G18" s="14"/>
      <c r="H18" s="14"/>
      <c r="I18" s="14"/>
    </row>
    <row r="19" customFormat="false" ht="30" hidden="false" customHeight="true" outlineLevel="0" collapsed="false">
      <c r="A19" s="6" t="s">
        <v>1287</v>
      </c>
      <c r="B19" s="133" t="s">
        <v>1288</v>
      </c>
      <c r="C19" s="21" t="s">
        <v>1289</v>
      </c>
      <c r="D19" s="14"/>
      <c r="E19" s="14"/>
      <c r="F19" s="14"/>
      <c r="G19" s="14"/>
      <c r="H19" s="14"/>
      <c r="I19" s="14"/>
    </row>
    <row r="21" customFormat="false" ht="15" hidden="false" customHeight="true" outlineLevel="0" collapsed="false">
      <c r="A21" s="4" t="s">
        <v>1290</v>
      </c>
      <c r="B21" s="4"/>
      <c r="C21" s="4"/>
      <c r="D21" s="4"/>
      <c r="E21" s="4"/>
      <c r="F21" s="4"/>
      <c r="G21" s="4"/>
      <c r="H21" s="4"/>
      <c r="I21" s="4"/>
    </row>
    <row r="22" customFormat="false" ht="27.75" hidden="false" customHeight="true" outlineLevel="0" collapsed="false">
      <c r="A22" s="144" t="s">
        <v>1291</v>
      </c>
      <c r="B22" s="144"/>
      <c r="C22" s="144"/>
      <c r="D22" s="144"/>
      <c r="E22" s="144"/>
      <c r="F22" s="144"/>
      <c r="G22" s="144"/>
      <c r="H22" s="144"/>
      <c r="I22" s="144"/>
    </row>
    <row r="23" customFormat="false" ht="27.75" hidden="false" customHeight="true" outlineLevel="0" collapsed="false">
      <c r="A23" s="144" t="s">
        <v>1292</v>
      </c>
      <c r="B23" s="144"/>
      <c r="C23" s="144"/>
      <c r="D23" s="144"/>
      <c r="E23" s="144"/>
      <c r="F23" s="144"/>
      <c r="G23" s="144"/>
      <c r="H23" s="144"/>
      <c r="I23" s="144"/>
    </row>
    <row r="24" customFormat="false" ht="27.75" hidden="false" customHeight="true" outlineLevel="0" collapsed="false">
      <c r="A24" s="144" t="s">
        <v>1293</v>
      </c>
      <c r="B24" s="144"/>
      <c r="C24" s="144"/>
      <c r="D24" s="144"/>
      <c r="E24" s="144"/>
      <c r="F24" s="144"/>
      <c r="G24" s="144"/>
      <c r="H24" s="144"/>
      <c r="I24" s="144"/>
    </row>
    <row r="25" customFormat="false" ht="27.75" hidden="false" customHeight="true" outlineLevel="0" collapsed="false">
      <c r="A25" s="144" t="s">
        <v>1294</v>
      </c>
      <c r="B25" s="144"/>
      <c r="C25" s="144"/>
      <c r="D25" s="144"/>
      <c r="E25" s="144"/>
      <c r="F25" s="144"/>
      <c r="G25" s="144"/>
      <c r="H25" s="144"/>
      <c r="I25" s="144"/>
    </row>
    <row r="26" customFormat="false" ht="27.75" hidden="false" customHeight="true" outlineLevel="0" collapsed="false">
      <c r="A26" s="144" t="s">
        <v>1295</v>
      </c>
      <c r="B26" s="144"/>
      <c r="C26" s="144"/>
      <c r="D26" s="144"/>
      <c r="E26" s="144"/>
      <c r="F26" s="144"/>
      <c r="G26" s="144"/>
      <c r="H26" s="144"/>
      <c r="I26" s="144"/>
    </row>
    <row r="27" customFormat="false" ht="27.75" hidden="false" customHeight="true" outlineLevel="0" collapsed="false">
      <c r="A27" s="144" t="s">
        <v>1296</v>
      </c>
      <c r="B27" s="144"/>
      <c r="C27" s="144"/>
      <c r="D27" s="144"/>
      <c r="E27" s="144"/>
      <c r="F27" s="144"/>
      <c r="G27" s="144"/>
      <c r="H27" s="144"/>
      <c r="I27" s="144"/>
    </row>
    <row r="28" customFormat="false" ht="27.75" hidden="false" customHeight="true" outlineLevel="0" collapsed="false">
      <c r="A28" s="144" t="s">
        <v>1297</v>
      </c>
      <c r="B28" s="144"/>
      <c r="C28" s="144"/>
      <c r="D28" s="144"/>
      <c r="E28" s="144"/>
      <c r="F28" s="144"/>
      <c r="G28" s="144"/>
      <c r="H28" s="144"/>
      <c r="I28" s="144"/>
    </row>
    <row r="30" customFormat="false" ht="15" hidden="false" customHeight="false" outlineLevel="0" collapsed="false">
      <c r="A30" s="40" t="s">
        <v>1298</v>
      </c>
      <c r="B30" s="40"/>
      <c r="C30" s="40"/>
      <c r="D30" s="40"/>
      <c r="E30" s="40"/>
      <c r="F30" s="40"/>
      <c r="G30" s="40"/>
      <c r="H30" s="40"/>
      <c r="I30" s="40"/>
    </row>
    <row r="31" customFormat="false" ht="30" hidden="false" customHeight="true" outlineLevel="0" collapsed="false">
      <c r="A31" s="37" t="s">
        <v>1299</v>
      </c>
      <c r="B31" s="133" t="s">
        <v>1300</v>
      </c>
      <c r="C31" s="21" t="s">
        <v>1301</v>
      </c>
    </row>
    <row r="32" customFormat="false" ht="30" hidden="false" customHeight="true" outlineLevel="0" collapsed="false">
      <c r="A32" s="37" t="s">
        <v>1302</v>
      </c>
      <c r="B32" s="133" t="s">
        <v>1303</v>
      </c>
      <c r="C32" s="21" t="s">
        <v>1304</v>
      </c>
    </row>
    <row r="33" customFormat="false" ht="30" hidden="false" customHeight="true" outlineLevel="0" collapsed="false">
      <c r="A33" s="37" t="s">
        <v>1305</v>
      </c>
      <c r="B33" s="133" t="s">
        <v>1306</v>
      </c>
      <c r="C33" s="21" t="s">
        <v>1307</v>
      </c>
    </row>
    <row r="34" customFormat="false" ht="30" hidden="false" customHeight="true" outlineLevel="0" collapsed="false">
      <c r="A34" s="37" t="s">
        <v>1308</v>
      </c>
      <c r="B34" s="133" t="s">
        <v>1309</v>
      </c>
      <c r="C34" s="21" t="s">
        <v>1310</v>
      </c>
    </row>
    <row r="35" customFormat="false" ht="30" hidden="false" customHeight="true" outlineLevel="0" collapsed="false">
      <c r="A35" s="37" t="s">
        <v>1311</v>
      </c>
      <c r="B35" s="133" t="s">
        <v>1312</v>
      </c>
      <c r="C35" s="21" t="s">
        <v>1313</v>
      </c>
    </row>
    <row r="36" customFormat="false" ht="30" hidden="false" customHeight="true" outlineLevel="0" collapsed="false">
      <c r="A36" s="37" t="s">
        <v>1314</v>
      </c>
      <c r="B36" s="133" t="s">
        <v>949</v>
      </c>
      <c r="C36" s="21" t="s">
        <v>1315</v>
      </c>
    </row>
    <row r="37" customFormat="false" ht="30" hidden="false" customHeight="true" outlineLevel="0" collapsed="false">
      <c r="A37" s="37" t="s">
        <v>1316</v>
      </c>
      <c r="B37" s="133" t="s">
        <v>1317</v>
      </c>
      <c r="C37" s="21" t="s">
        <v>1318</v>
      </c>
    </row>
  </sheetData>
  <mergeCells count="10">
    <mergeCell ref="A1:I1"/>
    <mergeCell ref="A21:I21"/>
    <mergeCell ref="A22:I22"/>
    <mergeCell ref="A23:I23"/>
    <mergeCell ref="A24:I24"/>
    <mergeCell ref="A25:I25"/>
    <mergeCell ref="A26:I26"/>
    <mergeCell ref="A27:I27"/>
    <mergeCell ref="A28:I28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6" min="3" style="0" width="1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3"/>
    <col collapsed="false" customWidth="true" hidden="false" outlineLevel="0" max="11" min="11" style="0" width="70"/>
  </cols>
  <sheetData>
    <row r="1" customFormat="false" ht="21.75" hidden="false" customHeight="true" outlineLevel="0" collapsed="false">
      <c r="A1" s="145" t="s">
        <v>1319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customFormat="false" ht="15" hidden="false" customHeight="false" outlineLevel="0" collapsed="false">
      <c r="A2" s="62" t="s">
        <v>1320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customFormat="false" ht="15" hidden="false" customHeight="false" outlineLevel="0" collapsed="false">
      <c r="A3" s="146" t="str">
        <f aca="false">IF(COUNT(F5:F504)=0,"SIN DATOS: instala qBase5m (hoja 9)","Barras cargadas: "&amp;COUNT(F5:F504)&amp;" de 5 min")</f>
        <v>SIN DATOS: instala qBase5m (hoja 9)</v>
      </c>
      <c r="B3" s="146"/>
      <c r="C3" s="146"/>
      <c r="D3" s="146"/>
      <c r="E3" s="146"/>
      <c r="F3" s="146"/>
      <c r="G3" s="146"/>
      <c r="H3" s="146"/>
      <c r="I3" s="146"/>
    </row>
    <row r="4" customFormat="false" ht="30" hidden="false" customHeight="true" outlineLevel="0" collapsed="false">
      <c r="A4" s="5" t="s">
        <v>1321</v>
      </c>
      <c r="B4" s="5" t="s">
        <v>559</v>
      </c>
      <c r="C4" s="5" t="s">
        <v>1322</v>
      </c>
      <c r="D4" s="5" t="s">
        <v>1323</v>
      </c>
      <c r="E4" s="5" t="s">
        <v>1324</v>
      </c>
      <c r="F4" s="5" t="s">
        <v>1325</v>
      </c>
      <c r="G4" s="5" t="s">
        <v>1326</v>
      </c>
      <c r="H4" s="5" t="s">
        <v>1327</v>
      </c>
      <c r="I4" s="5" t="s">
        <v>1328</v>
      </c>
    </row>
    <row r="5" customFormat="false" ht="15" hidden="false" customHeight="false" outlineLevel="0" collapsed="false">
      <c r="K5" s="147" t="s">
        <v>1329</v>
      </c>
    </row>
    <row r="6" customFormat="false" ht="15" hidden="false" customHeight="false" outlineLevel="0" collapsed="false">
      <c r="K6" s="148" t="s">
        <v>1330</v>
      </c>
    </row>
    <row r="7" customFormat="false" ht="15" hidden="false" customHeight="false" outlineLevel="0" collapsed="false">
      <c r="K7" s="148" t="s">
        <v>1331</v>
      </c>
    </row>
    <row r="8" customFormat="false" ht="15" hidden="false" customHeight="false" outlineLevel="0" collapsed="false">
      <c r="K8" s="148"/>
    </row>
    <row r="9" customFormat="false" ht="15" hidden="false" customHeight="false" outlineLevel="0" collapsed="false">
      <c r="K9" s="147" t="s">
        <v>1332</v>
      </c>
    </row>
    <row r="10" customFormat="false" ht="15" hidden="false" customHeight="false" outlineLevel="0" collapsed="false">
      <c r="K10" s="148" t="s">
        <v>1333</v>
      </c>
    </row>
    <row r="11" customFormat="false" ht="15" hidden="false" customHeight="false" outlineLevel="0" collapsed="false">
      <c r="K11" s="148" t="s">
        <v>1334</v>
      </c>
    </row>
    <row r="12" customFormat="false" ht="15" hidden="false" customHeight="false" outlineLevel="0" collapsed="false">
      <c r="K12" s="148" t="s">
        <v>1335</v>
      </c>
    </row>
    <row r="13" customFormat="false" ht="15" hidden="false" customHeight="false" outlineLevel="0" collapsed="false">
      <c r="K13" s="148" t="s">
        <v>1336</v>
      </c>
    </row>
    <row r="14" customFormat="false" ht="15" hidden="false" customHeight="false" outlineLevel="0" collapsed="false">
      <c r="K14" s="148" t="s">
        <v>1337</v>
      </c>
    </row>
    <row r="15" customFormat="false" ht="15" hidden="false" customHeight="false" outlineLevel="0" collapsed="false">
      <c r="K15" s="148" t="s">
        <v>1338</v>
      </c>
    </row>
  </sheetData>
  <mergeCells count="3">
    <mergeCell ref="A1:K1"/>
    <mergeCell ref="A2:K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I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0" width="12"/>
  </cols>
  <sheetData>
    <row r="1" customFormat="false" ht="21.75" hidden="false" customHeight="true" outlineLevel="0" collapsed="false">
      <c r="A1" s="149" t="s">
        <v>1339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</row>
    <row r="2" customFormat="false" ht="15" hidden="false" customHeight="false" outlineLevel="0" collapsed="false">
      <c r="A2" s="147" t="s">
        <v>1340</v>
      </c>
      <c r="C2" s="150" t="n">
        <f aca="false">MAX('12_Datos_5m'!$A$5:$A$504)</f>
        <v>0</v>
      </c>
    </row>
    <row r="4" customFormat="false" ht="30" hidden="false" customHeight="true" outlineLevel="0" collapsed="false">
      <c r="A4" s="5" t="s">
        <v>305</v>
      </c>
      <c r="B4" s="5" t="s">
        <v>1325</v>
      </c>
      <c r="C4" s="5" t="s">
        <v>1321</v>
      </c>
      <c r="D4" s="5" t="s">
        <v>1341</v>
      </c>
      <c r="E4" s="5" t="s">
        <v>1342</v>
      </c>
      <c r="F4" s="5" t="s">
        <v>1343</v>
      </c>
      <c r="G4" s="5" t="s">
        <v>1344</v>
      </c>
      <c r="H4" s="5" t="s">
        <v>1345</v>
      </c>
      <c r="I4" s="5" t="s">
        <v>1346</v>
      </c>
      <c r="J4" s="5" t="s">
        <v>1347</v>
      </c>
      <c r="K4" s="5" t="s">
        <v>1348</v>
      </c>
      <c r="L4" s="5" t="s">
        <v>1349</v>
      </c>
      <c r="M4" s="5" t="s">
        <v>1350</v>
      </c>
      <c r="N4" s="5" t="s">
        <v>1351</v>
      </c>
      <c r="O4" s="5" t="s">
        <v>1352</v>
      </c>
      <c r="P4" s="5" t="s">
        <v>1353</v>
      </c>
      <c r="Q4" s="5" t="s">
        <v>1354</v>
      </c>
      <c r="R4" s="5" t="s">
        <v>1355</v>
      </c>
      <c r="S4" s="5" t="s">
        <v>1356</v>
      </c>
      <c r="T4" s="5" t="s">
        <v>1357</v>
      </c>
      <c r="U4" s="5" t="s">
        <v>1358</v>
      </c>
      <c r="V4" s="5" t="s">
        <v>1359</v>
      </c>
      <c r="W4" s="5" t="s">
        <v>1360</v>
      </c>
      <c r="X4" s="5" t="s">
        <v>1361</v>
      </c>
      <c r="Y4" s="5" t="s">
        <v>1362</v>
      </c>
      <c r="Z4" s="5" t="s">
        <v>1363</v>
      </c>
      <c r="AA4" s="5" t="s">
        <v>1364</v>
      </c>
      <c r="AB4" s="5" t="s">
        <v>1365</v>
      </c>
      <c r="AC4" s="5" t="s">
        <v>1366</v>
      </c>
      <c r="AD4" s="5" t="s">
        <v>1367</v>
      </c>
      <c r="AE4" s="5" t="s">
        <v>1368</v>
      </c>
      <c r="AF4" s="5" t="s">
        <v>1369</v>
      </c>
      <c r="AG4" s="5"/>
      <c r="AH4" s="5" t="s">
        <v>1370</v>
      </c>
      <c r="AI4" s="5" t="s">
        <v>1371</v>
      </c>
    </row>
    <row r="5" customFormat="false" ht="15" hidden="false" customHeight="false" outlineLevel="0" collapsed="false">
      <c r="A5" s="151" t="str">
        <f aca="false">IF(ISNUMBER('12_Datos_5m'!F5),ROW()-4,"")</f>
        <v/>
      </c>
      <c r="B5" s="151" t="str">
        <f aca="false">IF(ISNUMBER('12_Datos_5m'!F5),'12_Datos_5m'!F5,"")</f>
        <v/>
      </c>
      <c r="C5" s="151" t="str">
        <f aca="false">IF(ISNUMBER('12_Datos_5m'!A5),'12_Datos_5m'!A5,"")</f>
        <v/>
      </c>
      <c r="D5" s="151" t="n">
        <f aca="false">0</f>
        <v>0</v>
      </c>
      <c r="E5" s="151" t="n">
        <f aca="false">MAX(0,D5)</f>
        <v>0</v>
      </c>
      <c r="F5" s="151" t="n">
        <f aca="false">IF(AND(ISNUMBER('12_Datos_5m'!G5),N('12_Datos_5m'!G5)&gt;0),'12_Datos_5m'!H5/'12_Datos_5m'!G5,0.5)</f>
        <v>0.5</v>
      </c>
      <c r="G5" s="151" t="n">
        <f aca="false">IF(ISNUMBER(C5),($C$2-C5)/3600000,0)</f>
        <v>0</v>
      </c>
      <c r="H5" s="151" t="n">
        <f aca="false">EXP(-G5/'13_Mapa_Liq'!$B$7)</f>
        <v>1</v>
      </c>
      <c r="I5" s="151" t="n">
        <f aca="false">E5*F5*H5</f>
        <v>0</v>
      </c>
      <c r="J5" s="151" t="n">
        <f aca="false">E5*(1-F5)*H5</f>
        <v>0</v>
      </c>
      <c r="K5" s="151" t="n">
        <f aca="false">IF(COUNT('12_Datos_5m'!E6:E$504)=0,1000000000000,MIN('12_Datos_5m'!E6:E$504))</f>
        <v>1000000000000</v>
      </c>
      <c r="L5" s="151" t="n">
        <f aca="false">IF(COUNT('12_Datos_5m'!D6:D$504)=0,0,MAX('12_Datos_5m'!D6:D$504))</f>
        <v>0</v>
      </c>
      <c r="M5" s="151" t="str">
        <f aca="false">IF(ISNUMBER(B5),B5*(1-1/'13_Mapa_Liq'!$B$15+'13_Mapa_Liq'!$B$6),"")</f>
        <v/>
      </c>
      <c r="N5" s="151" t="n">
        <f aca="false">IF(ISNUMBER(B5),IF(K5&gt;M5,I5*'13_Mapa_Liq'!$C$15,0),0)</f>
        <v>0</v>
      </c>
      <c r="O5" s="151" t="str">
        <f aca="false">IF(ISNUMBER(B5),B5*(1+1/'13_Mapa_Liq'!$B$15-'13_Mapa_Liq'!$B$6),"")</f>
        <v/>
      </c>
      <c r="P5" s="151" t="n">
        <f aca="false">IF(ISNUMBER(B5),IF(L5&lt;O5,J5*'13_Mapa_Liq'!$C$15,0),0)</f>
        <v>0</v>
      </c>
      <c r="Q5" s="151" t="str">
        <f aca="false">IF(ISNUMBER(B5),B5*(1-1/'13_Mapa_Liq'!$B$16+'13_Mapa_Liq'!$B$6),"")</f>
        <v/>
      </c>
      <c r="R5" s="151" t="n">
        <f aca="false">IF(ISNUMBER(B5),IF(K5&gt;Q5,I5*'13_Mapa_Liq'!$C$16,0),0)</f>
        <v>0</v>
      </c>
      <c r="S5" s="151" t="str">
        <f aca="false">IF(ISNUMBER(B5),B5*(1+1/'13_Mapa_Liq'!$B$16-'13_Mapa_Liq'!$B$6),"")</f>
        <v/>
      </c>
      <c r="T5" s="151" t="n">
        <f aca="false">IF(ISNUMBER(B5),IF(L5&lt;S5,J5*'13_Mapa_Liq'!$C$16,0),0)</f>
        <v>0</v>
      </c>
      <c r="U5" s="151" t="str">
        <f aca="false">IF(ISNUMBER(B5),B5*(1-1/'13_Mapa_Liq'!$B$17+'13_Mapa_Liq'!$B$6),"")</f>
        <v/>
      </c>
      <c r="V5" s="151" t="n">
        <f aca="false">IF(ISNUMBER(B5),IF(K5&gt;U5,I5*'13_Mapa_Liq'!$C$17,0),0)</f>
        <v>0</v>
      </c>
      <c r="W5" s="151" t="str">
        <f aca="false">IF(ISNUMBER(B5),B5*(1+1/'13_Mapa_Liq'!$B$17-'13_Mapa_Liq'!$B$6),"")</f>
        <v/>
      </c>
      <c r="X5" s="151" t="n">
        <f aca="false">IF(ISNUMBER(B5),IF(L5&lt;W5,J5*'13_Mapa_Liq'!$C$17,0),0)</f>
        <v>0</v>
      </c>
      <c r="Y5" s="151" t="str">
        <f aca="false">IF(ISNUMBER(B5),B5*(1-1/'13_Mapa_Liq'!$B$18+'13_Mapa_Liq'!$B$6),"")</f>
        <v/>
      </c>
      <c r="Z5" s="151" t="n">
        <f aca="false">IF(ISNUMBER(B5),IF(K5&gt;Y5,I5*'13_Mapa_Liq'!$C$18,0),0)</f>
        <v>0</v>
      </c>
      <c r="AA5" s="151" t="str">
        <f aca="false">IF(ISNUMBER(B5),B5*(1+1/'13_Mapa_Liq'!$B$18-'13_Mapa_Liq'!$B$6),"")</f>
        <v/>
      </c>
      <c r="AB5" s="151" t="n">
        <f aca="false">IF(ISNUMBER(B5),IF(L5&lt;AA5,J5*'13_Mapa_Liq'!$C$18,0),0)</f>
        <v>0</v>
      </c>
      <c r="AC5" s="151" t="str">
        <f aca="false">IF(ISNUMBER(B5),B5*(1-1/'13_Mapa_Liq'!$B$19+'13_Mapa_Liq'!$B$6),"")</f>
        <v/>
      </c>
      <c r="AD5" s="151" t="n">
        <f aca="false">IF(ISNUMBER(B5),IF(K5&gt;AC5,I5*'13_Mapa_Liq'!$C$19,0),0)</f>
        <v>0</v>
      </c>
      <c r="AE5" s="151" t="str">
        <f aca="false">IF(ISNUMBER(B5),B5*(1+1/'13_Mapa_Liq'!$B$19-'13_Mapa_Liq'!$B$6),"")</f>
        <v/>
      </c>
      <c r="AF5" s="151" t="n">
        <f aca="false">IF(ISNUMBER(B5),IF(L5&lt;AE5,J5*'13_Mapa_Liq'!$C$19,0),0)</f>
        <v>0</v>
      </c>
      <c r="AG5" s="151"/>
      <c r="AH5" s="151" t="n">
        <f aca="false">IF(ISNUMBER(B5),E5*F5*((K5&lt;=M5)*'13_Mapa_Liq'!$C$15+(K5&lt;=Q5)*'13_Mapa_Liq'!$C$16+(K5&lt;=U5)*'13_Mapa_Liq'!$C$17+(K5&lt;=Y5)*'13_Mapa_Liq'!$C$18+(K5&lt;=AC5)*'13_Mapa_Liq'!$C$19),0)</f>
        <v>0</v>
      </c>
      <c r="AI5" s="151" t="n">
        <f aca="false">IF(ISNUMBER(B5),E5*(1-F5)*((L5&gt;=O5)*'13_Mapa_Liq'!$C$15+(L5&gt;=S5)*'13_Mapa_Liq'!$C$16+(L5&gt;=W5)*'13_Mapa_Liq'!$C$17+(L5&gt;=AA5)*'13_Mapa_Liq'!$C$18+(L5&gt;=AE5)*'13_Mapa_Liq'!$C$19),0)</f>
        <v>0</v>
      </c>
    </row>
    <row r="6" customFormat="false" ht="15" hidden="false" customHeight="false" outlineLevel="0" collapsed="false">
      <c r="A6" s="151" t="str">
        <f aca="false">IF(ISNUMBER('12_Datos_5m'!F6),ROW()-4,"")</f>
        <v/>
      </c>
      <c r="B6" s="151" t="str">
        <f aca="false">IF(ISNUMBER('12_Datos_5m'!F6),'12_Datos_5m'!F6,"")</f>
        <v/>
      </c>
      <c r="C6" s="151" t="str">
        <f aca="false">IF(ISNUMBER('12_Datos_5m'!A6),'12_Datos_5m'!A6,"")</f>
        <v/>
      </c>
      <c r="D6" s="151" t="n">
        <f aca="false">IF(AND(ISNUMBER('12_Datos_5m'!I6),ISNUMBER('12_Datos_5m'!I5)),'12_Datos_5m'!I6-'12_Datos_5m'!I5,0)</f>
        <v>0</v>
      </c>
      <c r="E6" s="151" t="n">
        <f aca="false">MAX(0,D6)</f>
        <v>0</v>
      </c>
      <c r="F6" s="151" t="n">
        <f aca="false">IF(AND(ISNUMBER('12_Datos_5m'!G6),N('12_Datos_5m'!G6)&gt;0),'12_Datos_5m'!H6/'12_Datos_5m'!G6,0.5)</f>
        <v>0.5</v>
      </c>
      <c r="G6" s="151" t="n">
        <f aca="false">IF(ISNUMBER(C6),($C$2-C6)/3600000,0)</f>
        <v>0</v>
      </c>
      <c r="H6" s="151" t="n">
        <f aca="false">EXP(-G6/'13_Mapa_Liq'!$B$7)</f>
        <v>1</v>
      </c>
      <c r="I6" s="151" t="n">
        <f aca="false">E6*F6*H6</f>
        <v>0</v>
      </c>
      <c r="J6" s="151" t="n">
        <f aca="false">E6*(1-F6)*H6</f>
        <v>0</v>
      </c>
      <c r="K6" s="151" t="n">
        <f aca="false">IF(COUNT('12_Datos_5m'!E7:E$504)=0,1000000000000,MIN('12_Datos_5m'!E7:E$504))</f>
        <v>1000000000000</v>
      </c>
      <c r="L6" s="151" t="n">
        <f aca="false">IF(COUNT('12_Datos_5m'!D7:D$504)=0,0,MAX('12_Datos_5m'!D7:D$504))</f>
        <v>0</v>
      </c>
      <c r="M6" s="151" t="str">
        <f aca="false">IF(ISNUMBER(B6),B6*(1-1/'13_Mapa_Liq'!$B$15+'13_Mapa_Liq'!$B$6),"")</f>
        <v/>
      </c>
      <c r="N6" s="151" t="n">
        <f aca="false">IF(ISNUMBER(B6),IF(K6&gt;M6,I6*'13_Mapa_Liq'!$C$15,0),0)</f>
        <v>0</v>
      </c>
      <c r="O6" s="151" t="str">
        <f aca="false">IF(ISNUMBER(B6),B6*(1+1/'13_Mapa_Liq'!$B$15-'13_Mapa_Liq'!$B$6),"")</f>
        <v/>
      </c>
      <c r="P6" s="151" t="n">
        <f aca="false">IF(ISNUMBER(B6),IF(L6&lt;O6,J6*'13_Mapa_Liq'!$C$15,0),0)</f>
        <v>0</v>
      </c>
      <c r="Q6" s="151" t="str">
        <f aca="false">IF(ISNUMBER(B6),B6*(1-1/'13_Mapa_Liq'!$B$16+'13_Mapa_Liq'!$B$6),"")</f>
        <v/>
      </c>
      <c r="R6" s="151" t="n">
        <f aca="false">IF(ISNUMBER(B6),IF(K6&gt;Q6,I6*'13_Mapa_Liq'!$C$16,0),0)</f>
        <v>0</v>
      </c>
      <c r="S6" s="151" t="str">
        <f aca="false">IF(ISNUMBER(B6),B6*(1+1/'13_Mapa_Liq'!$B$16-'13_Mapa_Liq'!$B$6),"")</f>
        <v/>
      </c>
      <c r="T6" s="151" t="n">
        <f aca="false">IF(ISNUMBER(B6),IF(L6&lt;S6,J6*'13_Mapa_Liq'!$C$16,0),0)</f>
        <v>0</v>
      </c>
      <c r="U6" s="151" t="str">
        <f aca="false">IF(ISNUMBER(B6),B6*(1-1/'13_Mapa_Liq'!$B$17+'13_Mapa_Liq'!$B$6),"")</f>
        <v/>
      </c>
      <c r="V6" s="151" t="n">
        <f aca="false">IF(ISNUMBER(B6),IF(K6&gt;U6,I6*'13_Mapa_Liq'!$C$17,0),0)</f>
        <v>0</v>
      </c>
      <c r="W6" s="151" t="str">
        <f aca="false">IF(ISNUMBER(B6),B6*(1+1/'13_Mapa_Liq'!$B$17-'13_Mapa_Liq'!$B$6),"")</f>
        <v/>
      </c>
      <c r="X6" s="151" t="n">
        <f aca="false">IF(ISNUMBER(B6),IF(L6&lt;W6,J6*'13_Mapa_Liq'!$C$17,0),0)</f>
        <v>0</v>
      </c>
      <c r="Y6" s="151" t="str">
        <f aca="false">IF(ISNUMBER(B6),B6*(1-1/'13_Mapa_Liq'!$B$18+'13_Mapa_Liq'!$B$6),"")</f>
        <v/>
      </c>
      <c r="Z6" s="151" t="n">
        <f aca="false">IF(ISNUMBER(B6),IF(K6&gt;Y6,I6*'13_Mapa_Liq'!$C$18,0),0)</f>
        <v>0</v>
      </c>
      <c r="AA6" s="151" t="str">
        <f aca="false">IF(ISNUMBER(B6),B6*(1+1/'13_Mapa_Liq'!$B$18-'13_Mapa_Liq'!$B$6),"")</f>
        <v/>
      </c>
      <c r="AB6" s="151" t="n">
        <f aca="false">IF(ISNUMBER(B6),IF(L6&lt;AA6,J6*'13_Mapa_Liq'!$C$18,0),0)</f>
        <v>0</v>
      </c>
      <c r="AC6" s="151" t="str">
        <f aca="false">IF(ISNUMBER(B6),B6*(1-1/'13_Mapa_Liq'!$B$19+'13_Mapa_Liq'!$B$6),"")</f>
        <v/>
      </c>
      <c r="AD6" s="151" t="n">
        <f aca="false">IF(ISNUMBER(B6),IF(K6&gt;AC6,I6*'13_Mapa_Liq'!$C$19,0),0)</f>
        <v>0</v>
      </c>
      <c r="AE6" s="151" t="str">
        <f aca="false">IF(ISNUMBER(B6),B6*(1+1/'13_Mapa_Liq'!$B$19-'13_Mapa_Liq'!$B$6),"")</f>
        <v/>
      </c>
      <c r="AF6" s="151" t="n">
        <f aca="false">IF(ISNUMBER(B6),IF(L6&lt;AE6,J6*'13_Mapa_Liq'!$C$19,0),0)</f>
        <v>0</v>
      </c>
      <c r="AG6" s="151"/>
      <c r="AH6" s="151" t="n">
        <f aca="false">IF(ISNUMBER(B6),E6*F6*((K6&lt;=M6)*'13_Mapa_Liq'!$C$15+(K6&lt;=Q6)*'13_Mapa_Liq'!$C$16+(K6&lt;=U6)*'13_Mapa_Liq'!$C$17+(K6&lt;=Y6)*'13_Mapa_Liq'!$C$18+(K6&lt;=AC6)*'13_Mapa_Liq'!$C$19),0)</f>
        <v>0</v>
      </c>
      <c r="AI6" s="151" t="n">
        <f aca="false">IF(ISNUMBER(B6),E6*(1-F6)*((L6&gt;=O6)*'13_Mapa_Liq'!$C$15+(L6&gt;=S6)*'13_Mapa_Liq'!$C$16+(L6&gt;=W6)*'13_Mapa_Liq'!$C$17+(L6&gt;=AA6)*'13_Mapa_Liq'!$C$18+(L6&gt;=AE6)*'13_Mapa_Liq'!$C$19),0)</f>
        <v>0</v>
      </c>
    </row>
    <row r="7" customFormat="false" ht="15" hidden="false" customHeight="false" outlineLevel="0" collapsed="false">
      <c r="A7" s="151" t="str">
        <f aca="false">IF(ISNUMBER('12_Datos_5m'!F7),ROW()-4,"")</f>
        <v/>
      </c>
      <c r="B7" s="151" t="str">
        <f aca="false">IF(ISNUMBER('12_Datos_5m'!F7),'12_Datos_5m'!F7,"")</f>
        <v/>
      </c>
      <c r="C7" s="151" t="str">
        <f aca="false">IF(ISNUMBER('12_Datos_5m'!A7),'12_Datos_5m'!A7,"")</f>
        <v/>
      </c>
      <c r="D7" s="151" t="n">
        <f aca="false">IF(AND(ISNUMBER('12_Datos_5m'!I7),ISNUMBER('12_Datos_5m'!I6)),'12_Datos_5m'!I7-'12_Datos_5m'!I6,0)</f>
        <v>0</v>
      </c>
      <c r="E7" s="151" t="n">
        <f aca="false">MAX(0,D7)</f>
        <v>0</v>
      </c>
      <c r="F7" s="151" t="n">
        <f aca="false">IF(AND(ISNUMBER('12_Datos_5m'!G7),N('12_Datos_5m'!G7)&gt;0),'12_Datos_5m'!H7/'12_Datos_5m'!G7,0.5)</f>
        <v>0.5</v>
      </c>
      <c r="G7" s="151" t="n">
        <f aca="false">IF(ISNUMBER(C7),($C$2-C7)/3600000,0)</f>
        <v>0</v>
      </c>
      <c r="H7" s="151" t="n">
        <f aca="false">EXP(-G7/'13_Mapa_Liq'!$B$7)</f>
        <v>1</v>
      </c>
      <c r="I7" s="151" t="n">
        <f aca="false">E7*F7*H7</f>
        <v>0</v>
      </c>
      <c r="J7" s="151" t="n">
        <f aca="false">E7*(1-F7)*H7</f>
        <v>0</v>
      </c>
      <c r="K7" s="151" t="n">
        <f aca="false">IF(COUNT('12_Datos_5m'!E8:E$504)=0,1000000000000,MIN('12_Datos_5m'!E8:E$504))</f>
        <v>1000000000000</v>
      </c>
      <c r="L7" s="151" t="n">
        <f aca="false">IF(COUNT('12_Datos_5m'!D8:D$504)=0,0,MAX('12_Datos_5m'!D8:D$504))</f>
        <v>0</v>
      </c>
      <c r="M7" s="151" t="str">
        <f aca="false">IF(ISNUMBER(B7),B7*(1-1/'13_Mapa_Liq'!$B$15+'13_Mapa_Liq'!$B$6),"")</f>
        <v/>
      </c>
      <c r="N7" s="151" t="n">
        <f aca="false">IF(ISNUMBER(B7),IF(K7&gt;M7,I7*'13_Mapa_Liq'!$C$15,0),0)</f>
        <v>0</v>
      </c>
      <c r="O7" s="151" t="str">
        <f aca="false">IF(ISNUMBER(B7),B7*(1+1/'13_Mapa_Liq'!$B$15-'13_Mapa_Liq'!$B$6),"")</f>
        <v/>
      </c>
      <c r="P7" s="151" t="n">
        <f aca="false">IF(ISNUMBER(B7),IF(L7&lt;O7,J7*'13_Mapa_Liq'!$C$15,0),0)</f>
        <v>0</v>
      </c>
      <c r="Q7" s="151" t="str">
        <f aca="false">IF(ISNUMBER(B7),B7*(1-1/'13_Mapa_Liq'!$B$16+'13_Mapa_Liq'!$B$6),"")</f>
        <v/>
      </c>
      <c r="R7" s="151" t="n">
        <f aca="false">IF(ISNUMBER(B7),IF(K7&gt;Q7,I7*'13_Mapa_Liq'!$C$16,0),0)</f>
        <v>0</v>
      </c>
      <c r="S7" s="151" t="str">
        <f aca="false">IF(ISNUMBER(B7),B7*(1+1/'13_Mapa_Liq'!$B$16-'13_Mapa_Liq'!$B$6),"")</f>
        <v/>
      </c>
      <c r="T7" s="151" t="n">
        <f aca="false">IF(ISNUMBER(B7),IF(L7&lt;S7,J7*'13_Mapa_Liq'!$C$16,0),0)</f>
        <v>0</v>
      </c>
      <c r="U7" s="151" t="str">
        <f aca="false">IF(ISNUMBER(B7),B7*(1-1/'13_Mapa_Liq'!$B$17+'13_Mapa_Liq'!$B$6),"")</f>
        <v/>
      </c>
      <c r="V7" s="151" t="n">
        <f aca="false">IF(ISNUMBER(B7),IF(K7&gt;U7,I7*'13_Mapa_Liq'!$C$17,0),0)</f>
        <v>0</v>
      </c>
      <c r="W7" s="151" t="str">
        <f aca="false">IF(ISNUMBER(B7),B7*(1+1/'13_Mapa_Liq'!$B$17-'13_Mapa_Liq'!$B$6),"")</f>
        <v/>
      </c>
      <c r="X7" s="151" t="n">
        <f aca="false">IF(ISNUMBER(B7),IF(L7&lt;W7,J7*'13_Mapa_Liq'!$C$17,0),0)</f>
        <v>0</v>
      </c>
      <c r="Y7" s="151" t="str">
        <f aca="false">IF(ISNUMBER(B7),B7*(1-1/'13_Mapa_Liq'!$B$18+'13_Mapa_Liq'!$B$6),"")</f>
        <v/>
      </c>
      <c r="Z7" s="151" t="n">
        <f aca="false">IF(ISNUMBER(B7),IF(K7&gt;Y7,I7*'13_Mapa_Liq'!$C$18,0),0)</f>
        <v>0</v>
      </c>
      <c r="AA7" s="151" t="str">
        <f aca="false">IF(ISNUMBER(B7),B7*(1+1/'13_Mapa_Liq'!$B$18-'13_Mapa_Liq'!$B$6),"")</f>
        <v/>
      </c>
      <c r="AB7" s="151" t="n">
        <f aca="false">IF(ISNUMBER(B7),IF(L7&lt;AA7,J7*'13_Mapa_Liq'!$C$18,0),0)</f>
        <v>0</v>
      </c>
      <c r="AC7" s="151" t="str">
        <f aca="false">IF(ISNUMBER(B7),B7*(1-1/'13_Mapa_Liq'!$B$19+'13_Mapa_Liq'!$B$6),"")</f>
        <v/>
      </c>
      <c r="AD7" s="151" t="n">
        <f aca="false">IF(ISNUMBER(B7),IF(K7&gt;AC7,I7*'13_Mapa_Liq'!$C$19,0),0)</f>
        <v>0</v>
      </c>
      <c r="AE7" s="151" t="str">
        <f aca="false">IF(ISNUMBER(B7),B7*(1+1/'13_Mapa_Liq'!$B$19-'13_Mapa_Liq'!$B$6),"")</f>
        <v/>
      </c>
      <c r="AF7" s="151" t="n">
        <f aca="false">IF(ISNUMBER(B7),IF(L7&lt;AE7,J7*'13_Mapa_Liq'!$C$19,0),0)</f>
        <v>0</v>
      </c>
      <c r="AG7" s="151"/>
      <c r="AH7" s="151" t="n">
        <f aca="false">IF(ISNUMBER(B7),E7*F7*((K7&lt;=M7)*'13_Mapa_Liq'!$C$15+(K7&lt;=Q7)*'13_Mapa_Liq'!$C$16+(K7&lt;=U7)*'13_Mapa_Liq'!$C$17+(K7&lt;=Y7)*'13_Mapa_Liq'!$C$18+(K7&lt;=AC7)*'13_Mapa_Liq'!$C$19),0)</f>
        <v>0</v>
      </c>
      <c r="AI7" s="151" t="n">
        <f aca="false">IF(ISNUMBER(B7),E7*(1-F7)*((L7&gt;=O7)*'13_Mapa_Liq'!$C$15+(L7&gt;=S7)*'13_Mapa_Liq'!$C$16+(L7&gt;=W7)*'13_Mapa_Liq'!$C$17+(L7&gt;=AA7)*'13_Mapa_Liq'!$C$18+(L7&gt;=AE7)*'13_Mapa_Liq'!$C$19),0)</f>
        <v>0</v>
      </c>
    </row>
    <row r="8" customFormat="false" ht="15" hidden="false" customHeight="false" outlineLevel="0" collapsed="false">
      <c r="A8" s="151" t="str">
        <f aca="false">IF(ISNUMBER('12_Datos_5m'!F8),ROW()-4,"")</f>
        <v/>
      </c>
      <c r="B8" s="151" t="str">
        <f aca="false">IF(ISNUMBER('12_Datos_5m'!F8),'12_Datos_5m'!F8,"")</f>
        <v/>
      </c>
      <c r="C8" s="151" t="str">
        <f aca="false">IF(ISNUMBER('12_Datos_5m'!A8),'12_Datos_5m'!A8,"")</f>
        <v/>
      </c>
      <c r="D8" s="151" t="n">
        <f aca="false">IF(AND(ISNUMBER('12_Datos_5m'!I8),ISNUMBER('12_Datos_5m'!I7)),'12_Datos_5m'!I8-'12_Datos_5m'!I7,0)</f>
        <v>0</v>
      </c>
      <c r="E8" s="151" t="n">
        <f aca="false">MAX(0,D8)</f>
        <v>0</v>
      </c>
      <c r="F8" s="151" t="n">
        <f aca="false">IF(AND(ISNUMBER('12_Datos_5m'!G8),N('12_Datos_5m'!G8)&gt;0),'12_Datos_5m'!H8/'12_Datos_5m'!G8,0.5)</f>
        <v>0.5</v>
      </c>
      <c r="G8" s="151" t="n">
        <f aca="false">IF(ISNUMBER(C8),($C$2-C8)/3600000,0)</f>
        <v>0</v>
      </c>
      <c r="H8" s="151" t="n">
        <f aca="false">EXP(-G8/'13_Mapa_Liq'!$B$7)</f>
        <v>1</v>
      </c>
      <c r="I8" s="151" t="n">
        <f aca="false">E8*F8*H8</f>
        <v>0</v>
      </c>
      <c r="J8" s="151" t="n">
        <f aca="false">E8*(1-F8)*H8</f>
        <v>0</v>
      </c>
      <c r="K8" s="151" t="n">
        <f aca="false">IF(COUNT('12_Datos_5m'!E9:E$504)=0,1000000000000,MIN('12_Datos_5m'!E9:E$504))</f>
        <v>1000000000000</v>
      </c>
      <c r="L8" s="151" t="n">
        <f aca="false">IF(COUNT('12_Datos_5m'!D9:D$504)=0,0,MAX('12_Datos_5m'!D9:D$504))</f>
        <v>0</v>
      </c>
      <c r="M8" s="151" t="str">
        <f aca="false">IF(ISNUMBER(B8),B8*(1-1/'13_Mapa_Liq'!$B$15+'13_Mapa_Liq'!$B$6),"")</f>
        <v/>
      </c>
      <c r="N8" s="151" t="n">
        <f aca="false">IF(ISNUMBER(B8),IF(K8&gt;M8,I8*'13_Mapa_Liq'!$C$15,0),0)</f>
        <v>0</v>
      </c>
      <c r="O8" s="151" t="str">
        <f aca="false">IF(ISNUMBER(B8),B8*(1+1/'13_Mapa_Liq'!$B$15-'13_Mapa_Liq'!$B$6),"")</f>
        <v/>
      </c>
      <c r="P8" s="151" t="n">
        <f aca="false">IF(ISNUMBER(B8),IF(L8&lt;O8,J8*'13_Mapa_Liq'!$C$15,0),0)</f>
        <v>0</v>
      </c>
      <c r="Q8" s="151" t="str">
        <f aca="false">IF(ISNUMBER(B8),B8*(1-1/'13_Mapa_Liq'!$B$16+'13_Mapa_Liq'!$B$6),"")</f>
        <v/>
      </c>
      <c r="R8" s="151" t="n">
        <f aca="false">IF(ISNUMBER(B8),IF(K8&gt;Q8,I8*'13_Mapa_Liq'!$C$16,0),0)</f>
        <v>0</v>
      </c>
      <c r="S8" s="151" t="str">
        <f aca="false">IF(ISNUMBER(B8),B8*(1+1/'13_Mapa_Liq'!$B$16-'13_Mapa_Liq'!$B$6),"")</f>
        <v/>
      </c>
      <c r="T8" s="151" t="n">
        <f aca="false">IF(ISNUMBER(B8),IF(L8&lt;S8,J8*'13_Mapa_Liq'!$C$16,0),0)</f>
        <v>0</v>
      </c>
      <c r="U8" s="151" t="str">
        <f aca="false">IF(ISNUMBER(B8),B8*(1-1/'13_Mapa_Liq'!$B$17+'13_Mapa_Liq'!$B$6),"")</f>
        <v/>
      </c>
      <c r="V8" s="151" t="n">
        <f aca="false">IF(ISNUMBER(B8),IF(K8&gt;U8,I8*'13_Mapa_Liq'!$C$17,0),0)</f>
        <v>0</v>
      </c>
      <c r="W8" s="151" t="str">
        <f aca="false">IF(ISNUMBER(B8),B8*(1+1/'13_Mapa_Liq'!$B$17-'13_Mapa_Liq'!$B$6),"")</f>
        <v/>
      </c>
      <c r="X8" s="151" t="n">
        <f aca="false">IF(ISNUMBER(B8),IF(L8&lt;W8,J8*'13_Mapa_Liq'!$C$17,0),0)</f>
        <v>0</v>
      </c>
      <c r="Y8" s="151" t="str">
        <f aca="false">IF(ISNUMBER(B8),B8*(1-1/'13_Mapa_Liq'!$B$18+'13_Mapa_Liq'!$B$6),"")</f>
        <v/>
      </c>
      <c r="Z8" s="151" t="n">
        <f aca="false">IF(ISNUMBER(B8),IF(K8&gt;Y8,I8*'13_Mapa_Liq'!$C$18,0),0)</f>
        <v>0</v>
      </c>
      <c r="AA8" s="151" t="str">
        <f aca="false">IF(ISNUMBER(B8),B8*(1+1/'13_Mapa_Liq'!$B$18-'13_Mapa_Liq'!$B$6),"")</f>
        <v/>
      </c>
      <c r="AB8" s="151" t="n">
        <f aca="false">IF(ISNUMBER(B8),IF(L8&lt;AA8,J8*'13_Mapa_Liq'!$C$18,0),0)</f>
        <v>0</v>
      </c>
      <c r="AC8" s="151" t="str">
        <f aca="false">IF(ISNUMBER(B8),B8*(1-1/'13_Mapa_Liq'!$B$19+'13_Mapa_Liq'!$B$6),"")</f>
        <v/>
      </c>
      <c r="AD8" s="151" t="n">
        <f aca="false">IF(ISNUMBER(B8),IF(K8&gt;AC8,I8*'13_Mapa_Liq'!$C$19,0),0)</f>
        <v>0</v>
      </c>
      <c r="AE8" s="151" t="str">
        <f aca="false">IF(ISNUMBER(B8),B8*(1+1/'13_Mapa_Liq'!$B$19-'13_Mapa_Liq'!$B$6),"")</f>
        <v/>
      </c>
      <c r="AF8" s="151" t="n">
        <f aca="false">IF(ISNUMBER(B8),IF(L8&lt;AE8,J8*'13_Mapa_Liq'!$C$19,0),0)</f>
        <v>0</v>
      </c>
      <c r="AG8" s="151"/>
      <c r="AH8" s="151" t="n">
        <f aca="false">IF(ISNUMBER(B8),E8*F8*((K8&lt;=M8)*'13_Mapa_Liq'!$C$15+(K8&lt;=Q8)*'13_Mapa_Liq'!$C$16+(K8&lt;=U8)*'13_Mapa_Liq'!$C$17+(K8&lt;=Y8)*'13_Mapa_Liq'!$C$18+(K8&lt;=AC8)*'13_Mapa_Liq'!$C$19),0)</f>
        <v>0</v>
      </c>
      <c r="AI8" s="151" t="n">
        <f aca="false">IF(ISNUMBER(B8),E8*(1-F8)*((L8&gt;=O8)*'13_Mapa_Liq'!$C$15+(L8&gt;=S8)*'13_Mapa_Liq'!$C$16+(L8&gt;=W8)*'13_Mapa_Liq'!$C$17+(L8&gt;=AA8)*'13_Mapa_Liq'!$C$18+(L8&gt;=AE8)*'13_Mapa_Liq'!$C$19),0)</f>
        <v>0</v>
      </c>
    </row>
    <row r="9" customFormat="false" ht="15" hidden="false" customHeight="false" outlineLevel="0" collapsed="false">
      <c r="A9" s="151" t="str">
        <f aca="false">IF(ISNUMBER('12_Datos_5m'!F9),ROW()-4,"")</f>
        <v/>
      </c>
      <c r="B9" s="151" t="str">
        <f aca="false">IF(ISNUMBER('12_Datos_5m'!F9),'12_Datos_5m'!F9,"")</f>
        <v/>
      </c>
      <c r="C9" s="151" t="str">
        <f aca="false">IF(ISNUMBER('12_Datos_5m'!A9),'12_Datos_5m'!A9,"")</f>
        <v/>
      </c>
      <c r="D9" s="151" t="n">
        <f aca="false">IF(AND(ISNUMBER('12_Datos_5m'!I9),ISNUMBER('12_Datos_5m'!I8)),'12_Datos_5m'!I9-'12_Datos_5m'!I8,0)</f>
        <v>0</v>
      </c>
      <c r="E9" s="151" t="n">
        <f aca="false">MAX(0,D9)</f>
        <v>0</v>
      </c>
      <c r="F9" s="151" t="n">
        <f aca="false">IF(AND(ISNUMBER('12_Datos_5m'!G9),N('12_Datos_5m'!G9)&gt;0),'12_Datos_5m'!H9/'12_Datos_5m'!G9,0.5)</f>
        <v>0.5</v>
      </c>
      <c r="G9" s="151" t="n">
        <f aca="false">IF(ISNUMBER(C9),($C$2-C9)/3600000,0)</f>
        <v>0</v>
      </c>
      <c r="H9" s="151" t="n">
        <f aca="false">EXP(-G9/'13_Mapa_Liq'!$B$7)</f>
        <v>1</v>
      </c>
      <c r="I9" s="151" t="n">
        <f aca="false">E9*F9*H9</f>
        <v>0</v>
      </c>
      <c r="J9" s="151" t="n">
        <f aca="false">E9*(1-F9)*H9</f>
        <v>0</v>
      </c>
      <c r="K9" s="151" t="n">
        <f aca="false">IF(COUNT('12_Datos_5m'!E10:E$504)=0,1000000000000,MIN('12_Datos_5m'!E10:E$504))</f>
        <v>1000000000000</v>
      </c>
      <c r="L9" s="151" t="n">
        <f aca="false">IF(COUNT('12_Datos_5m'!D10:D$504)=0,0,MAX('12_Datos_5m'!D10:D$504))</f>
        <v>0</v>
      </c>
      <c r="M9" s="151" t="str">
        <f aca="false">IF(ISNUMBER(B9),B9*(1-1/'13_Mapa_Liq'!$B$15+'13_Mapa_Liq'!$B$6),"")</f>
        <v/>
      </c>
      <c r="N9" s="151" t="n">
        <f aca="false">IF(ISNUMBER(B9),IF(K9&gt;M9,I9*'13_Mapa_Liq'!$C$15,0),0)</f>
        <v>0</v>
      </c>
      <c r="O9" s="151" t="str">
        <f aca="false">IF(ISNUMBER(B9),B9*(1+1/'13_Mapa_Liq'!$B$15-'13_Mapa_Liq'!$B$6),"")</f>
        <v/>
      </c>
      <c r="P9" s="151" t="n">
        <f aca="false">IF(ISNUMBER(B9),IF(L9&lt;O9,J9*'13_Mapa_Liq'!$C$15,0),0)</f>
        <v>0</v>
      </c>
      <c r="Q9" s="151" t="str">
        <f aca="false">IF(ISNUMBER(B9),B9*(1-1/'13_Mapa_Liq'!$B$16+'13_Mapa_Liq'!$B$6),"")</f>
        <v/>
      </c>
      <c r="R9" s="151" t="n">
        <f aca="false">IF(ISNUMBER(B9),IF(K9&gt;Q9,I9*'13_Mapa_Liq'!$C$16,0),0)</f>
        <v>0</v>
      </c>
      <c r="S9" s="151" t="str">
        <f aca="false">IF(ISNUMBER(B9),B9*(1+1/'13_Mapa_Liq'!$B$16-'13_Mapa_Liq'!$B$6),"")</f>
        <v/>
      </c>
      <c r="T9" s="151" t="n">
        <f aca="false">IF(ISNUMBER(B9),IF(L9&lt;S9,J9*'13_Mapa_Liq'!$C$16,0),0)</f>
        <v>0</v>
      </c>
      <c r="U9" s="151" t="str">
        <f aca="false">IF(ISNUMBER(B9),B9*(1-1/'13_Mapa_Liq'!$B$17+'13_Mapa_Liq'!$B$6),"")</f>
        <v/>
      </c>
      <c r="V9" s="151" t="n">
        <f aca="false">IF(ISNUMBER(B9),IF(K9&gt;U9,I9*'13_Mapa_Liq'!$C$17,0),0)</f>
        <v>0</v>
      </c>
      <c r="W9" s="151" t="str">
        <f aca="false">IF(ISNUMBER(B9),B9*(1+1/'13_Mapa_Liq'!$B$17-'13_Mapa_Liq'!$B$6),"")</f>
        <v/>
      </c>
      <c r="X9" s="151" t="n">
        <f aca="false">IF(ISNUMBER(B9),IF(L9&lt;W9,J9*'13_Mapa_Liq'!$C$17,0),0)</f>
        <v>0</v>
      </c>
      <c r="Y9" s="151" t="str">
        <f aca="false">IF(ISNUMBER(B9),B9*(1-1/'13_Mapa_Liq'!$B$18+'13_Mapa_Liq'!$B$6),"")</f>
        <v/>
      </c>
      <c r="Z9" s="151" t="n">
        <f aca="false">IF(ISNUMBER(B9),IF(K9&gt;Y9,I9*'13_Mapa_Liq'!$C$18,0),0)</f>
        <v>0</v>
      </c>
      <c r="AA9" s="151" t="str">
        <f aca="false">IF(ISNUMBER(B9),B9*(1+1/'13_Mapa_Liq'!$B$18-'13_Mapa_Liq'!$B$6),"")</f>
        <v/>
      </c>
      <c r="AB9" s="151" t="n">
        <f aca="false">IF(ISNUMBER(B9),IF(L9&lt;AA9,J9*'13_Mapa_Liq'!$C$18,0),0)</f>
        <v>0</v>
      </c>
      <c r="AC9" s="151" t="str">
        <f aca="false">IF(ISNUMBER(B9),B9*(1-1/'13_Mapa_Liq'!$B$19+'13_Mapa_Liq'!$B$6),"")</f>
        <v/>
      </c>
      <c r="AD9" s="151" t="n">
        <f aca="false">IF(ISNUMBER(B9),IF(K9&gt;AC9,I9*'13_Mapa_Liq'!$C$19,0),0)</f>
        <v>0</v>
      </c>
      <c r="AE9" s="151" t="str">
        <f aca="false">IF(ISNUMBER(B9),B9*(1+1/'13_Mapa_Liq'!$B$19-'13_Mapa_Liq'!$B$6),"")</f>
        <v/>
      </c>
      <c r="AF9" s="151" t="n">
        <f aca="false">IF(ISNUMBER(B9),IF(L9&lt;AE9,J9*'13_Mapa_Liq'!$C$19,0),0)</f>
        <v>0</v>
      </c>
      <c r="AG9" s="151"/>
      <c r="AH9" s="151" t="n">
        <f aca="false">IF(ISNUMBER(B9),E9*F9*((K9&lt;=M9)*'13_Mapa_Liq'!$C$15+(K9&lt;=Q9)*'13_Mapa_Liq'!$C$16+(K9&lt;=U9)*'13_Mapa_Liq'!$C$17+(K9&lt;=Y9)*'13_Mapa_Liq'!$C$18+(K9&lt;=AC9)*'13_Mapa_Liq'!$C$19),0)</f>
        <v>0</v>
      </c>
      <c r="AI9" s="151" t="n">
        <f aca="false">IF(ISNUMBER(B9),E9*(1-F9)*((L9&gt;=O9)*'13_Mapa_Liq'!$C$15+(L9&gt;=S9)*'13_Mapa_Liq'!$C$16+(L9&gt;=W9)*'13_Mapa_Liq'!$C$17+(L9&gt;=AA9)*'13_Mapa_Liq'!$C$18+(L9&gt;=AE9)*'13_Mapa_Liq'!$C$19),0)</f>
        <v>0</v>
      </c>
    </row>
    <row r="10" customFormat="false" ht="15" hidden="false" customHeight="false" outlineLevel="0" collapsed="false">
      <c r="A10" s="151" t="str">
        <f aca="false">IF(ISNUMBER('12_Datos_5m'!F10),ROW()-4,"")</f>
        <v/>
      </c>
      <c r="B10" s="151" t="str">
        <f aca="false">IF(ISNUMBER('12_Datos_5m'!F10),'12_Datos_5m'!F10,"")</f>
        <v/>
      </c>
      <c r="C10" s="151" t="str">
        <f aca="false">IF(ISNUMBER('12_Datos_5m'!A10),'12_Datos_5m'!A10,"")</f>
        <v/>
      </c>
      <c r="D10" s="151" t="n">
        <f aca="false">IF(AND(ISNUMBER('12_Datos_5m'!I10),ISNUMBER('12_Datos_5m'!I9)),'12_Datos_5m'!I10-'12_Datos_5m'!I9,0)</f>
        <v>0</v>
      </c>
      <c r="E10" s="151" t="n">
        <f aca="false">MAX(0,D10)</f>
        <v>0</v>
      </c>
      <c r="F10" s="151" t="n">
        <f aca="false">IF(AND(ISNUMBER('12_Datos_5m'!G10),N('12_Datos_5m'!G10)&gt;0),'12_Datos_5m'!H10/'12_Datos_5m'!G10,0.5)</f>
        <v>0.5</v>
      </c>
      <c r="G10" s="151" t="n">
        <f aca="false">IF(ISNUMBER(C10),($C$2-C10)/3600000,0)</f>
        <v>0</v>
      </c>
      <c r="H10" s="151" t="n">
        <f aca="false">EXP(-G10/'13_Mapa_Liq'!$B$7)</f>
        <v>1</v>
      </c>
      <c r="I10" s="151" t="n">
        <f aca="false">E10*F10*H10</f>
        <v>0</v>
      </c>
      <c r="J10" s="151" t="n">
        <f aca="false">E10*(1-F10)*H10</f>
        <v>0</v>
      </c>
      <c r="K10" s="151" t="n">
        <f aca="false">IF(COUNT('12_Datos_5m'!E11:E$504)=0,1000000000000,MIN('12_Datos_5m'!E11:E$504))</f>
        <v>1000000000000</v>
      </c>
      <c r="L10" s="151" t="n">
        <f aca="false">IF(COUNT('12_Datos_5m'!D11:D$504)=0,0,MAX('12_Datos_5m'!D11:D$504))</f>
        <v>0</v>
      </c>
      <c r="M10" s="151" t="str">
        <f aca="false">IF(ISNUMBER(B10),B10*(1-1/'13_Mapa_Liq'!$B$15+'13_Mapa_Liq'!$B$6),"")</f>
        <v/>
      </c>
      <c r="N10" s="151" t="n">
        <f aca="false">IF(ISNUMBER(B10),IF(K10&gt;M10,I10*'13_Mapa_Liq'!$C$15,0),0)</f>
        <v>0</v>
      </c>
      <c r="O10" s="151" t="str">
        <f aca="false">IF(ISNUMBER(B10),B10*(1+1/'13_Mapa_Liq'!$B$15-'13_Mapa_Liq'!$B$6),"")</f>
        <v/>
      </c>
      <c r="P10" s="151" t="n">
        <f aca="false">IF(ISNUMBER(B10),IF(L10&lt;O10,J10*'13_Mapa_Liq'!$C$15,0),0)</f>
        <v>0</v>
      </c>
      <c r="Q10" s="151" t="str">
        <f aca="false">IF(ISNUMBER(B10),B10*(1-1/'13_Mapa_Liq'!$B$16+'13_Mapa_Liq'!$B$6),"")</f>
        <v/>
      </c>
      <c r="R10" s="151" t="n">
        <f aca="false">IF(ISNUMBER(B10),IF(K10&gt;Q10,I10*'13_Mapa_Liq'!$C$16,0),0)</f>
        <v>0</v>
      </c>
      <c r="S10" s="151" t="str">
        <f aca="false">IF(ISNUMBER(B10),B10*(1+1/'13_Mapa_Liq'!$B$16-'13_Mapa_Liq'!$B$6),"")</f>
        <v/>
      </c>
      <c r="T10" s="151" t="n">
        <f aca="false">IF(ISNUMBER(B10),IF(L10&lt;S10,J10*'13_Mapa_Liq'!$C$16,0),0)</f>
        <v>0</v>
      </c>
      <c r="U10" s="151" t="str">
        <f aca="false">IF(ISNUMBER(B10),B10*(1-1/'13_Mapa_Liq'!$B$17+'13_Mapa_Liq'!$B$6),"")</f>
        <v/>
      </c>
      <c r="V10" s="151" t="n">
        <f aca="false">IF(ISNUMBER(B10),IF(K10&gt;U10,I10*'13_Mapa_Liq'!$C$17,0),0)</f>
        <v>0</v>
      </c>
      <c r="W10" s="151" t="str">
        <f aca="false">IF(ISNUMBER(B10),B10*(1+1/'13_Mapa_Liq'!$B$17-'13_Mapa_Liq'!$B$6),"")</f>
        <v/>
      </c>
      <c r="X10" s="151" t="n">
        <f aca="false">IF(ISNUMBER(B10),IF(L10&lt;W10,J10*'13_Mapa_Liq'!$C$17,0),0)</f>
        <v>0</v>
      </c>
      <c r="Y10" s="151" t="str">
        <f aca="false">IF(ISNUMBER(B10),B10*(1-1/'13_Mapa_Liq'!$B$18+'13_Mapa_Liq'!$B$6),"")</f>
        <v/>
      </c>
      <c r="Z10" s="151" t="n">
        <f aca="false">IF(ISNUMBER(B10),IF(K10&gt;Y10,I10*'13_Mapa_Liq'!$C$18,0),0)</f>
        <v>0</v>
      </c>
      <c r="AA10" s="151" t="str">
        <f aca="false">IF(ISNUMBER(B10),B10*(1+1/'13_Mapa_Liq'!$B$18-'13_Mapa_Liq'!$B$6),"")</f>
        <v/>
      </c>
      <c r="AB10" s="151" t="n">
        <f aca="false">IF(ISNUMBER(B10),IF(L10&lt;AA10,J10*'13_Mapa_Liq'!$C$18,0),0)</f>
        <v>0</v>
      </c>
      <c r="AC10" s="151" t="str">
        <f aca="false">IF(ISNUMBER(B10),B10*(1-1/'13_Mapa_Liq'!$B$19+'13_Mapa_Liq'!$B$6),"")</f>
        <v/>
      </c>
      <c r="AD10" s="151" t="n">
        <f aca="false">IF(ISNUMBER(B10),IF(K10&gt;AC10,I10*'13_Mapa_Liq'!$C$19,0),0)</f>
        <v>0</v>
      </c>
      <c r="AE10" s="151" t="str">
        <f aca="false">IF(ISNUMBER(B10),B10*(1+1/'13_Mapa_Liq'!$B$19-'13_Mapa_Liq'!$B$6),"")</f>
        <v/>
      </c>
      <c r="AF10" s="151" t="n">
        <f aca="false">IF(ISNUMBER(B10),IF(L10&lt;AE10,J10*'13_Mapa_Liq'!$C$19,0),0)</f>
        <v>0</v>
      </c>
      <c r="AG10" s="151"/>
      <c r="AH10" s="151" t="n">
        <f aca="false">IF(ISNUMBER(B10),E10*F10*((K10&lt;=M10)*'13_Mapa_Liq'!$C$15+(K10&lt;=Q10)*'13_Mapa_Liq'!$C$16+(K10&lt;=U10)*'13_Mapa_Liq'!$C$17+(K10&lt;=Y10)*'13_Mapa_Liq'!$C$18+(K10&lt;=AC10)*'13_Mapa_Liq'!$C$19),0)</f>
        <v>0</v>
      </c>
      <c r="AI10" s="151" t="n">
        <f aca="false">IF(ISNUMBER(B10),E10*(1-F10)*((L10&gt;=O10)*'13_Mapa_Liq'!$C$15+(L10&gt;=S10)*'13_Mapa_Liq'!$C$16+(L10&gt;=W10)*'13_Mapa_Liq'!$C$17+(L10&gt;=AA10)*'13_Mapa_Liq'!$C$18+(L10&gt;=AE10)*'13_Mapa_Liq'!$C$19),0)</f>
        <v>0</v>
      </c>
    </row>
    <row r="11" customFormat="false" ht="15" hidden="false" customHeight="false" outlineLevel="0" collapsed="false">
      <c r="A11" s="151" t="str">
        <f aca="false">IF(ISNUMBER('12_Datos_5m'!F11),ROW()-4,"")</f>
        <v/>
      </c>
      <c r="B11" s="151" t="str">
        <f aca="false">IF(ISNUMBER('12_Datos_5m'!F11),'12_Datos_5m'!F11,"")</f>
        <v/>
      </c>
      <c r="C11" s="151" t="str">
        <f aca="false">IF(ISNUMBER('12_Datos_5m'!A11),'12_Datos_5m'!A11,"")</f>
        <v/>
      </c>
      <c r="D11" s="151" t="n">
        <f aca="false">IF(AND(ISNUMBER('12_Datos_5m'!I11),ISNUMBER('12_Datos_5m'!I10)),'12_Datos_5m'!I11-'12_Datos_5m'!I10,0)</f>
        <v>0</v>
      </c>
      <c r="E11" s="151" t="n">
        <f aca="false">MAX(0,D11)</f>
        <v>0</v>
      </c>
      <c r="F11" s="151" t="n">
        <f aca="false">IF(AND(ISNUMBER('12_Datos_5m'!G11),N('12_Datos_5m'!G11)&gt;0),'12_Datos_5m'!H11/'12_Datos_5m'!G11,0.5)</f>
        <v>0.5</v>
      </c>
      <c r="G11" s="151" t="n">
        <f aca="false">IF(ISNUMBER(C11),($C$2-C11)/3600000,0)</f>
        <v>0</v>
      </c>
      <c r="H11" s="151" t="n">
        <f aca="false">EXP(-G11/'13_Mapa_Liq'!$B$7)</f>
        <v>1</v>
      </c>
      <c r="I11" s="151" t="n">
        <f aca="false">E11*F11*H11</f>
        <v>0</v>
      </c>
      <c r="J11" s="151" t="n">
        <f aca="false">E11*(1-F11)*H11</f>
        <v>0</v>
      </c>
      <c r="K11" s="151" t="n">
        <f aca="false">IF(COUNT('12_Datos_5m'!E12:E$504)=0,1000000000000,MIN('12_Datos_5m'!E12:E$504))</f>
        <v>1000000000000</v>
      </c>
      <c r="L11" s="151" t="n">
        <f aca="false">IF(COUNT('12_Datos_5m'!D12:D$504)=0,0,MAX('12_Datos_5m'!D12:D$504))</f>
        <v>0</v>
      </c>
      <c r="M11" s="151" t="str">
        <f aca="false">IF(ISNUMBER(B11),B11*(1-1/'13_Mapa_Liq'!$B$15+'13_Mapa_Liq'!$B$6),"")</f>
        <v/>
      </c>
      <c r="N11" s="151" t="n">
        <f aca="false">IF(ISNUMBER(B11),IF(K11&gt;M11,I11*'13_Mapa_Liq'!$C$15,0),0)</f>
        <v>0</v>
      </c>
      <c r="O11" s="151" t="str">
        <f aca="false">IF(ISNUMBER(B11),B11*(1+1/'13_Mapa_Liq'!$B$15-'13_Mapa_Liq'!$B$6),"")</f>
        <v/>
      </c>
      <c r="P11" s="151" t="n">
        <f aca="false">IF(ISNUMBER(B11),IF(L11&lt;O11,J11*'13_Mapa_Liq'!$C$15,0),0)</f>
        <v>0</v>
      </c>
      <c r="Q11" s="151" t="str">
        <f aca="false">IF(ISNUMBER(B11),B11*(1-1/'13_Mapa_Liq'!$B$16+'13_Mapa_Liq'!$B$6),"")</f>
        <v/>
      </c>
      <c r="R11" s="151" t="n">
        <f aca="false">IF(ISNUMBER(B11),IF(K11&gt;Q11,I11*'13_Mapa_Liq'!$C$16,0),0)</f>
        <v>0</v>
      </c>
      <c r="S11" s="151" t="str">
        <f aca="false">IF(ISNUMBER(B11),B11*(1+1/'13_Mapa_Liq'!$B$16-'13_Mapa_Liq'!$B$6),"")</f>
        <v/>
      </c>
      <c r="T11" s="151" t="n">
        <f aca="false">IF(ISNUMBER(B11),IF(L11&lt;S11,J11*'13_Mapa_Liq'!$C$16,0),0)</f>
        <v>0</v>
      </c>
      <c r="U11" s="151" t="str">
        <f aca="false">IF(ISNUMBER(B11),B11*(1-1/'13_Mapa_Liq'!$B$17+'13_Mapa_Liq'!$B$6),"")</f>
        <v/>
      </c>
      <c r="V11" s="151" t="n">
        <f aca="false">IF(ISNUMBER(B11),IF(K11&gt;U11,I11*'13_Mapa_Liq'!$C$17,0),0)</f>
        <v>0</v>
      </c>
      <c r="W11" s="151" t="str">
        <f aca="false">IF(ISNUMBER(B11),B11*(1+1/'13_Mapa_Liq'!$B$17-'13_Mapa_Liq'!$B$6),"")</f>
        <v/>
      </c>
      <c r="X11" s="151" t="n">
        <f aca="false">IF(ISNUMBER(B11),IF(L11&lt;W11,J11*'13_Mapa_Liq'!$C$17,0),0)</f>
        <v>0</v>
      </c>
      <c r="Y11" s="151" t="str">
        <f aca="false">IF(ISNUMBER(B11),B11*(1-1/'13_Mapa_Liq'!$B$18+'13_Mapa_Liq'!$B$6),"")</f>
        <v/>
      </c>
      <c r="Z11" s="151" t="n">
        <f aca="false">IF(ISNUMBER(B11),IF(K11&gt;Y11,I11*'13_Mapa_Liq'!$C$18,0),0)</f>
        <v>0</v>
      </c>
      <c r="AA11" s="151" t="str">
        <f aca="false">IF(ISNUMBER(B11),B11*(1+1/'13_Mapa_Liq'!$B$18-'13_Mapa_Liq'!$B$6),"")</f>
        <v/>
      </c>
      <c r="AB11" s="151" t="n">
        <f aca="false">IF(ISNUMBER(B11),IF(L11&lt;AA11,J11*'13_Mapa_Liq'!$C$18,0),0)</f>
        <v>0</v>
      </c>
      <c r="AC11" s="151" t="str">
        <f aca="false">IF(ISNUMBER(B11),B11*(1-1/'13_Mapa_Liq'!$B$19+'13_Mapa_Liq'!$B$6),"")</f>
        <v/>
      </c>
      <c r="AD11" s="151" t="n">
        <f aca="false">IF(ISNUMBER(B11),IF(K11&gt;AC11,I11*'13_Mapa_Liq'!$C$19,0),0)</f>
        <v>0</v>
      </c>
      <c r="AE11" s="151" t="str">
        <f aca="false">IF(ISNUMBER(B11),B11*(1+1/'13_Mapa_Liq'!$B$19-'13_Mapa_Liq'!$B$6),"")</f>
        <v/>
      </c>
      <c r="AF11" s="151" t="n">
        <f aca="false">IF(ISNUMBER(B11),IF(L11&lt;AE11,J11*'13_Mapa_Liq'!$C$19,0),0)</f>
        <v>0</v>
      </c>
      <c r="AG11" s="151"/>
      <c r="AH11" s="151" t="n">
        <f aca="false">IF(ISNUMBER(B11),E11*F11*((K11&lt;=M11)*'13_Mapa_Liq'!$C$15+(K11&lt;=Q11)*'13_Mapa_Liq'!$C$16+(K11&lt;=U11)*'13_Mapa_Liq'!$C$17+(K11&lt;=Y11)*'13_Mapa_Liq'!$C$18+(K11&lt;=AC11)*'13_Mapa_Liq'!$C$19),0)</f>
        <v>0</v>
      </c>
      <c r="AI11" s="151" t="n">
        <f aca="false">IF(ISNUMBER(B11),E11*(1-F11)*((L11&gt;=O11)*'13_Mapa_Liq'!$C$15+(L11&gt;=S11)*'13_Mapa_Liq'!$C$16+(L11&gt;=W11)*'13_Mapa_Liq'!$C$17+(L11&gt;=AA11)*'13_Mapa_Liq'!$C$18+(L11&gt;=AE11)*'13_Mapa_Liq'!$C$19),0)</f>
        <v>0</v>
      </c>
    </row>
    <row r="12" customFormat="false" ht="15" hidden="false" customHeight="false" outlineLevel="0" collapsed="false">
      <c r="A12" s="151" t="str">
        <f aca="false">IF(ISNUMBER('12_Datos_5m'!F12),ROW()-4,"")</f>
        <v/>
      </c>
      <c r="B12" s="151" t="str">
        <f aca="false">IF(ISNUMBER('12_Datos_5m'!F12),'12_Datos_5m'!F12,"")</f>
        <v/>
      </c>
      <c r="C12" s="151" t="str">
        <f aca="false">IF(ISNUMBER('12_Datos_5m'!A12),'12_Datos_5m'!A12,"")</f>
        <v/>
      </c>
      <c r="D12" s="151" t="n">
        <f aca="false">IF(AND(ISNUMBER('12_Datos_5m'!I12),ISNUMBER('12_Datos_5m'!I11)),'12_Datos_5m'!I12-'12_Datos_5m'!I11,0)</f>
        <v>0</v>
      </c>
      <c r="E12" s="151" t="n">
        <f aca="false">MAX(0,D12)</f>
        <v>0</v>
      </c>
      <c r="F12" s="151" t="n">
        <f aca="false">IF(AND(ISNUMBER('12_Datos_5m'!G12),N('12_Datos_5m'!G12)&gt;0),'12_Datos_5m'!H12/'12_Datos_5m'!G12,0.5)</f>
        <v>0.5</v>
      </c>
      <c r="G12" s="151" t="n">
        <f aca="false">IF(ISNUMBER(C12),($C$2-C12)/3600000,0)</f>
        <v>0</v>
      </c>
      <c r="H12" s="151" t="n">
        <f aca="false">EXP(-G12/'13_Mapa_Liq'!$B$7)</f>
        <v>1</v>
      </c>
      <c r="I12" s="151" t="n">
        <f aca="false">E12*F12*H12</f>
        <v>0</v>
      </c>
      <c r="J12" s="151" t="n">
        <f aca="false">E12*(1-F12)*H12</f>
        <v>0</v>
      </c>
      <c r="K12" s="151" t="n">
        <f aca="false">IF(COUNT('12_Datos_5m'!E13:E$504)=0,1000000000000,MIN('12_Datos_5m'!E13:E$504))</f>
        <v>1000000000000</v>
      </c>
      <c r="L12" s="151" t="n">
        <f aca="false">IF(COUNT('12_Datos_5m'!D13:D$504)=0,0,MAX('12_Datos_5m'!D13:D$504))</f>
        <v>0</v>
      </c>
      <c r="M12" s="151" t="str">
        <f aca="false">IF(ISNUMBER(B12),B12*(1-1/'13_Mapa_Liq'!$B$15+'13_Mapa_Liq'!$B$6),"")</f>
        <v/>
      </c>
      <c r="N12" s="151" t="n">
        <f aca="false">IF(ISNUMBER(B12),IF(K12&gt;M12,I12*'13_Mapa_Liq'!$C$15,0),0)</f>
        <v>0</v>
      </c>
      <c r="O12" s="151" t="str">
        <f aca="false">IF(ISNUMBER(B12),B12*(1+1/'13_Mapa_Liq'!$B$15-'13_Mapa_Liq'!$B$6),"")</f>
        <v/>
      </c>
      <c r="P12" s="151" t="n">
        <f aca="false">IF(ISNUMBER(B12),IF(L12&lt;O12,J12*'13_Mapa_Liq'!$C$15,0),0)</f>
        <v>0</v>
      </c>
      <c r="Q12" s="151" t="str">
        <f aca="false">IF(ISNUMBER(B12),B12*(1-1/'13_Mapa_Liq'!$B$16+'13_Mapa_Liq'!$B$6),"")</f>
        <v/>
      </c>
      <c r="R12" s="151" t="n">
        <f aca="false">IF(ISNUMBER(B12),IF(K12&gt;Q12,I12*'13_Mapa_Liq'!$C$16,0),0)</f>
        <v>0</v>
      </c>
      <c r="S12" s="151" t="str">
        <f aca="false">IF(ISNUMBER(B12),B12*(1+1/'13_Mapa_Liq'!$B$16-'13_Mapa_Liq'!$B$6),"")</f>
        <v/>
      </c>
      <c r="T12" s="151" t="n">
        <f aca="false">IF(ISNUMBER(B12),IF(L12&lt;S12,J12*'13_Mapa_Liq'!$C$16,0),0)</f>
        <v>0</v>
      </c>
      <c r="U12" s="151" t="str">
        <f aca="false">IF(ISNUMBER(B12),B12*(1-1/'13_Mapa_Liq'!$B$17+'13_Mapa_Liq'!$B$6),"")</f>
        <v/>
      </c>
      <c r="V12" s="151" t="n">
        <f aca="false">IF(ISNUMBER(B12),IF(K12&gt;U12,I12*'13_Mapa_Liq'!$C$17,0),0)</f>
        <v>0</v>
      </c>
      <c r="W12" s="151" t="str">
        <f aca="false">IF(ISNUMBER(B12),B12*(1+1/'13_Mapa_Liq'!$B$17-'13_Mapa_Liq'!$B$6),"")</f>
        <v/>
      </c>
      <c r="X12" s="151" t="n">
        <f aca="false">IF(ISNUMBER(B12),IF(L12&lt;W12,J12*'13_Mapa_Liq'!$C$17,0),0)</f>
        <v>0</v>
      </c>
      <c r="Y12" s="151" t="str">
        <f aca="false">IF(ISNUMBER(B12),B12*(1-1/'13_Mapa_Liq'!$B$18+'13_Mapa_Liq'!$B$6),"")</f>
        <v/>
      </c>
      <c r="Z12" s="151" t="n">
        <f aca="false">IF(ISNUMBER(B12),IF(K12&gt;Y12,I12*'13_Mapa_Liq'!$C$18,0),0)</f>
        <v>0</v>
      </c>
      <c r="AA12" s="151" t="str">
        <f aca="false">IF(ISNUMBER(B12),B12*(1+1/'13_Mapa_Liq'!$B$18-'13_Mapa_Liq'!$B$6),"")</f>
        <v/>
      </c>
      <c r="AB12" s="151" t="n">
        <f aca="false">IF(ISNUMBER(B12),IF(L12&lt;AA12,J12*'13_Mapa_Liq'!$C$18,0),0)</f>
        <v>0</v>
      </c>
      <c r="AC12" s="151" t="str">
        <f aca="false">IF(ISNUMBER(B12),B12*(1-1/'13_Mapa_Liq'!$B$19+'13_Mapa_Liq'!$B$6),"")</f>
        <v/>
      </c>
      <c r="AD12" s="151" t="n">
        <f aca="false">IF(ISNUMBER(B12),IF(K12&gt;AC12,I12*'13_Mapa_Liq'!$C$19,0),0)</f>
        <v>0</v>
      </c>
      <c r="AE12" s="151" t="str">
        <f aca="false">IF(ISNUMBER(B12),B12*(1+1/'13_Mapa_Liq'!$B$19-'13_Mapa_Liq'!$B$6),"")</f>
        <v/>
      </c>
      <c r="AF12" s="151" t="n">
        <f aca="false">IF(ISNUMBER(B12),IF(L12&lt;AE12,J12*'13_Mapa_Liq'!$C$19,0),0)</f>
        <v>0</v>
      </c>
      <c r="AG12" s="151"/>
      <c r="AH12" s="151" t="n">
        <f aca="false">IF(ISNUMBER(B12),E12*F12*((K12&lt;=M12)*'13_Mapa_Liq'!$C$15+(K12&lt;=Q12)*'13_Mapa_Liq'!$C$16+(K12&lt;=U12)*'13_Mapa_Liq'!$C$17+(K12&lt;=Y12)*'13_Mapa_Liq'!$C$18+(K12&lt;=AC12)*'13_Mapa_Liq'!$C$19),0)</f>
        <v>0</v>
      </c>
      <c r="AI12" s="151" t="n">
        <f aca="false">IF(ISNUMBER(B12),E12*(1-F12)*((L12&gt;=O12)*'13_Mapa_Liq'!$C$15+(L12&gt;=S12)*'13_Mapa_Liq'!$C$16+(L12&gt;=W12)*'13_Mapa_Liq'!$C$17+(L12&gt;=AA12)*'13_Mapa_Liq'!$C$18+(L12&gt;=AE12)*'13_Mapa_Liq'!$C$19),0)</f>
        <v>0</v>
      </c>
    </row>
    <row r="13" customFormat="false" ht="15" hidden="false" customHeight="false" outlineLevel="0" collapsed="false">
      <c r="A13" s="151" t="str">
        <f aca="false">IF(ISNUMBER('12_Datos_5m'!F13),ROW()-4,"")</f>
        <v/>
      </c>
      <c r="B13" s="151" t="str">
        <f aca="false">IF(ISNUMBER('12_Datos_5m'!F13),'12_Datos_5m'!F13,"")</f>
        <v/>
      </c>
      <c r="C13" s="151" t="str">
        <f aca="false">IF(ISNUMBER('12_Datos_5m'!A13),'12_Datos_5m'!A13,"")</f>
        <v/>
      </c>
      <c r="D13" s="151" t="n">
        <f aca="false">IF(AND(ISNUMBER('12_Datos_5m'!I13),ISNUMBER('12_Datos_5m'!I12)),'12_Datos_5m'!I13-'12_Datos_5m'!I12,0)</f>
        <v>0</v>
      </c>
      <c r="E13" s="151" t="n">
        <f aca="false">MAX(0,D13)</f>
        <v>0</v>
      </c>
      <c r="F13" s="151" t="n">
        <f aca="false">IF(AND(ISNUMBER('12_Datos_5m'!G13),N('12_Datos_5m'!G13)&gt;0),'12_Datos_5m'!H13/'12_Datos_5m'!G13,0.5)</f>
        <v>0.5</v>
      </c>
      <c r="G13" s="151" t="n">
        <f aca="false">IF(ISNUMBER(C13),($C$2-C13)/3600000,0)</f>
        <v>0</v>
      </c>
      <c r="H13" s="151" t="n">
        <f aca="false">EXP(-G13/'13_Mapa_Liq'!$B$7)</f>
        <v>1</v>
      </c>
      <c r="I13" s="151" t="n">
        <f aca="false">E13*F13*H13</f>
        <v>0</v>
      </c>
      <c r="J13" s="151" t="n">
        <f aca="false">E13*(1-F13)*H13</f>
        <v>0</v>
      </c>
      <c r="K13" s="151" t="n">
        <f aca="false">IF(COUNT('12_Datos_5m'!E14:E$504)=0,1000000000000,MIN('12_Datos_5m'!E14:E$504))</f>
        <v>1000000000000</v>
      </c>
      <c r="L13" s="151" t="n">
        <f aca="false">IF(COUNT('12_Datos_5m'!D14:D$504)=0,0,MAX('12_Datos_5m'!D14:D$504))</f>
        <v>0</v>
      </c>
      <c r="M13" s="151" t="str">
        <f aca="false">IF(ISNUMBER(B13),B13*(1-1/'13_Mapa_Liq'!$B$15+'13_Mapa_Liq'!$B$6),"")</f>
        <v/>
      </c>
      <c r="N13" s="151" t="n">
        <f aca="false">IF(ISNUMBER(B13),IF(K13&gt;M13,I13*'13_Mapa_Liq'!$C$15,0),0)</f>
        <v>0</v>
      </c>
      <c r="O13" s="151" t="str">
        <f aca="false">IF(ISNUMBER(B13),B13*(1+1/'13_Mapa_Liq'!$B$15-'13_Mapa_Liq'!$B$6),"")</f>
        <v/>
      </c>
      <c r="P13" s="151" t="n">
        <f aca="false">IF(ISNUMBER(B13),IF(L13&lt;O13,J13*'13_Mapa_Liq'!$C$15,0),0)</f>
        <v>0</v>
      </c>
      <c r="Q13" s="151" t="str">
        <f aca="false">IF(ISNUMBER(B13),B13*(1-1/'13_Mapa_Liq'!$B$16+'13_Mapa_Liq'!$B$6),"")</f>
        <v/>
      </c>
      <c r="R13" s="151" t="n">
        <f aca="false">IF(ISNUMBER(B13),IF(K13&gt;Q13,I13*'13_Mapa_Liq'!$C$16,0),0)</f>
        <v>0</v>
      </c>
      <c r="S13" s="151" t="str">
        <f aca="false">IF(ISNUMBER(B13),B13*(1+1/'13_Mapa_Liq'!$B$16-'13_Mapa_Liq'!$B$6),"")</f>
        <v/>
      </c>
      <c r="T13" s="151" t="n">
        <f aca="false">IF(ISNUMBER(B13),IF(L13&lt;S13,J13*'13_Mapa_Liq'!$C$16,0),0)</f>
        <v>0</v>
      </c>
      <c r="U13" s="151" t="str">
        <f aca="false">IF(ISNUMBER(B13),B13*(1-1/'13_Mapa_Liq'!$B$17+'13_Mapa_Liq'!$B$6),"")</f>
        <v/>
      </c>
      <c r="V13" s="151" t="n">
        <f aca="false">IF(ISNUMBER(B13),IF(K13&gt;U13,I13*'13_Mapa_Liq'!$C$17,0),0)</f>
        <v>0</v>
      </c>
      <c r="W13" s="151" t="str">
        <f aca="false">IF(ISNUMBER(B13),B13*(1+1/'13_Mapa_Liq'!$B$17-'13_Mapa_Liq'!$B$6),"")</f>
        <v/>
      </c>
      <c r="X13" s="151" t="n">
        <f aca="false">IF(ISNUMBER(B13),IF(L13&lt;W13,J13*'13_Mapa_Liq'!$C$17,0),0)</f>
        <v>0</v>
      </c>
      <c r="Y13" s="151" t="str">
        <f aca="false">IF(ISNUMBER(B13),B13*(1-1/'13_Mapa_Liq'!$B$18+'13_Mapa_Liq'!$B$6),"")</f>
        <v/>
      </c>
      <c r="Z13" s="151" t="n">
        <f aca="false">IF(ISNUMBER(B13),IF(K13&gt;Y13,I13*'13_Mapa_Liq'!$C$18,0),0)</f>
        <v>0</v>
      </c>
      <c r="AA13" s="151" t="str">
        <f aca="false">IF(ISNUMBER(B13),B13*(1+1/'13_Mapa_Liq'!$B$18-'13_Mapa_Liq'!$B$6),"")</f>
        <v/>
      </c>
      <c r="AB13" s="151" t="n">
        <f aca="false">IF(ISNUMBER(B13),IF(L13&lt;AA13,J13*'13_Mapa_Liq'!$C$18,0),0)</f>
        <v>0</v>
      </c>
      <c r="AC13" s="151" t="str">
        <f aca="false">IF(ISNUMBER(B13),B13*(1-1/'13_Mapa_Liq'!$B$19+'13_Mapa_Liq'!$B$6),"")</f>
        <v/>
      </c>
      <c r="AD13" s="151" t="n">
        <f aca="false">IF(ISNUMBER(B13),IF(K13&gt;AC13,I13*'13_Mapa_Liq'!$C$19,0),0)</f>
        <v>0</v>
      </c>
      <c r="AE13" s="151" t="str">
        <f aca="false">IF(ISNUMBER(B13),B13*(1+1/'13_Mapa_Liq'!$B$19-'13_Mapa_Liq'!$B$6),"")</f>
        <v/>
      </c>
      <c r="AF13" s="151" t="n">
        <f aca="false">IF(ISNUMBER(B13),IF(L13&lt;AE13,J13*'13_Mapa_Liq'!$C$19,0),0)</f>
        <v>0</v>
      </c>
      <c r="AG13" s="151"/>
      <c r="AH13" s="151" t="n">
        <f aca="false">IF(ISNUMBER(B13),E13*F13*((K13&lt;=M13)*'13_Mapa_Liq'!$C$15+(K13&lt;=Q13)*'13_Mapa_Liq'!$C$16+(K13&lt;=U13)*'13_Mapa_Liq'!$C$17+(K13&lt;=Y13)*'13_Mapa_Liq'!$C$18+(K13&lt;=AC13)*'13_Mapa_Liq'!$C$19),0)</f>
        <v>0</v>
      </c>
      <c r="AI13" s="151" t="n">
        <f aca="false">IF(ISNUMBER(B13),E13*(1-F13)*((L13&gt;=O13)*'13_Mapa_Liq'!$C$15+(L13&gt;=S13)*'13_Mapa_Liq'!$C$16+(L13&gt;=W13)*'13_Mapa_Liq'!$C$17+(L13&gt;=AA13)*'13_Mapa_Liq'!$C$18+(L13&gt;=AE13)*'13_Mapa_Liq'!$C$19),0)</f>
        <v>0</v>
      </c>
    </row>
    <row r="14" customFormat="false" ht="15" hidden="false" customHeight="false" outlineLevel="0" collapsed="false">
      <c r="A14" s="151" t="str">
        <f aca="false">IF(ISNUMBER('12_Datos_5m'!F14),ROW()-4,"")</f>
        <v/>
      </c>
      <c r="B14" s="151" t="str">
        <f aca="false">IF(ISNUMBER('12_Datos_5m'!F14),'12_Datos_5m'!F14,"")</f>
        <v/>
      </c>
      <c r="C14" s="151" t="str">
        <f aca="false">IF(ISNUMBER('12_Datos_5m'!A14),'12_Datos_5m'!A14,"")</f>
        <v/>
      </c>
      <c r="D14" s="151" t="n">
        <f aca="false">IF(AND(ISNUMBER('12_Datos_5m'!I14),ISNUMBER('12_Datos_5m'!I13)),'12_Datos_5m'!I14-'12_Datos_5m'!I13,0)</f>
        <v>0</v>
      </c>
      <c r="E14" s="151" t="n">
        <f aca="false">MAX(0,D14)</f>
        <v>0</v>
      </c>
      <c r="F14" s="151" t="n">
        <f aca="false">IF(AND(ISNUMBER('12_Datos_5m'!G14),N('12_Datos_5m'!G14)&gt;0),'12_Datos_5m'!H14/'12_Datos_5m'!G14,0.5)</f>
        <v>0.5</v>
      </c>
      <c r="G14" s="151" t="n">
        <f aca="false">IF(ISNUMBER(C14),($C$2-C14)/3600000,0)</f>
        <v>0</v>
      </c>
      <c r="H14" s="151" t="n">
        <f aca="false">EXP(-G14/'13_Mapa_Liq'!$B$7)</f>
        <v>1</v>
      </c>
      <c r="I14" s="151" t="n">
        <f aca="false">E14*F14*H14</f>
        <v>0</v>
      </c>
      <c r="J14" s="151" t="n">
        <f aca="false">E14*(1-F14)*H14</f>
        <v>0</v>
      </c>
      <c r="K14" s="151" t="n">
        <f aca="false">IF(COUNT('12_Datos_5m'!E15:E$504)=0,1000000000000,MIN('12_Datos_5m'!E15:E$504))</f>
        <v>1000000000000</v>
      </c>
      <c r="L14" s="151" t="n">
        <f aca="false">IF(COUNT('12_Datos_5m'!D15:D$504)=0,0,MAX('12_Datos_5m'!D15:D$504))</f>
        <v>0</v>
      </c>
      <c r="M14" s="151" t="str">
        <f aca="false">IF(ISNUMBER(B14),B14*(1-1/'13_Mapa_Liq'!$B$15+'13_Mapa_Liq'!$B$6),"")</f>
        <v/>
      </c>
      <c r="N14" s="151" t="n">
        <f aca="false">IF(ISNUMBER(B14),IF(K14&gt;M14,I14*'13_Mapa_Liq'!$C$15,0),0)</f>
        <v>0</v>
      </c>
      <c r="O14" s="151" t="str">
        <f aca="false">IF(ISNUMBER(B14),B14*(1+1/'13_Mapa_Liq'!$B$15-'13_Mapa_Liq'!$B$6),"")</f>
        <v/>
      </c>
      <c r="P14" s="151" t="n">
        <f aca="false">IF(ISNUMBER(B14),IF(L14&lt;O14,J14*'13_Mapa_Liq'!$C$15,0),0)</f>
        <v>0</v>
      </c>
      <c r="Q14" s="151" t="str">
        <f aca="false">IF(ISNUMBER(B14),B14*(1-1/'13_Mapa_Liq'!$B$16+'13_Mapa_Liq'!$B$6),"")</f>
        <v/>
      </c>
      <c r="R14" s="151" t="n">
        <f aca="false">IF(ISNUMBER(B14),IF(K14&gt;Q14,I14*'13_Mapa_Liq'!$C$16,0),0)</f>
        <v>0</v>
      </c>
      <c r="S14" s="151" t="str">
        <f aca="false">IF(ISNUMBER(B14),B14*(1+1/'13_Mapa_Liq'!$B$16-'13_Mapa_Liq'!$B$6),"")</f>
        <v/>
      </c>
      <c r="T14" s="151" t="n">
        <f aca="false">IF(ISNUMBER(B14),IF(L14&lt;S14,J14*'13_Mapa_Liq'!$C$16,0),0)</f>
        <v>0</v>
      </c>
      <c r="U14" s="151" t="str">
        <f aca="false">IF(ISNUMBER(B14),B14*(1-1/'13_Mapa_Liq'!$B$17+'13_Mapa_Liq'!$B$6),"")</f>
        <v/>
      </c>
      <c r="V14" s="151" t="n">
        <f aca="false">IF(ISNUMBER(B14),IF(K14&gt;U14,I14*'13_Mapa_Liq'!$C$17,0),0)</f>
        <v>0</v>
      </c>
      <c r="W14" s="151" t="str">
        <f aca="false">IF(ISNUMBER(B14),B14*(1+1/'13_Mapa_Liq'!$B$17-'13_Mapa_Liq'!$B$6),"")</f>
        <v/>
      </c>
      <c r="X14" s="151" t="n">
        <f aca="false">IF(ISNUMBER(B14),IF(L14&lt;W14,J14*'13_Mapa_Liq'!$C$17,0),0)</f>
        <v>0</v>
      </c>
      <c r="Y14" s="151" t="str">
        <f aca="false">IF(ISNUMBER(B14),B14*(1-1/'13_Mapa_Liq'!$B$18+'13_Mapa_Liq'!$B$6),"")</f>
        <v/>
      </c>
      <c r="Z14" s="151" t="n">
        <f aca="false">IF(ISNUMBER(B14),IF(K14&gt;Y14,I14*'13_Mapa_Liq'!$C$18,0),0)</f>
        <v>0</v>
      </c>
      <c r="AA14" s="151" t="str">
        <f aca="false">IF(ISNUMBER(B14),B14*(1+1/'13_Mapa_Liq'!$B$18-'13_Mapa_Liq'!$B$6),"")</f>
        <v/>
      </c>
      <c r="AB14" s="151" t="n">
        <f aca="false">IF(ISNUMBER(B14),IF(L14&lt;AA14,J14*'13_Mapa_Liq'!$C$18,0),0)</f>
        <v>0</v>
      </c>
      <c r="AC14" s="151" t="str">
        <f aca="false">IF(ISNUMBER(B14),B14*(1-1/'13_Mapa_Liq'!$B$19+'13_Mapa_Liq'!$B$6),"")</f>
        <v/>
      </c>
      <c r="AD14" s="151" t="n">
        <f aca="false">IF(ISNUMBER(B14),IF(K14&gt;AC14,I14*'13_Mapa_Liq'!$C$19,0),0)</f>
        <v>0</v>
      </c>
      <c r="AE14" s="151" t="str">
        <f aca="false">IF(ISNUMBER(B14),B14*(1+1/'13_Mapa_Liq'!$B$19-'13_Mapa_Liq'!$B$6),"")</f>
        <v/>
      </c>
      <c r="AF14" s="151" t="n">
        <f aca="false">IF(ISNUMBER(B14),IF(L14&lt;AE14,J14*'13_Mapa_Liq'!$C$19,0),0)</f>
        <v>0</v>
      </c>
      <c r="AG14" s="151"/>
      <c r="AH14" s="151" t="n">
        <f aca="false">IF(ISNUMBER(B14),E14*F14*((K14&lt;=M14)*'13_Mapa_Liq'!$C$15+(K14&lt;=Q14)*'13_Mapa_Liq'!$C$16+(K14&lt;=U14)*'13_Mapa_Liq'!$C$17+(K14&lt;=Y14)*'13_Mapa_Liq'!$C$18+(K14&lt;=AC14)*'13_Mapa_Liq'!$C$19),0)</f>
        <v>0</v>
      </c>
      <c r="AI14" s="151" t="n">
        <f aca="false">IF(ISNUMBER(B14),E14*(1-F14)*((L14&gt;=O14)*'13_Mapa_Liq'!$C$15+(L14&gt;=S14)*'13_Mapa_Liq'!$C$16+(L14&gt;=W14)*'13_Mapa_Liq'!$C$17+(L14&gt;=AA14)*'13_Mapa_Liq'!$C$18+(L14&gt;=AE14)*'13_Mapa_Liq'!$C$19),0)</f>
        <v>0</v>
      </c>
    </row>
    <row r="15" customFormat="false" ht="15" hidden="false" customHeight="false" outlineLevel="0" collapsed="false">
      <c r="A15" s="151" t="str">
        <f aca="false">IF(ISNUMBER('12_Datos_5m'!F15),ROW()-4,"")</f>
        <v/>
      </c>
      <c r="B15" s="151" t="str">
        <f aca="false">IF(ISNUMBER('12_Datos_5m'!F15),'12_Datos_5m'!F15,"")</f>
        <v/>
      </c>
      <c r="C15" s="151" t="str">
        <f aca="false">IF(ISNUMBER('12_Datos_5m'!A15),'12_Datos_5m'!A15,"")</f>
        <v/>
      </c>
      <c r="D15" s="151" t="n">
        <f aca="false">IF(AND(ISNUMBER('12_Datos_5m'!I15),ISNUMBER('12_Datos_5m'!I14)),'12_Datos_5m'!I15-'12_Datos_5m'!I14,0)</f>
        <v>0</v>
      </c>
      <c r="E15" s="151" t="n">
        <f aca="false">MAX(0,D15)</f>
        <v>0</v>
      </c>
      <c r="F15" s="151" t="n">
        <f aca="false">IF(AND(ISNUMBER('12_Datos_5m'!G15),N('12_Datos_5m'!G15)&gt;0),'12_Datos_5m'!H15/'12_Datos_5m'!G15,0.5)</f>
        <v>0.5</v>
      </c>
      <c r="G15" s="151" t="n">
        <f aca="false">IF(ISNUMBER(C15),($C$2-C15)/3600000,0)</f>
        <v>0</v>
      </c>
      <c r="H15" s="151" t="n">
        <f aca="false">EXP(-G15/'13_Mapa_Liq'!$B$7)</f>
        <v>1</v>
      </c>
      <c r="I15" s="151" t="n">
        <f aca="false">E15*F15*H15</f>
        <v>0</v>
      </c>
      <c r="J15" s="151" t="n">
        <f aca="false">E15*(1-F15)*H15</f>
        <v>0</v>
      </c>
      <c r="K15" s="151" t="n">
        <f aca="false">IF(COUNT('12_Datos_5m'!E16:E$504)=0,1000000000000,MIN('12_Datos_5m'!E16:E$504))</f>
        <v>1000000000000</v>
      </c>
      <c r="L15" s="151" t="n">
        <f aca="false">IF(COUNT('12_Datos_5m'!D16:D$504)=0,0,MAX('12_Datos_5m'!D16:D$504))</f>
        <v>0</v>
      </c>
      <c r="M15" s="151" t="str">
        <f aca="false">IF(ISNUMBER(B15),B15*(1-1/'13_Mapa_Liq'!$B$15+'13_Mapa_Liq'!$B$6),"")</f>
        <v/>
      </c>
      <c r="N15" s="151" t="n">
        <f aca="false">IF(ISNUMBER(B15),IF(K15&gt;M15,I15*'13_Mapa_Liq'!$C$15,0),0)</f>
        <v>0</v>
      </c>
      <c r="O15" s="151" t="str">
        <f aca="false">IF(ISNUMBER(B15),B15*(1+1/'13_Mapa_Liq'!$B$15-'13_Mapa_Liq'!$B$6),"")</f>
        <v/>
      </c>
      <c r="P15" s="151" t="n">
        <f aca="false">IF(ISNUMBER(B15),IF(L15&lt;O15,J15*'13_Mapa_Liq'!$C$15,0),0)</f>
        <v>0</v>
      </c>
      <c r="Q15" s="151" t="str">
        <f aca="false">IF(ISNUMBER(B15),B15*(1-1/'13_Mapa_Liq'!$B$16+'13_Mapa_Liq'!$B$6),"")</f>
        <v/>
      </c>
      <c r="R15" s="151" t="n">
        <f aca="false">IF(ISNUMBER(B15),IF(K15&gt;Q15,I15*'13_Mapa_Liq'!$C$16,0),0)</f>
        <v>0</v>
      </c>
      <c r="S15" s="151" t="str">
        <f aca="false">IF(ISNUMBER(B15),B15*(1+1/'13_Mapa_Liq'!$B$16-'13_Mapa_Liq'!$B$6),"")</f>
        <v/>
      </c>
      <c r="T15" s="151" t="n">
        <f aca="false">IF(ISNUMBER(B15),IF(L15&lt;S15,J15*'13_Mapa_Liq'!$C$16,0),0)</f>
        <v>0</v>
      </c>
      <c r="U15" s="151" t="str">
        <f aca="false">IF(ISNUMBER(B15),B15*(1-1/'13_Mapa_Liq'!$B$17+'13_Mapa_Liq'!$B$6),"")</f>
        <v/>
      </c>
      <c r="V15" s="151" t="n">
        <f aca="false">IF(ISNUMBER(B15),IF(K15&gt;U15,I15*'13_Mapa_Liq'!$C$17,0),0)</f>
        <v>0</v>
      </c>
      <c r="W15" s="151" t="str">
        <f aca="false">IF(ISNUMBER(B15),B15*(1+1/'13_Mapa_Liq'!$B$17-'13_Mapa_Liq'!$B$6),"")</f>
        <v/>
      </c>
      <c r="X15" s="151" t="n">
        <f aca="false">IF(ISNUMBER(B15),IF(L15&lt;W15,J15*'13_Mapa_Liq'!$C$17,0),0)</f>
        <v>0</v>
      </c>
      <c r="Y15" s="151" t="str">
        <f aca="false">IF(ISNUMBER(B15),B15*(1-1/'13_Mapa_Liq'!$B$18+'13_Mapa_Liq'!$B$6),"")</f>
        <v/>
      </c>
      <c r="Z15" s="151" t="n">
        <f aca="false">IF(ISNUMBER(B15),IF(K15&gt;Y15,I15*'13_Mapa_Liq'!$C$18,0),0)</f>
        <v>0</v>
      </c>
      <c r="AA15" s="151" t="str">
        <f aca="false">IF(ISNUMBER(B15),B15*(1+1/'13_Mapa_Liq'!$B$18-'13_Mapa_Liq'!$B$6),"")</f>
        <v/>
      </c>
      <c r="AB15" s="151" t="n">
        <f aca="false">IF(ISNUMBER(B15),IF(L15&lt;AA15,J15*'13_Mapa_Liq'!$C$18,0),0)</f>
        <v>0</v>
      </c>
      <c r="AC15" s="151" t="str">
        <f aca="false">IF(ISNUMBER(B15),B15*(1-1/'13_Mapa_Liq'!$B$19+'13_Mapa_Liq'!$B$6),"")</f>
        <v/>
      </c>
      <c r="AD15" s="151" t="n">
        <f aca="false">IF(ISNUMBER(B15),IF(K15&gt;AC15,I15*'13_Mapa_Liq'!$C$19,0),0)</f>
        <v>0</v>
      </c>
      <c r="AE15" s="151" t="str">
        <f aca="false">IF(ISNUMBER(B15),B15*(1+1/'13_Mapa_Liq'!$B$19-'13_Mapa_Liq'!$B$6),"")</f>
        <v/>
      </c>
      <c r="AF15" s="151" t="n">
        <f aca="false">IF(ISNUMBER(B15),IF(L15&lt;AE15,J15*'13_Mapa_Liq'!$C$19,0),0)</f>
        <v>0</v>
      </c>
      <c r="AG15" s="151"/>
      <c r="AH15" s="151" t="n">
        <f aca="false">IF(ISNUMBER(B15),E15*F15*((K15&lt;=M15)*'13_Mapa_Liq'!$C$15+(K15&lt;=Q15)*'13_Mapa_Liq'!$C$16+(K15&lt;=U15)*'13_Mapa_Liq'!$C$17+(K15&lt;=Y15)*'13_Mapa_Liq'!$C$18+(K15&lt;=AC15)*'13_Mapa_Liq'!$C$19),0)</f>
        <v>0</v>
      </c>
      <c r="AI15" s="151" t="n">
        <f aca="false">IF(ISNUMBER(B15),E15*(1-F15)*((L15&gt;=O15)*'13_Mapa_Liq'!$C$15+(L15&gt;=S15)*'13_Mapa_Liq'!$C$16+(L15&gt;=W15)*'13_Mapa_Liq'!$C$17+(L15&gt;=AA15)*'13_Mapa_Liq'!$C$18+(L15&gt;=AE15)*'13_Mapa_Liq'!$C$19),0)</f>
        <v>0</v>
      </c>
    </row>
    <row r="16" customFormat="false" ht="15" hidden="false" customHeight="false" outlineLevel="0" collapsed="false">
      <c r="A16" s="151" t="str">
        <f aca="false">IF(ISNUMBER('12_Datos_5m'!F16),ROW()-4,"")</f>
        <v/>
      </c>
      <c r="B16" s="151" t="str">
        <f aca="false">IF(ISNUMBER('12_Datos_5m'!F16),'12_Datos_5m'!F16,"")</f>
        <v/>
      </c>
      <c r="C16" s="151" t="str">
        <f aca="false">IF(ISNUMBER('12_Datos_5m'!A16),'12_Datos_5m'!A16,"")</f>
        <v/>
      </c>
      <c r="D16" s="151" t="n">
        <f aca="false">IF(AND(ISNUMBER('12_Datos_5m'!I16),ISNUMBER('12_Datos_5m'!I15)),'12_Datos_5m'!I16-'12_Datos_5m'!I15,0)</f>
        <v>0</v>
      </c>
      <c r="E16" s="151" t="n">
        <f aca="false">MAX(0,D16)</f>
        <v>0</v>
      </c>
      <c r="F16" s="151" t="n">
        <f aca="false">IF(AND(ISNUMBER('12_Datos_5m'!G16),N('12_Datos_5m'!G16)&gt;0),'12_Datos_5m'!H16/'12_Datos_5m'!G16,0.5)</f>
        <v>0.5</v>
      </c>
      <c r="G16" s="151" t="n">
        <f aca="false">IF(ISNUMBER(C16),($C$2-C16)/3600000,0)</f>
        <v>0</v>
      </c>
      <c r="H16" s="151" t="n">
        <f aca="false">EXP(-G16/'13_Mapa_Liq'!$B$7)</f>
        <v>1</v>
      </c>
      <c r="I16" s="151" t="n">
        <f aca="false">E16*F16*H16</f>
        <v>0</v>
      </c>
      <c r="J16" s="151" t="n">
        <f aca="false">E16*(1-F16)*H16</f>
        <v>0</v>
      </c>
      <c r="K16" s="151" t="n">
        <f aca="false">IF(COUNT('12_Datos_5m'!E17:E$504)=0,1000000000000,MIN('12_Datos_5m'!E17:E$504))</f>
        <v>1000000000000</v>
      </c>
      <c r="L16" s="151" t="n">
        <f aca="false">IF(COUNT('12_Datos_5m'!D17:D$504)=0,0,MAX('12_Datos_5m'!D17:D$504))</f>
        <v>0</v>
      </c>
      <c r="M16" s="151" t="str">
        <f aca="false">IF(ISNUMBER(B16),B16*(1-1/'13_Mapa_Liq'!$B$15+'13_Mapa_Liq'!$B$6),"")</f>
        <v/>
      </c>
      <c r="N16" s="151" t="n">
        <f aca="false">IF(ISNUMBER(B16),IF(K16&gt;M16,I16*'13_Mapa_Liq'!$C$15,0),0)</f>
        <v>0</v>
      </c>
      <c r="O16" s="151" t="str">
        <f aca="false">IF(ISNUMBER(B16),B16*(1+1/'13_Mapa_Liq'!$B$15-'13_Mapa_Liq'!$B$6),"")</f>
        <v/>
      </c>
      <c r="P16" s="151" t="n">
        <f aca="false">IF(ISNUMBER(B16),IF(L16&lt;O16,J16*'13_Mapa_Liq'!$C$15,0),0)</f>
        <v>0</v>
      </c>
      <c r="Q16" s="151" t="str">
        <f aca="false">IF(ISNUMBER(B16),B16*(1-1/'13_Mapa_Liq'!$B$16+'13_Mapa_Liq'!$B$6),"")</f>
        <v/>
      </c>
      <c r="R16" s="151" t="n">
        <f aca="false">IF(ISNUMBER(B16),IF(K16&gt;Q16,I16*'13_Mapa_Liq'!$C$16,0),0)</f>
        <v>0</v>
      </c>
      <c r="S16" s="151" t="str">
        <f aca="false">IF(ISNUMBER(B16),B16*(1+1/'13_Mapa_Liq'!$B$16-'13_Mapa_Liq'!$B$6),"")</f>
        <v/>
      </c>
      <c r="T16" s="151" t="n">
        <f aca="false">IF(ISNUMBER(B16),IF(L16&lt;S16,J16*'13_Mapa_Liq'!$C$16,0),0)</f>
        <v>0</v>
      </c>
      <c r="U16" s="151" t="str">
        <f aca="false">IF(ISNUMBER(B16),B16*(1-1/'13_Mapa_Liq'!$B$17+'13_Mapa_Liq'!$B$6),"")</f>
        <v/>
      </c>
      <c r="V16" s="151" t="n">
        <f aca="false">IF(ISNUMBER(B16),IF(K16&gt;U16,I16*'13_Mapa_Liq'!$C$17,0),0)</f>
        <v>0</v>
      </c>
      <c r="W16" s="151" t="str">
        <f aca="false">IF(ISNUMBER(B16),B16*(1+1/'13_Mapa_Liq'!$B$17-'13_Mapa_Liq'!$B$6),"")</f>
        <v/>
      </c>
      <c r="X16" s="151" t="n">
        <f aca="false">IF(ISNUMBER(B16),IF(L16&lt;W16,J16*'13_Mapa_Liq'!$C$17,0),0)</f>
        <v>0</v>
      </c>
      <c r="Y16" s="151" t="str">
        <f aca="false">IF(ISNUMBER(B16),B16*(1-1/'13_Mapa_Liq'!$B$18+'13_Mapa_Liq'!$B$6),"")</f>
        <v/>
      </c>
      <c r="Z16" s="151" t="n">
        <f aca="false">IF(ISNUMBER(B16),IF(K16&gt;Y16,I16*'13_Mapa_Liq'!$C$18,0),0)</f>
        <v>0</v>
      </c>
      <c r="AA16" s="151" t="str">
        <f aca="false">IF(ISNUMBER(B16),B16*(1+1/'13_Mapa_Liq'!$B$18-'13_Mapa_Liq'!$B$6),"")</f>
        <v/>
      </c>
      <c r="AB16" s="151" t="n">
        <f aca="false">IF(ISNUMBER(B16),IF(L16&lt;AA16,J16*'13_Mapa_Liq'!$C$18,0),0)</f>
        <v>0</v>
      </c>
      <c r="AC16" s="151" t="str">
        <f aca="false">IF(ISNUMBER(B16),B16*(1-1/'13_Mapa_Liq'!$B$19+'13_Mapa_Liq'!$B$6),"")</f>
        <v/>
      </c>
      <c r="AD16" s="151" t="n">
        <f aca="false">IF(ISNUMBER(B16),IF(K16&gt;AC16,I16*'13_Mapa_Liq'!$C$19,0),0)</f>
        <v>0</v>
      </c>
      <c r="AE16" s="151" t="str">
        <f aca="false">IF(ISNUMBER(B16),B16*(1+1/'13_Mapa_Liq'!$B$19-'13_Mapa_Liq'!$B$6),"")</f>
        <v/>
      </c>
      <c r="AF16" s="151" t="n">
        <f aca="false">IF(ISNUMBER(B16),IF(L16&lt;AE16,J16*'13_Mapa_Liq'!$C$19,0),0)</f>
        <v>0</v>
      </c>
      <c r="AG16" s="151"/>
      <c r="AH16" s="151" t="n">
        <f aca="false">IF(ISNUMBER(B16),E16*F16*((K16&lt;=M16)*'13_Mapa_Liq'!$C$15+(K16&lt;=Q16)*'13_Mapa_Liq'!$C$16+(K16&lt;=U16)*'13_Mapa_Liq'!$C$17+(K16&lt;=Y16)*'13_Mapa_Liq'!$C$18+(K16&lt;=AC16)*'13_Mapa_Liq'!$C$19),0)</f>
        <v>0</v>
      </c>
      <c r="AI16" s="151" t="n">
        <f aca="false">IF(ISNUMBER(B16),E16*(1-F16)*((L16&gt;=O16)*'13_Mapa_Liq'!$C$15+(L16&gt;=S16)*'13_Mapa_Liq'!$C$16+(L16&gt;=W16)*'13_Mapa_Liq'!$C$17+(L16&gt;=AA16)*'13_Mapa_Liq'!$C$18+(L16&gt;=AE16)*'13_Mapa_Liq'!$C$19),0)</f>
        <v>0</v>
      </c>
    </row>
    <row r="17" customFormat="false" ht="15" hidden="false" customHeight="false" outlineLevel="0" collapsed="false">
      <c r="A17" s="151" t="str">
        <f aca="false">IF(ISNUMBER('12_Datos_5m'!F17),ROW()-4,"")</f>
        <v/>
      </c>
      <c r="B17" s="151" t="str">
        <f aca="false">IF(ISNUMBER('12_Datos_5m'!F17),'12_Datos_5m'!F17,"")</f>
        <v/>
      </c>
      <c r="C17" s="151" t="str">
        <f aca="false">IF(ISNUMBER('12_Datos_5m'!A17),'12_Datos_5m'!A17,"")</f>
        <v/>
      </c>
      <c r="D17" s="151" t="n">
        <f aca="false">IF(AND(ISNUMBER('12_Datos_5m'!I17),ISNUMBER('12_Datos_5m'!I16)),'12_Datos_5m'!I17-'12_Datos_5m'!I16,0)</f>
        <v>0</v>
      </c>
      <c r="E17" s="151" t="n">
        <f aca="false">MAX(0,D17)</f>
        <v>0</v>
      </c>
      <c r="F17" s="151" t="n">
        <f aca="false">IF(AND(ISNUMBER('12_Datos_5m'!G17),N('12_Datos_5m'!G17)&gt;0),'12_Datos_5m'!H17/'12_Datos_5m'!G17,0.5)</f>
        <v>0.5</v>
      </c>
      <c r="G17" s="151" t="n">
        <f aca="false">IF(ISNUMBER(C17),($C$2-C17)/3600000,0)</f>
        <v>0</v>
      </c>
      <c r="H17" s="151" t="n">
        <f aca="false">EXP(-G17/'13_Mapa_Liq'!$B$7)</f>
        <v>1</v>
      </c>
      <c r="I17" s="151" t="n">
        <f aca="false">E17*F17*H17</f>
        <v>0</v>
      </c>
      <c r="J17" s="151" t="n">
        <f aca="false">E17*(1-F17)*H17</f>
        <v>0</v>
      </c>
      <c r="K17" s="151" t="n">
        <f aca="false">IF(COUNT('12_Datos_5m'!E18:E$504)=0,1000000000000,MIN('12_Datos_5m'!E18:E$504))</f>
        <v>1000000000000</v>
      </c>
      <c r="L17" s="151" t="n">
        <f aca="false">IF(COUNT('12_Datos_5m'!D18:D$504)=0,0,MAX('12_Datos_5m'!D18:D$504))</f>
        <v>0</v>
      </c>
      <c r="M17" s="151" t="str">
        <f aca="false">IF(ISNUMBER(B17),B17*(1-1/'13_Mapa_Liq'!$B$15+'13_Mapa_Liq'!$B$6),"")</f>
        <v/>
      </c>
      <c r="N17" s="151" t="n">
        <f aca="false">IF(ISNUMBER(B17),IF(K17&gt;M17,I17*'13_Mapa_Liq'!$C$15,0),0)</f>
        <v>0</v>
      </c>
      <c r="O17" s="151" t="str">
        <f aca="false">IF(ISNUMBER(B17),B17*(1+1/'13_Mapa_Liq'!$B$15-'13_Mapa_Liq'!$B$6),"")</f>
        <v/>
      </c>
      <c r="P17" s="151" t="n">
        <f aca="false">IF(ISNUMBER(B17),IF(L17&lt;O17,J17*'13_Mapa_Liq'!$C$15,0),0)</f>
        <v>0</v>
      </c>
      <c r="Q17" s="151" t="str">
        <f aca="false">IF(ISNUMBER(B17),B17*(1-1/'13_Mapa_Liq'!$B$16+'13_Mapa_Liq'!$B$6),"")</f>
        <v/>
      </c>
      <c r="R17" s="151" t="n">
        <f aca="false">IF(ISNUMBER(B17),IF(K17&gt;Q17,I17*'13_Mapa_Liq'!$C$16,0),0)</f>
        <v>0</v>
      </c>
      <c r="S17" s="151" t="str">
        <f aca="false">IF(ISNUMBER(B17),B17*(1+1/'13_Mapa_Liq'!$B$16-'13_Mapa_Liq'!$B$6),"")</f>
        <v/>
      </c>
      <c r="T17" s="151" t="n">
        <f aca="false">IF(ISNUMBER(B17),IF(L17&lt;S17,J17*'13_Mapa_Liq'!$C$16,0),0)</f>
        <v>0</v>
      </c>
      <c r="U17" s="151" t="str">
        <f aca="false">IF(ISNUMBER(B17),B17*(1-1/'13_Mapa_Liq'!$B$17+'13_Mapa_Liq'!$B$6),"")</f>
        <v/>
      </c>
      <c r="V17" s="151" t="n">
        <f aca="false">IF(ISNUMBER(B17),IF(K17&gt;U17,I17*'13_Mapa_Liq'!$C$17,0),0)</f>
        <v>0</v>
      </c>
      <c r="W17" s="151" t="str">
        <f aca="false">IF(ISNUMBER(B17),B17*(1+1/'13_Mapa_Liq'!$B$17-'13_Mapa_Liq'!$B$6),"")</f>
        <v/>
      </c>
      <c r="X17" s="151" t="n">
        <f aca="false">IF(ISNUMBER(B17),IF(L17&lt;W17,J17*'13_Mapa_Liq'!$C$17,0),0)</f>
        <v>0</v>
      </c>
      <c r="Y17" s="151" t="str">
        <f aca="false">IF(ISNUMBER(B17),B17*(1-1/'13_Mapa_Liq'!$B$18+'13_Mapa_Liq'!$B$6),"")</f>
        <v/>
      </c>
      <c r="Z17" s="151" t="n">
        <f aca="false">IF(ISNUMBER(B17),IF(K17&gt;Y17,I17*'13_Mapa_Liq'!$C$18,0),0)</f>
        <v>0</v>
      </c>
      <c r="AA17" s="151" t="str">
        <f aca="false">IF(ISNUMBER(B17),B17*(1+1/'13_Mapa_Liq'!$B$18-'13_Mapa_Liq'!$B$6),"")</f>
        <v/>
      </c>
      <c r="AB17" s="151" t="n">
        <f aca="false">IF(ISNUMBER(B17),IF(L17&lt;AA17,J17*'13_Mapa_Liq'!$C$18,0),0)</f>
        <v>0</v>
      </c>
      <c r="AC17" s="151" t="str">
        <f aca="false">IF(ISNUMBER(B17),B17*(1-1/'13_Mapa_Liq'!$B$19+'13_Mapa_Liq'!$B$6),"")</f>
        <v/>
      </c>
      <c r="AD17" s="151" t="n">
        <f aca="false">IF(ISNUMBER(B17),IF(K17&gt;AC17,I17*'13_Mapa_Liq'!$C$19,0),0)</f>
        <v>0</v>
      </c>
      <c r="AE17" s="151" t="str">
        <f aca="false">IF(ISNUMBER(B17),B17*(1+1/'13_Mapa_Liq'!$B$19-'13_Mapa_Liq'!$B$6),"")</f>
        <v/>
      </c>
      <c r="AF17" s="151" t="n">
        <f aca="false">IF(ISNUMBER(B17),IF(L17&lt;AE17,J17*'13_Mapa_Liq'!$C$19,0),0)</f>
        <v>0</v>
      </c>
      <c r="AG17" s="151"/>
      <c r="AH17" s="151" t="n">
        <f aca="false">IF(ISNUMBER(B17),E17*F17*((K17&lt;=M17)*'13_Mapa_Liq'!$C$15+(K17&lt;=Q17)*'13_Mapa_Liq'!$C$16+(K17&lt;=U17)*'13_Mapa_Liq'!$C$17+(K17&lt;=Y17)*'13_Mapa_Liq'!$C$18+(K17&lt;=AC17)*'13_Mapa_Liq'!$C$19),0)</f>
        <v>0</v>
      </c>
      <c r="AI17" s="151" t="n">
        <f aca="false">IF(ISNUMBER(B17),E17*(1-F17)*((L17&gt;=O17)*'13_Mapa_Liq'!$C$15+(L17&gt;=S17)*'13_Mapa_Liq'!$C$16+(L17&gt;=W17)*'13_Mapa_Liq'!$C$17+(L17&gt;=AA17)*'13_Mapa_Liq'!$C$18+(L17&gt;=AE17)*'13_Mapa_Liq'!$C$19),0)</f>
        <v>0</v>
      </c>
    </row>
    <row r="18" customFormat="false" ht="15" hidden="false" customHeight="false" outlineLevel="0" collapsed="false">
      <c r="A18" s="151" t="str">
        <f aca="false">IF(ISNUMBER('12_Datos_5m'!F18),ROW()-4,"")</f>
        <v/>
      </c>
      <c r="B18" s="151" t="str">
        <f aca="false">IF(ISNUMBER('12_Datos_5m'!F18),'12_Datos_5m'!F18,"")</f>
        <v/>
      </c>
      <c r="C18" s="151" t="str">
        <f aca="false">IF(ISNUMBER('12_Datos_5m'!A18),'12_Datos_5m'!A18,"")</f>
        <v/>
      </c>
      <c r="D18" s="151" t="n">
        <f aca="false">IF(AND(ISNUMBER('12_Datos_5m'!I18),ISNUMBER('12_Datos_5m'!I17)),'12_Datos_5m'!I18-'12_Datos_5m'!I17,0)</f>
        <v>0</v>
      </c>
      <c r="E18" s="151" t="n">
        <f aca="false">MAX(0,D18)</f>
        <v>0</v>
      </c>
      <c r="F18" s="151" t="n">
        <f aca="false">IF(AND(ISNUMBER('12_Datos_5m'!G18),N('12_Datos_5m'!G18)&gt;0),'12_Datos_5m'!H18/'12_Datos_5m'!G18,0.5)</f>
        <v>0.5</v>
      </c>
      <c r="G18" s="151" t="n">
        <f aca="false">IF(ISNUMBER(C18),($C$2-C18)/3600000,0)</f>
        <v>0</v>
      </c>
      <c r="H18" s="151" t="n">
        <f aca="false">EXP(-G18/'13_Mapa_Liq'!$B$7)</f>
        <v>1</v>
      </c>
      <c r="I18" s="151" t="n">
        <f aca="false">E18*F18*H18</f>
        <v>0</v>
      </c>
      <c r="J18" s="151" t="n">
        <f aca="false">E18*(1-F18)*H18</f>
        <v>0</v>
      </c>
      <c r="K18" s="151" t="n">
        <f aca="false">IF(COUNT('12_Datos_5m'!E19:E$504)=0,1000000000000,MIN('12_Datos_5m'!E19:E$504))</f>
        <v>1000000000000</v>
      </c>
      <c r="L18" s="151" t="n">
        <f aca="false">IF(COUNT('12_Datos_5m'!D19:D$504)=0,0,MAX('12_Datos_5m'!D19:D$504))</f>
        <v>0</v>
      </c>
      <c r="M18" s="151" t="str">
        <f aca="false">IF(ISNUMBER(B18),B18*(1-1/'13_Mapa_Liq'!$B$15+'13_Mapa_Liq'!$B$6),"")</f>
        <v/>
      </c>
      <c r="N18" s="151" t="n">
        <f aca="false">IF(ISNUMBER(B18),IF(K18&gt;M18,I18*'13_Mapa_Liq'!$C$15,0),0)</f>
        <v>0</v>
      </c>
      <c r="O18" s="151" t="str">
        <f aca="false">IF(ISNUMBER(B18),B18*(1+1/'13_Mapa_Liq'!$B$15-'13_Mapa_Liq'!$B$6),"")</f>
        <v/>
      </c>
      <c r="P18" s="151" t="n">
        <f aca="false">IF(ISNUMBER(B18),IF(L18&lt;O18,J18*'13_Mapa_Liq'!$C$15,0),0)</f>
        <v>0</v>
      </c>
      <c r="Q18" s="151" t="str">
        <f aca="false">IF(ISNUMBER(B18),B18*(1-1/'13_Mapa_Liq'!$B$16+'13_Mapa_Liq'!$B$6),"")</f>
        <v/>
      </c>
      <c r="R18" s="151" t="n">
        <f aca="false">IF(ISNUMBER(B18),IF(K18&gt;Q18,I18*'13_Mapa_Liq'!$C$16,0),0)</f>
        <v>0</v>
      </c>
      <c r="S18" s="151" t="str">
        <f aca="false">IF(ISNUMBER(B18),B18*(1+1/'13_Mapa_Liq'!$B$16-'13_Mapa_Liq'!$B$6),"")</f>
        <v/>
      </c>
      <c r="T18" s="151" t="n">
        <f aca="false">IF(ISNUMBER(B18),IF(L18&lt;S18,J18*'13_Mapa_Liq'!$C$16,0),0)</f>
        <v>0</v>
      </c>
      <c r="U18" s="151" t="str">
        <f aca="false">IF(ISNUMBER(B18),B18*(1-1/'13_Mapa_Liq'!$B$17+'13_Mapa_Liq'!$B$6),"")</f>
        <v/>
      </c>
      <c r="V18" s="151" t="n">
        <f aca="false">IF(ISNUMBER(B18),IF(K18&gt;U18,I18*'13_Mapa_Liq'!$C$17,0),0)</f>
        <v>0</v>
      </c>
      <c r="W18" s="151" t="str">
        <f aca="false">IF(ISNUMBER(B18),B18*(1+1/'13_Mapa_Liq'!$B$17-'13_Mapa_Liq'!$B$6),"")</f>
        <v/>
      </c>
      <c r="X18" s="151" t="n">
        <f aca="false">IF(ISNUMBER(B18),IF(L18&lt;W18,J18*'13_Mapa_Liq'!$C$17,0),0)</f>
        <v>0</v>
      </c>
      <c r="Y18" s="151" t="str">
        <f aca="false">IF(ISNUMBER(B18),B18*(1-1/'13_Mapa_Liq'!$B$18+'13_Mapa_Liq'!$B$6),"")</f>
        <v/>
      </c>
      <c r="Z18" s="151" t="n">
        <f aca="false">IF(ISNUMBER(B18),IF(K18&gt;Y18,I18*'13_Mapa_Liq'!$C$18,0),0)</f>
        <v>0</v>
      </c>
      <c r="AA18" s="151" t="str">
        <f aca="false">IF(ISNUMBER(B18),B18*(1+1/'13_Mapa_Liq'!$B$18-'13_Mapa_Liq'!$B$6),"")</f>
        <v/>
      </c>
      <c r="AB18" s="151" t="n">
        <f aca="false">IF(ISNUMBER(B18),IF(L18&lt;AA18,J18*'13_Mapa_Liq'!$C$18,0),0)</f>
        <v>0</v>
      </c>
      <c r="AC18" s="151" t="str">
        <f aca="false">IF(ISNUMBER(B18),B18*(1-1/'13_Mapa_Liq'!$B$19+'13_Mapa_Liq'!$B$6),"")</f>
        <v/>
      </c>
      <c r="AD18" s="151" t="n">
        <f aca="false">IF(ISNUMBER(B18),IF(K18&gt;AC18,I18*'13_Mapa_Liq'!$C$19,0),0)</f>
        <v>0</v>
      </c>
      <c r="AE18" s="151" t="str">
        <f aca="false">IF(ISNUMBER(B18),B18*(1+1/'13_Mapa_Liq'!$B$19-'13_Mapa_Liq'!$B$6),"")</f>
        <v/>
      </c>
      <c r="AF18" s="151" t="n">
        <f aca="false">IF(ISNUMBER(B18),IF(L18&lt;AE18,J18*'13_Mapa_Liq'!$C$19,0),0)</f>
        <v>0</v>
      </c>
      <c r="AG18" s="151"/>
      <c r="AH18" s="151" t="n">
        <f aca="false">IF(ISNUMBER(B18),E18*F18*((K18&lt;=M18)*'13_Mapa_Liq'!$C$15+(K18&lt;=Q18)*'13_Mapa_Liq'!$C$16+(K18&lt;=U18)*'13_Mapa_Liq'!$C$17+(K18&lt;=Y18)*'13_Mapa_Liq'!$C$18+(K18&lt;=AC18)*'13_Mapa_Liq'!$C$19),0)</f>
        <v>0</v>
      </c>
      <c r="AI18" s="151" t="n">
        <f aca="false">IF(ISNUMBER(B18),E18*(1-F18)*((L18&gt;=O18)*'13_Mapa_Liq'!$C$15+(L18&gt;=S18)*'13_Mapa_Liq'!$C$16+(L18&gt;=W18)*'13_Mapa_Liq'!$C$17+(L18&gt;=AA18)*'13_Mapa_Liq'!$C$18+(L18&gt;=AE18)*'13_Mapa_Liq'!$C$19),0)</f>
        <v>0</v>
      </c>
    </row>
    <row r="19" customFormat="false" ht="15" hidden="false" customHeight="false" outlineLevel="0" collapsed="false">
      <c r="A19" s="151" t="str">
        <f aca="false">IF(ISNUMBER('12_Datos_5m'!F19),ROW()-4,"")</f>
        <v/>
      </c>
      <c r="B19" s="151" t="str">
        <f aca="false">IF(ISNUMBER('12_Datos_5m'!F19),'12_Datos_5m'!F19,"")</f>
        <v/>
      </c>
      <c r="C19" s="151" t="str">
        <f aca="false">IF(ISNUMBER('12_Datos_5m'!A19),'12_Datos_5m'!A19,"")</f>
        <v/>
      </c>
      <c r="D19" s="151" t="n">
        <f aca="false">IF(AND(ISNUMBER('12_Datos_5m'!I19),ISNUMBER('12_Datos_5m'!I18)),'12_Datos_5m'!I19-'12_Datos_5m'!I18,0)</f>
        <v>0</v>
      </c>
      <c r="E19" s="151" t="n">
        <f aca="false">MAX(0,D19)</f>
        <v>0</v>
      </c>
      <c r="F19" s="151" t="n">
        <f aca="false">IF(AND(ISNUMBER('12_Datos_5m'!G19),N('12_Datos_5m'!G19)&gt;0),'12_Datos_5m'!H19/'12_Datos_5m'!G19,0.5)</f>
        <v>0.5</v>
      </c>
      <c r="G19" s="151" t="n">
        <f aca="false">IF(ISNUMBER(C19),($C$2-C19)/3600000,0)</f>
        <v>0</v>
      </c>
      <c r="H19" s="151" t="n">
        <f aca="false">EXP(-G19/'13_Mapa_Liq'!$B$7)</f>
        <v>1</v>
      </c>
      <c r="I19" s="151" t="n">
        <f aca="false">E19*F19*H19</f>
        <v>0</v>
      </c>
      <c r="J19" s="151" t="n">
        <f aca="false">E19*(1-F19)*H19</f>
        <v>0</v>
      </c>
      <c r="K19" s="151" t="n">
        <f aca="false">IF(COUNT('12_Datos_5m'!E20:E$504)=0,1000000000000,MIN('12_Datos_5m'!E20:E$504))</f>
        <v>1000000000000</v>
      </c>
      <c r="L19" s="151" t="n">
        <f aca="false">IF(COUNT('12_Datos_5m'!D20:D$504)=0,0,MAX('12_Datos_5m'!D20:D$504))</f>
        <v>0</v>
      </c>
      <c r="M19" s="151" t="str">
        <f aca="false">IF(ISNUMBER(B19),B19*(1-1/'13_Mapa_Liq'!$B$15+'13_Mapa_Liq'!$B$6),"")</f>
        <v/>
      </c>
      <c r="N19" s="151" t="n">
        <f aca="false">IF(ISNUMBER(B19),IF(K19&gt;M19,I19*'13_Mapa_Liq'!$C$15,0),0)</f>
        <v>0</v>
      </c>
      <c r="O19" s="151" t="str">
        <f aca="false">IF(ISNUMBER(B19),B19*(1+1/'13_Mapa_Liq'!$B$15-'13_Mapa_Liq'!$B$6),"")</f>
        <v/>
      </c>
      <c r="P19" s="151" t="n">
        <f aca="false">IF(ISNUMBER(B19),IF(L19&lt;O19,J19*'13_Mapa_Liq'!$C$15,0),0)</f>
        <v>0</v>
      </c>
      <c r="Q19" s="151" t="str">
        <f aca="false">IF(ISNUMBER(B19),B19*(1-1/'13_Mapa_Liq'!$B$16+'13_Mapa_Liq'!$B$6),"")</f>
        <v/>
      </c>
      <c r="R19" s="151" t="n">
        <f aca="false">IF(ISNUMBER(B19),IF(K19&gt;Q19,I19*'13_Mapa_Liq'!$C$16,0),0)</f>
        <v>0</v>
      </c>
      <c r="S19" s="151" t="str">
        <f aca="false">IF(ISNUMBER(B19),B19*(1+1/'13_Mapa_Liq'!$B$16-'13_Mapa_Liq'!$B$6),"")</f>
        <v/>
      </c>
      <c r="T19" s="151" t="n">
        <f aca="false">IF(ISNUMBER(B19),IF(L19&lt;S19,J19*'13_Mapa_Liq'!$C$16,0),0)</f>
        <v>0</v>
      </c>
      <c r="U19" s="151" t="str">
        <f aca="false">IF(ISNUMBER(B19),B19*(1-1/'13_Mapa_Liq'!$B$17+'13_Mapa_Liq'!$B$6),"")</f>
        <v/>
      </c>
      <c r="V19" s="151" t="n">
        <f aca="false">IF(ISNUMBER(B19),IF(K19&gt;U19,I19*'13_Mapa_Liq'!$C$17,0),0)</f>
        <v>0</v>
      </c>
      <c r="W19" s="151" t="str">
        <f aca="false">IF(ISNUMBER(B19),B19*(1+1/'13_Mapa_Liq'!$B$17-'13_Mapa_Liq'!$B$6),"")</f>
        <v/>
      </c>
      <c r="X19" s="151" t="n">
        <f aca="false">IF(ISNUMBER(B19),IF(L19&lt;W19,J19*'13_Mapa_Liq'!$C$17,0),0)</f>
        <v>0</v>
      </c>
      <c r="Y19" s="151" t="str">
        <f aca="false">IF(ISNUMBER(B19),B19*(1-1/'13_Mapa_Liq'!$B$18+'13_Mapa_Liq'!$B$6),"")</f>
        <v/>
      </c>
      <c r="Z19" s="151" t="n">
        <f aca="false">IF(ISNUMBER(B19),IF(K19&gt;Y19,I19*'13_Mapa_Liq'!$C$18,0),0)</f>
        <v>0</v>
      </c>
      <c r="AA19" s="151" t="str">
        <f aca="false">IF(ISNUMBER(B19),B19*(1+1/'13_Mapa_Liq'!$B$18-'13_Mapa_Liq'!$B$6),"")</f>
        <v/>
      </c>
      <c r="AB19" s="151" t="n">
        <f aca="false">IF(ISNUMBER(B19),IF(L19&lt;AA19,J19*'13_Mapa_Liq'!$C$18,0),0)</f>
        <v>0</v>
      </c>
      <c r="AC19" s="151" t="str">
        <f aca="false">IF(ISNUMBER(B19),B19*(1-1/'13_Mapa_Liq'!$B$19+'13_Mapa_Liq'!$B$6),"")</f>
        <v/>
      </c>
      <c r="AD19" s="151" t="n">
        <f aca="false">IF(ISNUMBER(B19),IF(K19&gt;AC19,I19*'13_Mapa_Liq'!$C$19,0),0)</f>
        <v>0</v>
      </c>
      <c r="AE19" s="151" t="str">
        <f aca="false">IF(ISNUMBER(B19),B19*(1+1/'13_Mapa_Liq'!$B$19-'13_Mapa_Liq'!$B$6),"")</f>
        <v/>
      </c>
      <c r="AF19" s="151" t="n">
        <f aca="false">IF(ISNUMBER(B19),IF(L19&lt;AE19,J19*'13_Mapa_Liq'!$C$19,0),0)</f>
        <v>0</v>
      </c>
      <c r="AG19" s="151"/>
      <c r="AH19" s="151" t="n">
        <f aca="false">IF(ISNUMBER(B19),E19*F19*((K19&lt;=M19)*'13_Mapa_Liq'!$C$15+(K19&lt;=Q19)*'13_Mapa_Liq'!$C$16+(K19&lt;=U19)*'13_Mapa_Liq'!$C$17+(K19&lt;=Y19)*'13_Mapa_Liq'!$C$18+(K19&lt;=AC19)*'13_Mapa_Liq'!$C$19),0)</f>
        <v>0</v>
      </c>
      <c r="AI19" s="151" t="n">
        <f aca="false">IF(ISNUMBER(B19),E19*(1-F19)*((L19&gt;=O19)*'13_Mapa_Liq'!$C$15+(L19&gt;=S19)*'13_Mapa_Liq'!$C$16+(L19&gt;=W19)*'13_Mapa_Liq'!$C$17+(L19&gt;=AA19)*'13_Mapa_Liq'!$C$18+(L19&gt;=AE19)*'13_Mapa_Liq'!$C$19),0)</f>
        <v>0</v>
      </c>
    </row>
    <row r="20" customFormat="false" ht="15" hidden="false" customHeight="false" outlineLevel="0" collapsed="false">
      <c r="A20" s="151" t="str">
        <f aca="false">IF(ISNUMBER('12_Datos_5m'!F20),ROW()-4,"")</f>
        <v/>
      </c>
      <c r="B20" s="151" t="str">
        <f aca="false">IF(ISNUMBER('12_Datos_5m'!F20),'12_Datos_5m'!F20,"")</f>
        <v/>
      </c>
      <c r="C20" s="151" t="str">
        <f aca="false">IF(ISNUMBER('12_Datos_5m'!A20),'12_Datos_5m'!A20,"")</f>
        <v/>
      </c>
      <c r="D20" s="151" t="n">
        <f aca="false">IF(AND(ISNUMBER('12_Datos_5m'!I20),ISNUMBER('12_Datos_5m'!I19)),'12_Datos_5m'!I20-'12_Datos_5m'!I19,0)</f>
        <v>0</v>
      </c>
      <c r="E20" s="151" t="n">
        <f aca="false">MAX(0,D20)</f>
        <v>0</v>
      </c>
      <c r="F20" s="151" t="n">
        <f aca="false">IF(AND(ISNUMBER('12_Datos_5m'!G20),N('12_Datos_5m'!G20)&gt;0),'12_Datos_5m'!H20/'12_Datos_5m'!G20,0.5)</f>
        <v>0.5</v>
      </c>
      <c r="G20" s="151" t="n">
        <f aca="false">IF(ISNUMBER(C20),($C$2-C20)/3600000,0)</f>
        <v>0</v>
      </c>
      <c r="H20" s="151" t="n">
        <f aca="false">EXP(-G20/'13_Mapa_Liq'!$B$7)</f>
        <v>1</v>
      </c>
      <c r="I20" s="151" t="n">
        <f aca="false">E20*F20*H20</f>
        <v>0</v>
      </c>
      <c r="J20" s="151" t="n">
        <f aca="false">E20*(1-F20)*H20</f>
        <v>0</v>
      </c>
      <c r="K20" s="151" t="n">
        <f aca="false">IF(COUNT('12_Datos_5m'!E21:E$504)=0,1000000000000,MIN('12_Datos_5m'!E21:E$504))</f>
        <v>1000000000000</v>
      </c>
      <c r="L20" s="151" t="n">
        <f aca="false">IF(COUNT('12_Datos_5m'!D21:D$504)=0,0,MAX('12_Datos_5m'!D21:D$504))</f>
        <v>0</v>
      </c>
      <c r="M20" s="151" t="str">
        <f aca="false">IF(ISNUMBER(B20),B20*(1-1/'13_Mapa_Liq'!$B$15+'13_Mapa_Liq'!$B$6),"")</f>
        <v/>
      </c>
      <c r="N20" s="151" t="n">
        <f aca="false">IF(ISNUMBER(B20),IF(K20&gt;M20,I20*'13_Mapa_Liq'!$C$15,0),0)</f>
        <v>0</v>
      </c>
      <c r="O20" s="151" t="str">
        <f aca="false">IF(ISNUMBER(B20),B20*(1+1/'13_Mapa_Liq'!$B$15-'13_Mapa_Liq'!$B$6),"")</f>
        <v/>
      </c>
      <c r="P20" s="151" t="n">
        <f aca="false">IF(ISNUMBER(B20),IF(L20&lt;O20,J20*'13_Mapa_Liq'!$C$15,0),0)</f>
        <v>0</v>
      </c>
      <c r="Q20" s="151" t="str">
        <f aca="false">IF(ISNUMBER(B20),B20*(1-1/'13_Mapa_Liq'!$B$16+'13_Mapa_Liq'!$B$6),"")</f>
        <v/>
      </c>
      <c r="R20" s="151" t="n">
        <f aca="false">IF(ISNUMBER(B20),IF(K20&gt;Q20,I20*'13_Mapa_Liq'!$C$16,0),0)</f>
        <v>0</v>
      </c>
      <c r="S20" s="151" t="str">
        <f aca="false">IF(ISNUMBER(B20),B20*(1+1/'13_Mapa_Liq'!$B$16-'13_Mapa_Liq'!$B$6),"")</f>
        <v/>
      </c>
      <c r="T20" s="151" t="n">
        <f aca="false">IF(ISNUMBER(B20),IF(L20&lt;S20,J20*'13_Mapa_Liq'!$C$16,0),0)</f>
        <v>0</v>
      </c>
      <c r="U20" s="151" t="str">
        <f aca="false">IF(ISNUMBER(B20),B20*(1-1/'13_Mapa_Liq'!$B$17+'13_Mapa_Liq'!$B$6),"")</f>
        <v/>
      </c>
      <c r="V20" s="151" t="n">
        <f aca="false">IF(ISNUMBER(B20),IF(K20&gt;U20,I20*'13_Mapa_Liq'!$C$17,0),0)</f>
        <v>0</v>
      </c>
      <c r="W20" s="151" t="str">
        <f aca="false">IF(ISNUMBER(B20),B20*(1+1/'13_Mapa_Liq'!$B$17-'13_Mapa_Liq'!$B$6),"")</f>
        <v/>
      </c>
      <c r="X20" s="151" t="n">
        <f aca="false">IF(ISNUMBER(B20),IF(L20&lt;W20,J20*'13_Mapa_Liq'!$C$17,0),0)</f>
        <v>0</v>
      </c>
      <c r="Y20" s="151" t="str">
        <f aca="false">IF(ISNUMBER(B20),B20*(1-1/'13_Mapa_Liq'!$B$18+'13_Mapa_Liq'!$B$6),"")</f>
        <v/>
      </c>
      <c r="Z20" s="151" t="n">
        <f aca="false">IF(ISNUMBER(B20),IF(K20&gt;Y20,I20*'13_Mapa_Liq'!$C$18,0),0)</f>
        <v>0</v>
      </c>
      <c r="AA20" s="151" t="str">
        <f aca="false">IF(ISNUMBER(B20),B20*(1+1/'13_Mapa_Liq'!$B$18-'13_Mapa_Liq'!$B$6),"")</f>
        <v/>
      </c>
      <c r="AB20" s="151" t="n">
        <f aca="false">IF(ISNUMBER(B20),IF(L20&lt;AA20,J20*'13_Mapa_Liq'!$C$18,0),0)</f>
        <v>0</v>
      </c>
      <c r="AC20" s="151" t="str">
        <f aca="false">IF(ISNUMBER(B20),B20*(1-1/'13_Mapa_Liq'!$B$19+'13_Mapa_Liq'!$B$6),"")</f>
        <v/>
      </c>
      <c r="AD20" s="151" t="n">
        <f aca="false">IF(ISNUMBER(B20),IF(K20&gt;AC20,I20*'13_Mapa_Liq'!$C$19,0),0)</f>
        <v>0</v>
      </c>
      <c r="AE20" s="151" t="str">
        <f aca="false">IF(ISNUMBER(B20),B20*(1+1/'13_Mapa_Liq'!$B$19-'13_Mapa_Liq'!$B$6),"")</f>
        <v/>
      </c>
      <c r="AF20" s="151" t="n">
        <f aca="false">IF(ISNUMBER(B20),IF(L20&lt;AE20,J20*'13_Mapa_Liq'!$C$19,0),0)</f>
        <v>0</v>
      </c>
      <c r="AG20" s="151"/>
      <c r="AH20" s="151" t="n">
        <f aca="false">IF(ISNUMBER(B20),E20*F20*((K20&lt;=M20)*'13_Mapa_Liq'!$C$15+(K20&lt;=Q20)*'13_Mapa_Liq'!$C$16+(K20&lt;=U20)*'13_Mapa_Liq'!$C$17+(K20&lt;=Y20)*'13_Mapa_Liq'!$C$18+(K20&lt;=AC20)*'13_Mapa_Liq'!$C$19),0)</f>
        <v>0</v>
      </c>
      <c r="AI20" s="151" t="n">
        <f aca="false">IF(ISNUMBER(B20),E20*(1-F20)*((L20&gt;=O20)*'13_Mapa_Liq'!$C$15+(L20&gt;=S20)*'13_Mapa_Liq'!$C$16+(L20&gt;=W20)*'13_Mapa_Liq'!$C$17+(L20&gt;=AA20)*'13_Mapa_Liq'!$C$18+(L20&gt;=AE20)*'13_Mapa_Liq'!$C$19),0)</f>
        <v>0</v>
      </c>
    </row>
    <row r="21" customFormat="false" ht="15" hidden="false" customHeight="false" outlineLevel="0" collapsed="false">
      <c r="A21" s="151" t="str">
        <f aca="false">IF(ISNUMBER('12_Datos_5m'!F21),ROW()-4,"")</f>
        <v/>
      </c>
      <c r="B21" s="151" t="str">
        <f aca="false">IF(ISNUMBER('12_Datos_5m'!F21),'12_Datos_5m'!F21,"")</f>
        <v/>
      </c>
      <c r="C21" s="151" t="str">
        <f aca="false">IF(ISNUMBER('12_Datos_5m'!A21),'12_Datos_5m'!A21,"")</f>
        <v/>
      </c>
      <c r="D21" s="151" t="n">
        <f aca="false">IF(AND(ISNUMBER('12_Datos_5m'!I21),ISNUMBER('12_Datos_5m'!I20)),'12_Datos_5m'!I21-'12_Datos_5m'!I20,0)</f>
        <v>0</v>
      </c>
      <c r="E21" s="151" t="n">
        <f aca="false">MAX(0,D21)</f>
        <v>0</v>
      </c>
      <c r="F21" s="151" t="n">
        <f aca="false">IF(AND(ISNUMBER('12_Datos_5m'!G21),N('12_Datos_5m'!G21)&gt;0),'12_Datos_5m'!H21/'12_Datos_5m'!G21,0.5)</f>
        <v>0.5</v>
      </c>
      <c r="G21" s="151" t="n">
        <f aca="false">IF(ISNUMBER(C21),($C$2-C21)/3600000,0)</f>
        <v>0</v>
      </c>
      <c r="H21" s="151" t="n">
        <f aca="false">EXP(-G21/'13_Mapa_Liq'!$B$7)</f>
        <v>1</v>
      </c>
      <c r="I21" s="151" t="n">
        <f aca="false">E21*F21*H21</f>
        <v>0</v>
      </c>
      <c r="J21" s="151" t="n">
        <f aca="false">E21*(1-F21)*H21</f>
        <v>0</v>
      </c>
      <c r="K21" s="151" t="n">
        <f aca="false">IF(COUNT('12_Datos_5m'!E22:E$504)=0,1000000000000,MIN('12_Datos_5m'!E22:E$504))</f>
        <v>1000000000000</v>
      </c>
      <c r="L21" s="151" t="n">
        <f aca="false">IF(COUNT('12_Datos_5m'!D22:D$504)=0,0,MAX('12_Datos_5m'!D22:D$504))</f>
        <v>0</v>
      </c>
      <c r="M21" s="151" t="str">
        <f aca="false">IF(ISNUMBER(B21),B21*(1-1/'13_Mapa_Liq'!$B$15+'13_Mapa_Liq'!$B$6),"")</f>
        <v/>
      </c>
      <c r="N21" s="151" t="n">
        <f aca="false">IF(ISNUMBER(B21),IF(K21&gt;M21,I21*'13_Mapa_Liq'!$C$15,0),0)</f>
        <v>0</v>
      </c>
      <c r="O21" s="151" t="str">
        <f aca="false">IF(ISNUMBER(B21),B21*(1+1/'13_Mapa_Liq'!$B$15-'13_Mapa_Liq'!$B$6),"")</f>
        <v/>
      </c>
      <c r="P21" s="151" t="n">
        <f aca="false">IF(ISNUMBER(B21),IF(L21&lt;O21,J21*'13_Mapa_Liq'!$C$15,0),0)</f>
        <v>0</v>
      </c>
      <c r="Q21" s="151" t="str">
        <f aca="false">IF(ISNUMBER(B21),B21*(1-1/'13_Mapa_Liq'!$B$16+'13_Mapa_Liq'!$B$6),"")</f>
        <v/>
      </c>
      <c r="R21" s="151" t="n">
        <f aca="false">IF(ISNUMBER(B21),IF(K21&gt;Q21,I21*'13_Mapa_Liq'!$C$16,0),0)</f>
        <v>0</v>
      </c>
      <c r="S21" s="151" t="str">
        <f aca="false">IF(ISNUMBER(B21),B21*(1+1/'13_Mapa_Liq'!$B$16-'13_Mapa_Liq'!$B$6),"")</f>
        <v/>
      </c>
      <c r="T21" s="151" t="n">
        <f aca="false">IF(ISNUMBER(B21),IF(L21&lt;S21,J21*'13_Mapa_Liq'!$C$16,0),0)</f>
        <v>0</v>
      </c>
      <c r="U21" s="151" t="str">
        <f aca="false">IF(ISNUMBER(B21),B21*(1-1/'13_Mapa_Liq'!$B$17+'13_Mapa_Liq'!$B$6),"")</f>
        <v/>
      </c>
      <c r="V21" s="151" t="n">
        <f aca="false">IF(ISNUMBER(B21),IF(K21&gt;U21,I21*'13_Mapa_Liq'!$C$17,0),0)</f>
        <v>0</v>
      </c>
      <c r="W21" s="151" t="str">
        <f aca="false">IF(ISNUMBER(B21),B21*(1+1/'13_Mapa_Liq'!$B$17-'13_Mapa_Liq'!$B$6),"")</f>
        <v/>
      </c>
      <c r="X21" s="151" t="n">
        <f aca="false">IF(ISNUMBER(B21),IF(L21&lt;W21,J21*'13_Mapa_Liq'!$C$17,0),0)</f>
        <v>0</v>
      </c>
      <c r="Y21" s="151" t="str">
        <f aca="false">IF(ISNUMBER(B21),B21*(1-1/'13_Mapa_Liq'!$B$18+'13_Mapa_Liq'!$B$6),"")</f>
        <v/>
      </c>
      <c r="Z21" s="151" t="n">
        <f aca="false">IF(ISNUMBER(B21),IF(K21&gt;Y21,I21*'13_Mapa_Liq'!$C$18,0),0)</f>
        <v>0</v>
      </c>
      <c r="AA21" s="151" t="str">
        <f aca="false">IF(ISNUMBER(B21),B21*(1+1/'13_Mapa_Liq'!$B$18-'13_Mapa_Liq'!$B$6),"")</f>
        <v/>
      </c>
      <c r="AB21" s="151" t="n">
        <f aca="false">IF(ISNUMBER(B21),IF(L21&lt;AA21,J21*'13_Mapa_Liq'!$C$18,0),0)</f>
        <v>0</v>
      </c>
      <c r="AC21" s="151" t="str">
        <f aca="false">IF(ISNUMBER(B21),B21*(1-1/'13_Mapa_Liq'!$B$19+'13_Mapa_Liq'!$B$6),"")</f>
        <v/>
      </c>
      <c r="AD21" s="151" t="n">
        <f aca="false">IF(ISNUMBER(B21),IF(K21&gt;AC21,I21*'13_Mapa_Liq'!$C$19,0),0)</f>
        <v>0</v>
      </c>
      <c r="AE21" s="151" t="str">
        <f aca="false">IF(ISNUMBER(B21),B21*(1+1/'13_Mapa_Liq'!$B$19-'13_Mapa_Liq'!$B$6),"")</f>
        <v/>
      </c>
      <c r="AF21" s="151" t="n">
        <f aca="false">IF(ISNUMBER(B21),IF(L21&lt;AE21,J21*'13_Mapa_Liq'!$C$19,0),0)</f>
        <v>0</v>
      </c>
      <c r="AG21" s="151"/>
      <c r="AH21" s="151" t="n">
        <f aca="false">IF(ISNUMBER(B21),E21*F21*((K21&lt;=M21)*'13_Mapa_Liq'!$C$15+(K21&lt;=Q21)*'13_Mapa_Liq'!$C$16+(K21&lt;=U21)*'13_Mapa_Liq'!$C$17+(K21&lt;=Y21)*'13_Mapa_Liq'!$C$18+(K21&lt;=AC21)*'13_Mapa_Liq'!$C$19),0)</f>
        <v>0</v>
      </c>
      <c r="AI21" s="151" t="n">
        <f aca="false">IF(ISNUMBER(B21),E21*(1-F21)*((L21&gt;=O21)*'13_Mapa_Liq'!$C$15+(L21&gt;=S21)*'13_Mapa_Liq'!$C$16+(L21&gt;=W21)*'13_Mapa_Liq'!$C$17+(L21&gt;=AA21)*'13_Mapa_Liq'!$C$18+(L21&gt;=AE21)*'13_Mapa_Liq'!$C$19),0)</f>
        <v>0</v>
      </c>
    </row>
    <row r="22" customFormat="false" ht="15" hidden="false" customHeight="false" outlineLevel="0" collapsed="false">
      <c r="A22" s="151" t="str">
        <f aca="false">IF(ISNUMBER('12_Datos_5m'!F22),ROW()-4,"")</f>
        <v/>
      </c>
      <c r="B22" s="151" t="str">
        <f aca="false">IF(ISNUMBER('12_Datos_5m'!F22),'12_Datos_5m'!F22,"")</f>
        <v/>
      </c>
      <c r="C22" s="151" t="str">
        <f aca="false">IF(ISNUMBER('12_Datos_5m'!A22),'12_Datos_5m'!A22,"")</f>
        <v/>
      </c>
      <c r="D22" s="151" t="n">
        <f aca="false">IF(AND(ISNUMBER('12_Datos_5m'!I22),ISNUMBER('12_Datos_5m'!I21)),'12_Datos_5m'!I22-'12_Datos_5m'!I21,0)</f>
        <v>0</v>
      </c>
      <c r="E22" s="151" t="n">
        <f aca="false">MAX(0,D22)</f>
        <v>0</v>
      </c>
      <c r="F22" s="151" t="n">
        <f aca="false">IF(AND(ISNUMBER('12_Datos_5m'!G22),N('12_Datos_5m'!G22)&gt;0),'12_Datos_5m'!H22/'12_Datos_5m'!G22,0.5)</f>
        <v>0.5</v>
      </c>
      <c r="G22" s="151" t="n">
        <f aca="false">IF(ISNUMBER(C22),($C$2-C22)/3600000,0)</f>
        <v>0</v>
      </c>
      <c r="H22" s="151" t="n">
        <f aca="false">EXP(-G22/'13_Mapa_Liq'!$B$7)</f>
        <v>1</v>
      </c>
      <c r="I22" s="151" t="n">
        <f aca="false">E22*F22*H22</f>
        <v>0</v>
      </c>
      <c r="J22" s="151" t="n">
        <f aca="false">E22*(1-F22)*H22</f>
        <v>0</v>
      </c>
      <c r="K22" s="151" t="n">
        <f aca="false">IF(COUNT('12_Datos_5m'!E23:E$504)=0,1000000000000,MIN('12_Datos_5m'!E23:E$504))</f>
        <v>1000000000000</v>
      </c>
      <c r="L22" s="151" t="n">
        <f aca="false">IF(COUNT('12_Datos_5m'!D23:D$504)=0,0,MAX('12_Datos_5m'!D23:D$504))</f>
        <v>0</v>
      </c>
      <c r="M22" s="151" t="str">
        <f aca="false">IF(ISNUMBER(B22),B22*(1-1/'13_Mapa_Liq'!$B$15+'13_Mapa_Liq'!$B$6),"")</f>
        <v/>
      </c>
      <c r="N22" s="151" t="n">
        <f aca="false">IF(ISNUMBER(B22),IF(K22&gt;M22,I22*'13_Mapa_Liq'!$C$15,0),0)</f>
        <v>0</v>
      </c>
      <c r="O22" s="151" t="str">
        <f aca="false">IF(ISNUMBER(B22),B22*(1+1/'13_Mapa_Liq'!$B$15-'13_Mapa_Liq'!$B$6),"")</f>
        <v/>
      </c>
      <c r="P22" s="151" t="n">
        <f aca="false">IF(ISNUMBER(B22),IF(L22&lt;O22,J22*'13_Mapa_Liq'!$C$15,0),0)</f>
        <v>0</v>
      </c>
      <c r="Q22" s="151" t="str">
        <f aca="false">IF(ISNUMBER(B22),B22*(1-1/'13_Mapa_Liq'!$B$16+'13_Mapa_Liq'!$B$6),"")</f>
        <v/>
      </c>
      <c r="R22" s="151" t="n">
        <f aca="false">IF(ISNUMBER(B22),IF(K22&gt;Q22,I22*'13_Mapa_Liq'!$C$16,0),0)</f>
        <v>0</v>
      </c>
      <c r="S22" s="151" t="str">
        <f aca="false">IF(ISNUMBER(B22),B22*(1+1/'13_Mapa_Liq'!$B$16-'13_Mapa_Liq'!$B$6),"")</f>
        <v/>
      </c>
      <c r="T22" s="151" t="n">
        <f aca="false">IF(ISNUMBER(B22),IF(L22&lt;S22,J22*'13_Mapa_Liq'!$C$16,0),0)</f>
        <v>0</v>
      </c>
      <c r="U22" s="151" t="str">
        <f aca="false">IF(ISNUMBER(B22),B22*(1-1/'13_Mapa_Liq'!$B$17+'13_Mapa_Liq'!$B$6),"")</f>
        <v/>
      </c>
      <c r="V22" s="151" t="n">
        <f aca="false">IF(ISNUMBER(B22),IF(K22&gt;U22,I22*'13_Mapa_Liq'!$C$17,0),0)</f>
        <v>0</v>
      </c>
      <c r="W22" s="151" t="str">
        <f aca="false">IF(ISNUMBER(B22),B22*(1+1/'13_Mapa_Liq'!$B$17-'13_Mapa_Liq'!$B$6),"")</f>
        <v/>
      </c>
      <c r="X22" s="151" t="n">
        <f aca="false">IF(ISNUMBER(B22),IF(L22&lt;W22,J22*'13_Mapa_Liq'!$C$17,0),0)</f>
        <v>0</v>
      </c>
      <c r="Y22" s="151" t="str">
        <f aca="false">IF(ISNUMBER(B22),B22*(1-1/'13_Mapa_Liq'!$B$18+'13_Mapa_Liq'!$B$6),"")</f>
        <v/>
      </c>
      <c r="Z22" s="151" t="n">
        <f aca="false">IF(ISNUMBER(B22),IF(K22&gt;Y22,I22*'13_Mapa_Liq'!$C$18,0),0)</f>
        <v>0</v>
      </c>
      <c r="AA22" s="151" t="str">
        <f aca="false">IF(ISNUMBER(B22),B22*(1+1/'13_Mapa_Liq'!$B$18-'13_Mapa_Liq'!$B$6),"")</f>
        <v/>
      </c>
      <c r="AB22" s="151" t="n">
        <f aca="false">IF(ISNUMBER(B22),IF(L22&lt;AA22,J22*'13_Mapa_Liq'!$C$18,0),0)</f>
        <v>0</v>
      </c>
      <c r="AC22" s="151" t="str">
        <f aca="false">IF(ISNUMBER(B22),B22*(1-1/'13_Mapa_Liq'!$B$19+'13_Mapa_Liq'!$B$6),"")</f>
        <v/>
      </c>
      <c r="AD22" s="151" t="n">
        <f aca="false">IF(ISNUMBER(B22),IF(K22&gt;AC22,I22*'13_Mapa_Liq'!$C$19,0),0)</f>
        <v>0</v>
      </c>
      <c r="AE22" s="151" t="str">
        <f aca="false">IF(ISNUMBER(B22),B22*(1+1/'13_Mapa_Liq'!$B$19-'13_Mapa_Liq'!$B$6),"")</f>
        <v/>
      </c>
      <c r="AF22" s="151" t="n">
        <f aca="false">IF(ISNUMBER(B22),IF(L22&lt;AE22,J22*'13_Mapa_Liq'!$C$19,0),0)</f>
        <v>0</v>
      </c>
      <c r="AG22" s="151"/>
      <c r="AH22" s="151" t="n">
        <f aca="false">IF(ISNUMBER(B22),E22*F22*((K22&lt;=M22)*'13_Mapa_Liq'!$C$15+(K22&lt;=Q22)*'13_Mapa_Liq'!$C$16+(K22&lt;=U22)*'13_Mapa_Liq'!$C$17+(K22&lt;=Y22)*'13_Mapa_Liq'!$C$18+(K22&lt;=AC22)*'13_Mapa_Liq'!$C$19),0)</f>
        <v>0</v>
      </c>
      <c r="AI22" s="151" t="n">
        <f aca="false">IF(ISNUMBER(B22),E22*(1-F22)*((L22&gt;=O22)*'13_Mapa_Liq'!$C$15+(L22&gt;=S22)*'13_Mapa_Liq'!$C$16+(L22&gt;=W22)*'13_Mapa_Liq'!$C$17+(L22&gt;=AA22)*'13_Mapa_Liq'!$C$18+(L22&gt;=AE22)*'13_Mapa_Liq'!$C$19),0)</f>
        <v>0</v>
      </c>
    </row>
    <row r="23" customFormat="false" ht="15" hidden="false" customHeight="false" outlineLevel="0" collapsed="false">
      <c r="A23" s="151" t="str">
        <f aca="false">IF(ISNUMBER('12_Datos_5m'!F23),ROW()-4,"")</f>
        <v/>
      </c>
      <c r="B23" s="151" t="str">
        <f aca="false">IF(ISNUMBER('12_Datos_5m'!F23),'12_Datos_5m'!F23,"")</f>
        <v/>
      </c>
      <c r="C23" s="151" t="str">
        <f aca="false">IF(ISNUMBER('12_Datos_5m'!A23),'12_Datos_5m'!A23,"")</f>
        <v/>
      </c>
      <c r="D23" s="151" t="n">
        <f aca="false">IF(AND(ISNUMBER('12_Datos_5m'!I23),ISNUMBER('12_Datos_5m'!I22)),'12_Datos_5m'!I23-'12_Datos_5m'!I22,0)</f>
        <v>0</v>
      </c>
      <c r="E23" s="151" t="n">
        <f aca="false">MAX(0,D23)</f>
        <v>0</v>
      </c>
      <c r="F23" s="151" t="n">
        <f aca="false">IF(AND(ISNUMBER('12_Datos_5m'!G23),N('12_Datos_5m'!G23)&gt;0),'12_Datos_5m'!H23/'12_Datos_5m'!G23,0.5)</f>
        <v>0.5</v>
      </c>
      <c r="G23" s="151" t="n">
        <f aca="false">IF(ISNUMBER(C23),($C$2-C23)/3600000,0)</f>
        <v>0</v>
      </c>
      <c r="H23" s="151" t="n">
        <f aca="false">EXP(-G23/'13_Mapa_Liq'!$B$7)</f>
        <v>1</v>
      </c>
      <c r="I23" s="151" t="n">
        <f aca="false">E23*F23*H23</f>
        <v>0</v>
      </c>
      <c r="J23" s="151" t="n">
        <f aca="false">E23*(1-F23)*H23</f>
        <v>0</v>
      </c>
      <c r="K23" s="151" t="n">
        <f aca="false">IF(COUNT('12_Datos_5m'!E24:E$504)=0,1000000000000,MIN('12_Datos_5m'!E24:E$504))</f>
        <v>1000000000000</v>
      </c>
      <c r="L23" s="151" t="n">
        <f aca="false">IF(COUNT('12_Datos_5m'!D24:D$504)=0,0,MAX('12_Datos_5m'!D24:D$504))</f>
        <v>0</v>
      </c>
      <c r="M23" s="151" t="str">
        <f aca="false">IF(ISNUMBER(B23),B23*(1-1/'13_Mapa_Liq'!$B$15+'13_Mapa_Liq'!$B$6),"")</f>
        <v/>
      </c>
      <c r="N23" s="151" t="n">
        <f aca="false">IF(ISNUMBER(B23),IF(K23&gt;M23,I23*'13_Mapa_Liq'!$C$15,0),0)</f>
        <v>0</v>
      </c>
      <c r="O23" s="151" t="str">
        <f aca="false">IF(ISNUMBER(B23),B23*(1+1/'13_Mapa_Liq'!$B$15-'13_Mapa_Liq'!$B$6),"")</f>
        <v/>
      </c>
      <c r="P23" s="151" t="n">
        <f aca="false">IF(ISNUMBER(B23),IF(L23&lt;O23,J23*'13_Mapa_Liq'!$C$15,0),0)</f>
        <v>0</v>
      </c>
      <c r="Q23" s="151" t="str">
        <f aca="false">IF(ISNUMBER(B23),B23*(1-1/'13_Mapa_Liq'!$B$16+'13_Mapa_Liq'!$B$6),"")</f>
        <v/>
      </c>
      <c r="R23" s="151" t="n">
        <f aca="false">IF(ISNUMBER(B23),IF(K23&gt;Q23,I23*'13_Mapa_Liq'!$C$16,0),0)</f>
        <v>0</v>
      </c>
      <c r="S23" s="151" t="str">
        <f aca="false">IF(ISNUMBER(B23),B23*(1+1/'13_Mapa_Liq'!$B$16-'13_Mapa_Liq'!$B$6),"")</f>
        <v/>
      </c>
      <c r="T23" s="151" t="n">
        <f aca="false">IF(ISNUMBER(B23),IF(L23&lt;S23,J23*'13_Mapa_Liq'!$C$16,0),0)</f>
        <v>0</v>
      </c>
      <c r="U23" s="151" t="str">
        <f aca="false">IF(ISNUMBER(B23),B23*(1-1/'13_Mapa_Liq'!$B$17+'13_Mapa_Liq'!$B$6),"")</f>
        <v/>
      </c>
      <c r="V23" s="151" t="n">
        <f aca="false">IF(ISNUMBER(B23),IF(K23&gt;U23,I23*'13_Mapa_Liq'!$C$17,0),0)</f>
        <v>0</v>
      </c>
      <c r="W23" s="151" t="str">
        <f aca="false">IF(ISNUMBER(B23),B23*(1+1/'13_Mapa_Liq'!$B$17-'13_Mapa_Liq'!$B$6),"")</f>
        <v/>
      </c>
      <c r="X23" s="151" t="n">
        <f aca="false">IF(ISNUMBER(B23),IF(L23&lt;W23,J23*'13_Mapa_Liq'!$C$17,0),0)</f>
        <v>0</v>
      </c>
      <c r="Y23" s="151" t="str">
        <f aca="false">IF(ISNUMBER(B23),B23*(1-1/'13_Mapa_Liq'!$B$18+'13_Mapa_Liq'!$B$6),"")</f>
        <v/>
      </c>
      <c r="Z23" s="151" t="n">
        <f aca="false">IF(ISNUMBER(B23),IF(K23&gt;Y23,I23*'13_Mapa_Liq'!$C$18,0),0)</f>
        <v>0</v>
      </c>
      <c r="AA23" s="151" t="str">
        <f aca="false">IF(ISNUMBER(B23),B23*(1+1/'13_Mapa_Liq'!$B$18-'13_Mapa_Liq'!$B$6),"")</f>
        <v/>
      </c>
      <c r="AB23" s="151" t="n">
        <f aca="false">IF(ISNUMBER(B23),IF(L23&lt;AA23,J23*'13_Mapa_Liq'!$C$18,0),0)</f>
        <v>0</v>
      </c>
      <c r="AC23" s="151" t="str">
        <f aca="false">IF(ISNUMBER(B23),B23*(1-1/'13_Mapa_Liq'!$B$19+'13_Mapa_Liq'!$B$6),"")</f>
        <v/>
      </c>
      <c r="AD23" s="151" t="n">
        <f aca="false">IF(ISNUMBER(B23),IF(K23&gt;AC23,I23*'13_Mapa_Liq'!$C$19,0),0)</f>
        <v>0</v>
      </c>
      <c r="AE23" s="151" t="str">
        <f aca="false">IF(ISNUMBER(B23),B23*(1+1/'13_Mapa_Liq'!$B$19-'13_Mapa_Liq'!$B$6),"")</f>
        <v/>
      </c>
      <c r="AF23" s="151" t="n">
        <f aca="false">IF(ISNUMBER(B23),IF(L23&lt;AE23,J23*'13_Mapa_Liq'!$C$19,0),0)</f>
        <v>0</v>
      </c>
      <c r="AG23" s="151"/>
      <c r="AH23" s="151" t="n">
        <f aca="false">IF(ISNUMBER(B23),E23*F23*((K23&lt;=M23)*'13_Mapa_Liq'!$C$15+(K23&lt;=Q23)*'13_Mapa_Liq'!$C$16+(K23&lt;=U23)*'13_Mapa_Liq'!$C$17+(K23&lt;=Y23)*'13_Mapa_Liq'!$C$18+(K23&lt;=AC23)*'13_Mapa_Liq'!$C$19),0)</f>
        <v>0</v>
      </c>
      <c r="AI23" s="151" t="n">
        <f aca="false">IF(ISNUMBER(B23),E23*(1-F23)*((L23&gt;=O23)*'13_Mapa_Liq'!$C$15+(L23&gt;=S23)*'13_Mapa_Liq'!$C$16+(L23&gt;=W23)*'13_Mapa_Liq'!$C$17+(L23&gt;=AA23)*'13_Mapa_Liq'!$C$18+(L23&gt;=AE23)*'13_Mapa_Liq'!$C$19),0)</f>
        <v>0</v>
      </c>
    </row>
    <row r="24" customFormat="false" ht="15" hidden="false" customHeight="false" outlineLevel="0" collapsed="false">
      <c r="A24" s="151" t="str">
        <f aca="false">IF(ISNUMBER('12_Datos_5m'!F24),ROW()-4,"")</f>
        <v/>
      </c>
      <c r="B24" s="151" t="str">
        <f aca="false">IF(ISNUMBER('12_Datos_5m'!F24),'12_Datos_5m'!F24,"")</f>
        <v/>
      </c>
      <c r="C24" s="151" t="str">
        <f aca="false">IF(ISNUMBER('12_Datos_5m'!A24),'12_Datos_5m'!A24,"")</f>
        <v/>
      </c>
      <c r="D24" s="151" t="n">
        <f aca="false">IF(AND(ISNUMBER('12_Datos_5m'!I24),ISNUMBER('12_Datos_5m'!I23)),'12_Datos_5m'!I24-'12_Datos_5m'!I23,0)</f>
        <v>0</v>
      </c>
      <c r="E24" s="151" t="n">
        <f aca="false">MAX(0,D24)</f>
        <v>0</v>
      </c>
      <c r="F24" s="151" t="n">
        <f aca="false">IF(AND(ISNUMBER('12_Datos_5m'!G24),N('12_Datos_5m'!G24)&gt;0),'12_Datos_5m'!H24/'12_Datos_5m'!G24,0.5)</f>
        <v>0.5</v>
      </c>
      <c r="G24" s="151" t="n">
        <f aca="false">IF(ISNUMBER(C24),($C$2-C24)/3600000,0)</f>
        <v>0</v>
      </c>
      <c r="H24" s="151" t="n">
        <f aca="false">EXP(-G24/'13_Mapa_Liq'!$B$7)</f>
        <v>1</v>
      </c>
      <c r="I24" s="151" t="n">
        <f aca="false">E24*F24*H24</f>
        <v>0</v>
      </c>
      <c r="J24" s="151" t="n">
        <f aca="false">E24*(1-F24)*H24</f>
        <v>0</v>
      </c>
      <c r="K24" s="151" t="n">
        <f aca="false">IF(COUNT('12_Datos_5m'!E25:E$504)=0,1000000000000,MIN('12_Datos_5m'!E25:E$504))</f>
        <v>1000000000000</v>
      </c>
      <c r="L24" s="151" t="n">
        <f aca="false">IF(COUNT('12_Datos_5m'!D25:D$504)=0,0,MAX('12_Datos_5m'!D25:D$504))</f>
        <v>0</v>
      </c>
      <c r="M24" s="151" t="str">
        <f aca="false">IF(ISNUMBER(B24),B24*(1-1/'13_Mapa_Liq'!$B$15+'13_Mapa_Liq'!$B$6),"")</f>
        <v/>
      </c>
      <c r="N24" s="151" t="n">
        <f aca="false">IF(ISNUMBER(B24),IF(K24&gt;M24,I24*'13_Mapa_Liq'!$C$15,0),0)</f>
        <v>0</v>
      </c>
      <c r="O24" s="151" t="str">
        <f aca="false">IF(ISNUMBER(B24),B24*(1+1/'13_Mapa_Liq'!$B$15-'13_Mapa_Liq'!$B$6),"")</f>
        <v/>
      </c>
      <c r="P24" s="151" t="n">
        <f aca="false">IF(ISNUMBER(B24),IF(L24&lt;O24,J24*'13_Mapa_Liq'!$C$15,0),0)</f>
        <v>0</v>
      </c>
      <c r="Q24" s="151" t="str">
        <f aca="false">IF(ISNUMBER(B24),B24*(1-1/'13_Mapa_Liq'!$B$16+'13_Mapa_Liq'!$B$6),"")</f>
        <v/>
      </c>
      <c r="R24" s="151" t="n">
        <f aca="false">IF(ISNUMBER(B24),IF(K24&gt;Q24,I24*'13_Mapa_Liq'!$C$16,0),0)</f>
        <v>0</v>
      </c>
      <c r="S24" s="151" t="str">
        <f aca="false">IF(ISNUMBER(B24),B24*(1+1/'13_Mapa_Liq'!$B$16-'13_Mapa_Liq'!$B$6),"")</f>
        <v/>
      </c>
      <c r="T24" s="151" t="n">
        <f aca="false">IF(ISNUMBER(B24),IF(L24&lt;S24,J24*'13_Mapa_Liq'!$C$16,0),0)</f>
        <v>0</v>
      </c>
      <c r="U24" s="151" t="str">
        <f aca="false">IF(ISNUMBER(B24),B24*(1-1/'13_Mapa_Liq'!$B$17+'13_Mapa_Liq'!$B$6),"")</f>
        <v/>
      </c>
      <c r="V24" s="151" t="n">
        <f aca="false">IF(ISNUMBER(B24),IF(K24&gt;U24,I24*'13_Mapa_Liq'!$C$17,0),0)</f>
        <v>0</v>
      </c>
      <c r="W24" s="151" t="str">
        <f aca="false">IF(ISNUMBER(B24),B24*(1+1/'13_Mapa_Liq'!$B$17-'13_Mapa_Liq'!$B$6),"")</f>
        <v/>
      </c>
      <c r="X24" s="151" t="n">
        <f aca="false">IF(ISNUMBER(B24),IF(L24&lt;W24,J24*'13_Mapa_Liq'!$C$17,0),0)</f>
        <v>0</v>
      </c>
      <c r="Y24" s="151" t="str">
        <f aca="false">IF(ISNUMBER(B24),B24*(1-1/'13_Mapa_Liq'!$B$18+'13_Mapa_Liq'!$B$6),"")</f>
        <v/>
      </c>
      <c r="Z24" s="151" t="n">
        <f aca="false">IF(ISNUMBER(B24),IF(K24&gt;Y24,I24*'13_Mapa_Liq'!$C$18,0),0)</f>
        <v>0</v>
      </c>
      <c r="AA24" s="151" t="str">
        <f aca="false">IF(ISNUMBER(B24),B24*(1+1/'13_Mapa_Liq'!$B$18-'13_Mapa_Liq'!$B$6),"")</f>
        <v/>
      </c>
      <c r="AB24" s="151" t="n">
        <f aca="false">IF(ISNUMBER(B24),IF(L24&lt;AA24,J24*'13_Mapa_Liq'!$C$18,0),0)</f>
        <v>0</v>
      </c>
      <c r="AC24" s="151" t="str">
        <f aca="false">IF(ISNUMBER(B24),B24*(1-1/'13_Mapa_Liq'!$B$19+'13_Mapa_Liq'!$B$6),"")</f>
        <v/>
      </c>
      <c r="AD24" s="151" t="n">
        <f aca="false">IF(ISNUMBER(B24),IF(K24&gt;AC24,I24*'13_Mapa_Liq'!$C$19,0),0)</f>
        <v>0</v>
      </c>
      <c r="AE24" s="151" t="str">
        <f aca="false">IF(ISNUMBER(B24),B24*(1+1/'13_Mapa_Liq'!$B$19-'13_Mapa_Liq'!$B$6),"")</f>
        <v/>
      </c>
      <c r="AF24" s="151" t="n">
        <f aca="false">IF(ISNUMBER(B24),IF(L24&lt;AE24,J24*'13_Mapa_Liq'!$C$19,0),0)</f>
        <v>0</v>
      </c>
      <c r="AG24" s="151"/>
      <c r="AH24" s="151" t="n">
        <f aca="false">IF(ISNUMBER(B24),E24*F24*((K24&lt;=M24)*'13_Mapa_Liq'!$C$15+(K24&lt;=Q24)*'13_Mapa_Liq'!$C$16+(K24&lt;=U24)*'13_Mapa_Liq'!$C$17+(K24&lt;=Y24)*'13_Mapa_Liq'!$C$18+(K24&lt;=AC24)*'13_Mapa_Liq'!$C$19),0)</f>
        <v>0</v>
      </c>
      <c r="AI24" s="151" t="n">
        <f aca="false">IF(ISNUMBER(B24),E24*(1-F24)*((L24&gt;=O24)*'13_Mapa_Liq'!$C$15+(L24&gt;=S24)*'13_Mapa_Liq'!$C$16+(L24&gt;=W24)*'13_Mapa_Liq'!$C$17+(L24&gt;=AA24)*'13_Mapa_Liq'!$C$18+(L24&gt;=AE24)*'13_Mapa_Liq'!$C$19),0)</f>
        <v>0</v>
      </c>
    </row>
    <row r="25" customFormat="false" ht="15" hidden="false" customHeight="false" outlineLevel="0" collapsed="false">
      <c r="A25" s="151" t="str">
        <f aca="false">IF(ISNUMBER('12_Datos_5m'!F25),ROW()-4,"")</f>
        <v/>
      </c>
      <c r="B25" s="151" t="str">
        <f aca="false">IF(ISNUMBER('12_Datos_5m'!F25),'12_Datos_5m'!F25,"")</f>
        <v/>
      </c>
      <c r="C25" s="151" t="str">
        <f aca="false">IF(ISNUMBER('12_Datos_5m'!A25),'12_Datos_5m'!A25,"")</f>
        <v/>
      </c>
      <c r="D25" s="151" t="n">
        <f aca="false">IF(AND(ISNUMBER('12_Datos_5m'!I25),ISNUMBER('12_Datos_5m'!I24)),'12_Datos_5m'!I25-'12_Datos_5m'!I24,0)</f>
        <v>0</v>
      </c>
      <c r="E25" s="151" t="n">
        <f aca="false">MAX(0,D25)</f>
        <v>0</v>
      </c>
      <c r="F25" s="151" t="n">
        <f aca="false">IF(AND(ISNUMBER('12_Datos_5m'!G25),N('12_Datos_5m'!G25)&gt;0),'12_Datos_5m'!H25/'12_Datos_5m'!G25,0.5)</f>
        <v>0.5</v>
      </c>
      <c r="G25" s="151" t="n">
        <f aca="false">IF(ISNUMBER(C25),($C$2-C25)/3600000,0)</f>
        <v>0</v>
      </c>
      <c r="H25" s="151" t="n">
        <f aca="false">EXP(-G25/'13_Mapa_Liq'!$B$7)</f>
        <v>1</v>
      </c>
      <c r="I25" s="151" t="n">
        <f aca="false">E25*F25*H25</f>
        <v>0</v>
      </c>
      <c r="J25" s="151" t="n">
        <f aca="false">E25*(1-F25)*H25</f>
        <v>0</v>
      </c>
      <c r="K25" s="151" t="n">
        <f aca="false">IF(COUNT('12_Datos_5m'!E26:E$504)=0,1000000000000,MIN('12_Datos_5m'!E26:E$504))</f>
        <v>1000000000000</v>
      </c>
      <c r="L25" s="151" t="n">
        <f aca="false">IF(COUNT('12_Datos_5m'!D26:D$504)=0,0,MAX('12_Datos_5m'!D26:D$504))</f>
        <v>0</v>
      </c>
      <c r="M25" s="151" t="str">
        <f aca="false">IF(ISNUMBER(B25),B25*(1-1/'13_Mapa_Liq'!$B$15+'13_Mapa_Liq'!$B$6),"")</f>
        <v/>
      </c>
      <c r="N25" s="151" t="n">
        <f aca="false">IF(ISNUMBER(B25),IF(K25&gt;M25,I25*'13_Mapa_Liq'!$C$15,0),0)</f>
        <v>0</v>
      </c>
      <c r="O25" s="151" t="str">
        <f aca="false">IF(ISNUMBER(B25),B25*(1+1/'13_Mapa_Liq'!$B$15-'13_Mapa_Liq'!$B$6),"")</f>
        <v/>
      </c>
      <c r="P25" s="151" t="n">
        <f aca="false">IF(ISNUMBER(B25),IF(L25&lt;O25,J25*'13_Mapa_Liq'!$C$15,0),0)</f>
        <v>0</v>
      </c>
      <c r="Q25" s="151" t="str">
        <f aca="false">IF(ISNUMBER(B25),B25*(1-1/'13_Mapa_Liq'!$B$16+'13_Mapa_Liq'!$B$6),"")</f>
        <v/>
      </c>
      <c r="R25" s="151" t="n">
        <f aca="false">IF(ISNUMBER(B25),IF(K25&gt;Q25,I25*'13_Mapa_Liq'!$C$16,0),0)</f>
        <v>0</v>
      </c>
      <c r="S25" s="151" t="str">
        <f aca="false">IF(ISNUMBER(B25),B25*(1+1/'13_Mapa_Liq'!$B$16-'13_Mapa_Liq'!$B$6),"")</f>
        <v/>
      </c>
      <c r="T25" s="151" t="n">
        <f aca="false">IF(ISNUMBER(B25),IF(L25&lt;S25,J25*'13_Mapa_Liq'!$C$16,0),0)</f>
        <v>0</v>
      </c>
      <c r="U25" s="151" t="str">
        <f aca="false">IF(ISNUMBER(B25),B25*(1-1/'13_Mapa_Liq'!$B$17+'13_Mapa_Liq'!$B$6),"")</f>
        <v/>
      </c>
      <c r="V25" s="151" t="n">
        <f aca="false">IF(ISNUMBER(B25),IF(K25&gt;U25,I25*'13_Mapa_Liq'!$C$17,0),0)</f>
        <v>0</v>
      </c>
      <c r="W25" s="151" t="str">
        <f aca="false">IF(ISNUMBER(B25),B25*(1+1/'13_Mapa_Liq'!$B$17-'13_Mapa_Liq'!$B$6),"")</f>
        <v/>
      </c>
      <c r="X25" s="151" t="n">
        <f aca="false">IF(ISNUMBER(B25),IF(L25&lt;W25,J25*'13_Mapa_Liq'!$C$17,0),0)</f>
        <v>0</v>
      </c>
      <c r="Y25" s="151" t="str">
        <f aca="false">IF(ISNUMBER(B25),B25*(1-1/'13_Mapa_Liq'!$B$18+'13_Mapa_Liq'!$B$6),"")</f>
        <v/>
      </c>
      <c r="Z25" s="151" t="n">
        <f aca="false">IF(ISNUMBER(B25),IF(K25&gt;Y25,I25*'13_Mapa_Liq'!$C$18,0),0)</f>
        <v>0</v>
      </c>
      <c r="AA25" s="151" t="str">
        <f aca="false">IF(ISNUMBER(B25),B25*(1+1/'13_Mapa_Liq'!$B$18-'13_Mapa_Liq'!$B$6),"")</f>
        <v/>
      </c>
      <c r="AB25" s="151" t="n">
        <f aca="false">IF(ISNUMBER(B25),IF(L25&lt;AA25,J25*'13_Mapa_Liq'!$C$18,0),0)</f>
        <v>0</v>
      </c>
      <c r="AC25" s="151" t="str">
        <f aca="false">IF(ISNUMBER(B25),B25*(1-1/'13_Mapa_Liq'!$B$19+'13_Mapa_Liq'!$B$6),"")</f>
        <v/>
      </c>
      <c r="AD25" s="151" t="n">
        <f aca="false">IF(ISNUMBER(B25),IF(K25&gt;AC25,I25*'13_Mapa_Liq'!$C$19,0),0)</f>
        <v>0</v>
      </c>
      <c r="AE25" s="151" t="str">
        <f aca="false">IF(ISNUMBER(B25),B25*(1+1/'13_Mapa_Liq'!$B$19-'13_Mapa_Liq'!$B$6),"")</f>
        <v/>
      </c>
      <c r="AF25" s="151" t="n">
        <f aca="false">IF(ISNUMBER(B25),IF(L25&lt;AE25,J25*'13_Mapa_Liq'!$C$19,0),0)</f>
        <v>0</v>
      </c>
      <c r="AG25" s="151"/>
      <c r="AH25" s="151" t="n">
        <f aca="false">IF(ISNUMBER(B25),E25*F25*((K25&lt;=M25)*'13_Mapa_Liq'!$C$15+(K25&lt;=Q25)*'13_Mapa_Liq'!$C$16+(K25&lt;=U25)*'13_Mapa_Liq'!$C$17+(K25&lt;=Y25)*'13_Mapa_Liq'!$C$18+(K25&lt;=AC25)*'13_Mapa_Liq'!$C$19),0)</f>
        <v>0</v>
      </c>
      <c r="AI25" s="151" t="n">
        <f aca="false">IF(ISNUMBER(B25),E25*(1-F25)*((L25&gt;=O25)*'13_Mapa_Liq'!$C$15+(L25&gt;=S25)*'13_Mapa_Liq'!$C$16+(L25&gt;=W25)*'13_Mapa_Liq'!$C$17+(L25&gt;=AA25)*'13_Mapa_Liq'!$C$18+(L25&gt;=AE25)*'13_Mapa_Liq'!$C$19),0)</f>
        <v>0</v>
      </c>
    </row>
    <row r="26" customFormat="false" ht="15" hidden="false" customHeight="false" outlineLevel="0" collapsed="false">
      <c r="A26" s="151" t="str">
        <f aca="false">IF(ISNUMBER('12_Datos_5m'!F26),ROW()-4,"")</f>
        <v/>
      </c>
      <c r="B26" s="151" t="str">
        <f aca="false">IF(ISNUMBER('12_Datos_5m'!F26),'12_Datos_5m'!F26,"")</f>
        <v/>
      </c>
      <c r="C26" s="151" t="str">
        <f aca="false">IF(ISNUMBER('12_Datos_5m'!A26),'12_Datos_5m'!A26,"")</f>
        <v/>
      </c>
      <c r="D26" s="151" t="n">
        <f aca="false">IF(AND(ISNUMBER('12_Datos_5m'!I26),ISNUMBER('12_Datos_5m'!I25)),'12_Datos_5m'!I26-'12_Datos_5m'!I25,0)</f>
        <v>0</v>
      </c>
      <c r="E26" s="151" t="n">
        <f aca="false">MAX(0,D26)</f>
        <v>0</v>
      </c>
      <c r="F26" s="151" t="n">
        <f aca="false">IF(AND(ISNUMBER('12_Datos_5m'!G26),N('12_Datos_5m'!G26)&gt;0),'12_Datos_5m'!H26/'12_Datos_5m'!G26,0.5)</f>
        <v>0.5</v>
      </c>
      <c r="G26" s="151" t="n">
        <f aca="false">IF(ISNUMBER(C26),($C$2-C26)/3600000,0)</f>
        <v>0</v>
      </c>
      <c r="H26" s="151" t="n">
        <f aca="false">EXP(-G26/'13_Mapa_Liq'!$B$7)</f>
        <v>1</v>
      </c>
      <c r="I26" s="151" t="n">
        <f aca="false">E26*F26*H26</f>
        <v>0</v>
      </c>
      <c r="J26" s="151" t="n">
        <f aca="false">E26*(1-F26)*H26</f>
        <v>0</v>
      </c>
      <c r="K26" s="151" t="n">
        <f aca="false">IF(COUNT('12_Datos_5m'!E27:E$504)=0,1000000000000,MIN('12_Datos_5m'!E27:E$504))</f>
        <v>1000000000000</v>
      </c>
      <c r="L26" s="151" t="n">
        <f aca="false">IF(COUNT('12_Datos_5m'!D27:D$504)=0,0,MAX('12_Datos_5m'!D27:D$504))</f>
        <v>0</v>
      </c>
      <c r="M26" s="151" t="str">
        <f aca="false">IF(ISNUMBER(B26),B26*(1-1/'13_Mapa_Liq'!$B$15+'13_Mapa_Liq'!$B$6),"")</f>
        <v/>
      </c>
      <c r="N26" s="151" t="n">
        <f aca="false">IF(ISNUMBER(B26),IF(K26&gt;M26,I26*'13_Mapa_Liq'!$C$15,0),0)</f>
        <v>0</v>
      </c>
      <c r="O26" s="151" t="str">
        <f aca="false">IF(ISNUMBER(B26),B26*(1+1/'13_Mapa_Liq'!$B$15-'13_Mapa_Liq'!$B$6),"")</f>
        <v/>
      </c>
      <c r="P26" s="151" t="n">
        <f aca="false">IF(ISNUMBER(B26),IF(L26&lt;O26,J26*'13_Mapa_Liq'!$C$15,0),0)</f>
        <v>0</v>
      </c>
      <c r="Q26" s="151" t="str">
        <f aca="false">IF(ISNUMBER(B26),B26*(1-1/'13_Mapa_Liq'!$B$16+'13_Mapa_Liq'!$B$6),"")</f>
        <v/>
      </c>
      <c r="R26" s="151" t="n">
        <f aca="false">IF(ISNUMBER(B26),IF(K26&gt;Q26,I26*'13_Mapa_Liq'!$C$16,0),0)</f>
        <v>0</v>
      </c>
      <c r="S26" s="151" t="str">
        <f aca="false">IF(ISNUMBER(B26),B26*(1+1/'13_Mapa_Liq'!$B$16-'13_Mapa_Liq'!$B$6),"")</f>
        <v/>
      </c>
      <c r="T26" s="151" t="n">
        <f aca="false">IF(ISNUMBER(B26),IF(L26&lt;S26,J26*'13_Mapa_Liq'!$C$16,0),0)</f>
        <v>0</v>
      </c>
      <c r="U26" s="151" t="str">
        <f aca="false">IF(ISNUMBER(B26),B26*(1-1/'13_Mapa_Liq'!$B$17+'13_Mapa_Liq'!$B$6),"")</f>
        <v/>
      </c>
      <c r="V26" s="151" t="n">
        <f aca="false">IF(ISNUMBER(B26),IF(K26&gt;U26,I26*'13_Mapa_Liq'!$C$17,0),0)</f>
        <v>0</v>
      </c>
      <c r="W26" s="151" t="str">
        <f aca="false">IF(ISNUMBER(B26),B26*(1+1/'13_Mapa_Liq'!$B$17-'13_Mapa_Liq'!$B$6),"")</f>
        <v/>
      </c>
      <c r="X26" s="151" t="n">
        <f aca="false">IF(ISNUMBER(B26),IF(L26&lt;W26,J26*'13_Mapa_Liq'!$C$17,0),0)</f>
        <v>0</v>
      </c>
      <c r="Y26" s="151" t="str">
        <f aca="false">IF(ISNUMBER(B26),B26*(1-1/'13_Mapa_Liq'!$B$18+'13_Mapa_Liq'!$B$6),"")</f>
        <v/>
      </c>
      <c r="Z26" s="151" t="n">
        <f aca="false">IF(ISNUMBER(B26),IF(K26&gt;Y26,I26*'13_Mapa_Liq'!$C$18,0),0)</f>
        <v>0</v>
      </c>
      <c r="AA26" s="151" t="str">
        <f aca="false">IF(ISNUMBER(B26),B26*(1+1/'13_Mapa_Liq'!$B$18-'13_Mapa_Liq'!$B$6),"")</f>
        <v/>
      </c>
      <c r="AB26" s="151" t="n">
        <f aca="false">IF(ISNUMBER(B26),IF(L26&lt;AA26,J26*'13_Mapa_Liq'!$C$18,0),0)</f>
        <v>0</v>
      </c>
      <c r="AC26" s="151" t="str">
        <f aca="false">IF(ISNUMBER(B26),B26*(1-1/'13_Mapa_Liq'!$B$19+'13_Mapa_Liq'!$B$6),"")</f>
        <v/>
      </c>
      <c r="AD26" s="151" t="n">
        <f aca="false">IF(ISNUMBER(B26),IF(K26&gt;AC26,I26*'13_Mapa_Liq'!$C$19,0),0)</f>
        <v>0</v>
      </c>
      <c r="AE26" s="151" t="str">
        <f aca="false">IF(ISNUMBER(B26),B26*(1+1/'13_Mapa_Liq'!$B$19-'13_Mapa_Liq'!$B$6),"")</f>
        <v/>
      </c>
      <c r="AF26" s="151" t="n">
        <f aca="false">IF(ISNUMBER(B26),IF(L26&lt;AE26,J26*'13_Mapa_Liq'!$C$19,0),0)</f>
        <v>0</v>
      </c>
      <c r="AG26" s="151"/>
      <c r="AH26" s="151" t="n">
        <f aca="false">IF(ISNUMBER(B26),E26*F26*((K26&lt;=M26)*'13_Mapa_Liq'!$C$15+(K26&lt;=Q26)*'13_Mapa_Liq'!$C$16+(K26&lt;=U26)*'13_Mapa_Liq'!$C$17+(K26&lt;=Y26)*'13_Mapa_Liq'!$C$18+(K26&lt;=AC26)*'13_Mapa_Liq'!$C$19),0)</f>
        <v>0</v>
      </c>
      <c r="AI26" s="151" t="n">
        <f aca="false">IF(ISNUMBER(B26),E26*(1-F26)*((L26&gt;=O26)*'13_Mapa_Liq'!$C$15+(L26&gt;=S26)*'13_Mapa_Liq'!$C$16+(L26&gt;=W26)*'13_Mapa_Liq'!$C$17+(L26&gt;=AA26)*'13_Mapa_Liq'!$C$18+(L26&gt;=AE26)*'13_Mapa_Liq'!$C$19),0)</f>
        <v>0</v>
      </c>
    </row>
    <row r="27" customFormat="false" ht="15" hidden="false" customHeight="false" outlineLevel="0" collapsed="false">
      <c r="A27" s="151" t="str">
        <f aca="false">IF(ISNUMBER('12_Datos_5m'!F27),ROW()-4,"")</f>
        <v/>
      </c>
      <c r="B27" s="151" t="str">
        <f aca="false">IF(ISNUMBER('12_Datos_5m'!F27),'12_Datos_5m'!F27,"")</f>
        <v/>
      </c>
      <c r="C27" s="151" t="str">
        <f aca="false">IF(ISNUMBER('12_Datos_5m'!A27),'12_Datos_5m'!A27,"")</f>
        <v/>
      </c>
      <c r="D27" s="151" t="n">
        <f aca="false">IF(AND(ISNUMBER('12_Datos_5m'!I27),ISNUMBER('12_Datos_5m'!I26)),'12_Datos_5m'!I27-'12_Datos_5m'!I26,0)</f>
        <v>0</v>
      </c>
      <c r="E27" s="151" t="n">
        <f aca="false">MAX(0,D27)</f>
        <v>0</v>
      </c>
      <c r="F27" s="151" t="n">
        <f aca="false">IF(AND(ISNUMBER('12_Datos_5m'!G27),N('12_Datos_5m'!G27)&gt;0),'12_Datos_5m'!H27/'12_Datos_5m'!G27,0.5)</f>
        <v>0.5</v>
      </c>
      <c r="G27" s="151" t="n">
        <f aca="false">IF(ISNUMBER(C27),($C$2-C27)/3600000,0)</f>
        <v>0</v>
      </c>
      <c r="H27" s="151" t="n">
        <f aca="false">EXP(-G27/'13_Mapa_Liq'!$B$7)</f>
        <v>1</v>
      </c>
      <c r="I27" s="151" t="n">
        <f aca="false">E27*F27*H27</f>
        <v>0</v>
      </c>
      <c r="J27" s="151" t="n">
        <f aca="false">E27*(1-F27)*H27</f>
        <v>0</v>
      </c>
      <c r="K27" s="151" t="n">
        <f aca="false">IF(COUNT('12_Datos_5m'!E28:E$504)=0,1000000000000,MIN('12_Datos_5m'!E28:E$504))</f>
        <v>1000000000000</v>
      </c>
      <c r="L27" s="151" t="n">
        <f aca="false">IF(COUNT('12_Datos_5m'!D28:D$504)=0,0,MAX('12_Datos_5m'!D28:D$504))</f>
        <v>0</v>
      </c>
      <c r="M27" s="151" t="str">
        <f aca="false">IF(ISNUMBER(B27),B27*(1-1/'13_Mapa_Liq'!$B$15+'13_Mapa_Liq'!$B$6),"")</f>
        <v/>
      </c>
      <c r="N27" s="151" t="n">
        <f aca="false">IF(ISNUMBER(B27),IF(K27&gt;M27,I27*'13_Mapa_Liq'!$C$15,0),0)</f>
        <v>0</v>
      </c>
      <c r="O27" s="151" t="str">
        <f aca="false">IF(ISNUMBER(B27),B27*(1+1/'13_Mapa_Liq'!$B$15-'13_Mapa_Liq'!$B$6),"")</f>
        <v/>
      </c>
      <c r="P27" s="151" t="n">
        <f aca="false">IF(ISNUMBER(B27),IF(L27&lt;O27,J27*'13_Mapa_Liq'!$C$15,0),0)</f>
        <v>0</v>
      </c>
      <c r="Q27" s="151" t="str">
        <f aca="false">IF(ISNUMBER(B27),B27*(1-1/'13_Mapa_Liq'!$B$16+'13_Mapa_Liq'!$B$6),"")</f>
        <v/>
      </c>
      <c r="R27" s="151" t="n">
        <f aca="false">IF(ISNUMBER(B27),IF(K27&gt;Q27,I27*'13_Mapa_Liq'!$C$16,0),0)</f>
        <v>0</v>
      </c>
      <c r="S27" s="151" t="str">
        <f aca="false">IF(ISNUMBER(B27),B27*(1+1/'13_Mapa_Liq'!$B$16-'13_Mapa_Liq'!$B$6),"")</f>
        <v/>
      </c>
      <c r="T27" s="151" t="n">
        <f aca="false">IF(ISNUMBER(B27),IF(L27&lt;S27,J27*'13_Mapa_Liq'!$C$16,0),0)</f>
        <v>0</v>
      </c>
      <c r="U27" s="151" t="str">
        <f aca="false">IF(ISNUMBER(B27),B27*(1-1/'13_Mapa_Liq'!$B$17+'13_Mapa_Liq'!$B$6),"")</f>
        <v/>
      </c>
      <c r="V27" s="151" t="n">
        <f aca="false">IF(ISNUMBER(B27),IF(K27&gt;U27,I27*'13_Mapa_Liq'!$C$17,0),0)</f>
        <v>0</v>
      </c>
      <c r="W27" s="151" t="str">
        <f aca="false">IF(ISNUMBER(B27),B27*(1+1/'13_Mapa_Liq'!$B$17-'13_Mapa_Liq'!$B$6),"")</f>
        <v/>
      </c>
      <c r="X27" s="151" t="n">
        <f aca="false">IF(ISNUMBER(B27),IF(L27&lt;W27,J27*'13_Mapa_Liq'!$C$17,0),0)</f>
        <v>0</v>
      </c>
      <c r="Y27" s="151" t="str">
        <f aca="false">IF(ISNUMBER(B27),B27*(1-1/'13_Mapa_Liq'!$B$18+'13_Mapa_Liq'!$B$6),"")</f>
        <v/>
      </c>
      <c r="Z27" s="151" t="n">
        <f aca="false">IF(ISNUMBER(B27),IF(K27&gt;Y27,I27*'13_Mapa_Liq'!$C$18,0),0)</f>
        <v>0</v>
      </c>
      <c r="AA27" s="151" t="str">
        <f aca="false">IF(ISNUMBER(B27),B27*(1+1/'13_Mapa_Liq'!$B$18-'13_Mapa_Liq'!$B$6),"")</f>
        <v/>
      </c>
      <c r="AB27" s="151" t="n">
        <f aca="false">IF(ISNUMBER(B27),IF(L27&lt;AA27,J27*'13_Mapa_Liq'!$C$18,0),0)</f>
        <v>0</v>
      </c>
      <c r="AC27" s="151" t="str">
        <f aca="false">IF(ISNUMBER(B27),B27*(1-1/'13_Mapa_Liq'!$B$19+'13_Mapa_Liq'!$B$6),"")</f>
        <v/>
      </c>
      <c r="AD27" s="151" t="n">
        <f aca="false">IF(ISNUMBER(B27),IF(K27&gt;AC27,I27*'13_Mapa_Liq'!$C$19,0),0)</f>
        <v>0</v>
      </c>
      <c r="AE27" s="151" t="str">
        <f aca="false">IF(ISNUMBER(B27),B27*(1+1/'13_Mapa_Liq'!$B$19-'13_Mapa_Liq'!$B$6),"")</f>
        <v/>
      </c>
      <c r="AF27" s="151" t="n">
        <f aca="false">IF(ISNUMBER(B27),IF(L27&lt;AE27,J27*'13_Mapa_Liq'!$C$19,0),0)</f>
        <v>0</v>
      </c>
      <c r="AG27" s="151"/>
      <c r="AH27" s="151" t="n">
        <f aca="false">IF(ISNUMBER(B27),E27*F27*((K27&lt;=M27)*'13_Mapa_Liq'!$C$15+(K27&lt;=Q27)*'13_Mapa_Liq'!$C$16+(K27&lt;=U27)*'13_Mapa_Liq'!$C$17+(K27&lt;=Y27)*'13_Mapa_Liq'!$C$18+(K27&lt;=AC27)*'13_Mapa_Liq'!$C$19),0)</f>
        <v>0</v>
      </c>
      <c r="AI27" s="151" t="n">
        <f aca="false">IF(ISNUMBER(B27),E27*(1-F27)*((L27&gt;=O27)*'13_Mapa_Liq'!$C$15+(L27&gt;=S27)*'13_Mapa_Liq'!$C$16+(L27&gt;=W27)*'13_Mapa_Liq'!$C$17+(L27&gt;=AA27)*'13_Mapa_Liq'!$C$18+(L27&gt;=AE27)*'13_Mapa_Liq'!$C$19),0)</f>
        <v>0</v>
      </c>
    </row>
    <row r="28" customFormat="false" ht="15" hidden="false" customHeight="false" outlineLevel="0" collapsed="false">
      <c r="A28" s="151" t="str">
        <f aca="false">IF(ISNUMBER('12_Datos_5m'!F28),ROW()-4,"")</f>
        <v/>
      </c>
      <c r="B28" s="151" t="str">
        <f aca="false">IF(ISNUMBER('12_Datos_5m'!F28),'12_Datos_5m'!F28,"")</f>
        <v/>
      </c>
      <c r="C28" s="151" t="str">
        <f aca="false">IF(ISNUMBER('12_Datos_5m'!A28),'12_Datos_5m'!A28,"")</f>
        <v/>
      </c>
      <c r="D28" s="151" t="n">
        <f aca="false">IF(AND(ISNUMBER('12_Datos_5m'!I28),ISNUMBER('12_Datos_5m'!I27)),'12_Datos_5m'!I28-'12_Datos_5m'!I27,0)</f>
        <v>0</v>
      </c>
      <c r="E28" s="151" t="n">
        <f aca="false">MAX(0,D28)</f>
        <v>0</v>
      </c>
      <c r="F28" s="151" t="n">
        <f aca="false">IF(AND(ISNUMBER('12_Datos_5m'!G28),N('12_Datos_5m'!G28)&gt;0),'12_Datos_5m'!H28/'12_Datos_5m'!G28,0.5)</f>
        <v>0.5</v>
      </c>
      <c r="G28" s="151" t="n">
        <f aca="false">IF(ISNUMBER(C28),($C$2-C28)/3600000,0)</f>
        <v>0</v>
      </c>
      <c r="H28" s="151" t="n">
        <f aca="false">EXP(-G28/'13_Mapa_Liq'!$B$7)</f>
        <v>1</v>
      </c>
      <c r="I28" s="151" t="n">
        <f aca="false">E28*F28*H28</f>
        <v>0</v>
      </c>
      <c r="J28" s="151" t="n">
        <f aca="false">E28*(1-F28)*H28</f>
        <v>0</v>
      </c>
      <c r="K28" s="151" t="n">
        <f aca="false">IF(COUNT('12_Datos_5m'!E29:E$504)=0,1000000000000,MIN('12_Datos_5m'!E29:E$504))</f>
        <v>1000000000000</v>
      </c>
      <c r="L28" s="151" t="n">
        <f aca="false">IF(COUNT('12_Datos_5m'!D29:D$504)=0,0,MAX('12_Datos_5m'!D29:D$504))</f>
        <v>0</v>
      </c>
      <c r="M28" s="151" t="str">
        <f aca="false">IF(ISNUMBER(B28),B28*(1-1/'13_Mapa_Liq'!$B$15+'13_Mapa_Liq'!$B$6),"")</f>
        <v/>
      </c>
      <c r="N28" s="151" t="n">
        <f aca="false">IF(ISNUMBER(B28),IF(K28&gt;M28,I28*'13_Mapa_Liq'!$C$15,0),0)</f>
        <v>0</v>
      </c>
      <c r="O28" s="151" t="str">
        <f aca="false">IF(ISNUMBER(B28),B28*(1+1/'13_Mapa_Liq'!$B$15-'13_Mapa_Liq'!$B$6),"")</f>
        <v/>
      </c>
      <c r="P28" s="151" t="n">
        <f aca="false">IF(ISNUMBER(B28),IF(L28&lt;O28,J28*'13_Mapa_Liq'!$C$15,0),0)</f>
        <v>0</v>
      </c>
      <c r="Q28" s="151" t="str">
        <f aca="false">IF(ISNUMBER(B28),B28*(1-1/'13_Mapa_Liq'!$B$16+'13_Mapa_Liq'!$B$6),"")</f>
        <v/>
      </c>
      <c r="R28" s="151" t="n">
        <f aca="false">IF(ISNUMBER(B28),IF(K28&gt;Q28,I28*'13_Mapa_Liq'!$C$16,0),0)</f>
        <v>0</v>
      </c>
      <c r="S28" s="151" t="str">
        <f aca="false">IF(ISNUMBER(B28),B28*(1+1/'13_Mapa_Liq'!$B$16-'13_Mapa_Liq'!$B$6),"")</f>
        <v/>
      </c>
      <c r="T28" s="151" t="n">
        <f aca="false">IF(ISNUMBER(B28),IF(L28&lt;S28,J28*'13_Mapa_Liq'!$C$16,0),0)</f>
        <v>0</v>
      </c>
      <c r="U28" s="151" t="str">
        <f aca="false">IF(ISNUMBER(B28),B28*(1-1/'13_Mapa_Liq'!$B$17+'13_Mapa_Liq'!$B$6),"")</f>
        <v/>
      </c>
      <c r="V28" s="151" t="n">
        <f aca="false">IF(ISNUMBER(B28),IF(K28&gt;U28,I28*'13_Mapa_Liq'!$C$17,0),0)</f>
        <v>0</v>
      </c>
      <c r="W28" s="151" t="str">
        <f aca="false">IF(ISNUMBER(B28),B28*(1+1/'13_Mapa_Liq'!$B$17-'13_Mapa_Liq'!$B$6),"")</f>
        <v/>
      </c>
      <c r="X28" s="151" t="n">
        <f aca="false">IF(ISNUMBER(B28),IF(L28&lt;W28,J28*'13_Mapa_Liq'!$C$17,0),0)</f>
        <v>0</v>
      </c>
      <c r="Y28" s="151" t="str">
        <f aca="false">IF(ISNUMBER(B28),B28*(1-1/'13_Mapa_Liq'!$B$18+'13_Mapa_Liq'!$B$6),"")</f>
        <v/>
      </c>
      <c r="Z28" s="151" t="n">
        <f aca="false">IF(ISNUMBER(B28),IF(K28&gt;Y28,I28*'13_Mapa_Liq'!$C$18,0),0)</f>
        <v>0</v>
      </c>
      <c r="AA28" s="151" t="str">
        <f aca="false">IF(ISNUMBER(B28),B28*(1+1/'13_Mapa_Liq'!$B$18-'13_Mapa_Liq'!$B$6),"")</f>
        <v/>
      </c>
      <c r="AB28" s="151" t="n">
        <f aca="false">IF(ISNUMBER(B28),IF(L28&lt;AA28,J28*'13_Mapa_Liq'!$C$18,0),0)</f>
        <v>0</v>
      </c>
      <c r="AC28" s="151" t="str">
        <f aca="false">IF(ISNUMBER(B28),B28*(1-1/'13_Mapa_Liq'!$B$19+'13_Mapa_Liq'!$B$6),"")</f>
        <v/>
      </c>
      <c r="AD28" s="151" t="n">
        <f aca="false">IF(ISNUMBER(B28),IF(K28&gt;AC28,I28*'13_Mapa_Liq'!$C$19,0),0)</f>
        <v>0</v>
      </c>
      <c r="AE28" s="151" t="str">
        <f aca="false">IF(ISNUMBER(B28),B28*(1+1/'13_Mapa_Liq'!$B$19-'13_Mapa_Liq'!$B$6),"")</f>
        <v/>
      </c>
      <c r="AF28" s="151" t="n">
        <f aca="false">IF(ISNUMBER(B28),IF(L28&lt;AE28,J28*'13_Mapa_Liq'!$C$19,0),0)</f>
        <v>0</v>
      </c>
      <c r="AG28" s="151"/>
      <c r="AH28" s="151" t="n">
        <f aca="false">IF(ISNUMBER(B28),E28*F28*((K28&lt;=M28)*'13_Mapa_Liq'!$C$15+(K28&lt;=Q28)*'13_Mapa_Liq'!$C$16+(K28&lt;=U28)*'13_Mapa_Liq'!$C$17+(K28&lt;=Y28)*'13_Mapa_Liq'!$C$18+(K28&lt;=AC28)*'13_Mapa_Liq'!$C$19),0)</f>
        <v>0</v>
      </c>
      <c r="AI28" s="151" t="n">
        <f aca="false">IF(ISNUMBER(B28),E28*(1-F28)*((L28&gt;=O28)*'13_Mapa_Liq'!$C$15+(L28&gt;=S28)*'13_Mapa_Liq'!$C$16+(L28&gt;=W28)*'13_Mapa_Liq'!$C$17+(L28&gt;=AA28)*'13_Mapa_Liq'!$C$18+(L28&gt;=AE28)*'13_Mapa_Liq'!$C$19),0)</f>
        <v>0</v>
      </c>
    </row>
    <row r="29" customFormat="false" ht="15" hidden="false" customHeight="false" outlineLevel="0" collapsed="false">
      <c r="A29" s="151" t="str">
        <f aca="false">IF(ISNUMBER('12_Datos_5m'!F29),ROW()-4,"")</f>
        <v/>
      </c>
      <c r="B29" s="151" t="str">
        <f aca="false">IF(ISNUMBER('12_Datos_5m'!F29),'12_Datos_5m'!F29,"")</f>
        <v/>
      </c>
      <c r="C29" s="151" t="str">
        <f aca="false">IF(ISNUMBER('12_Datos_5m'!A29),'12_Datos_5m'!A29,"")</f>
        <v/>
      </c>
      <c r="D29" s="151" t="n">
        <f aca="false">IF(AND(ISNUMBER('12_Datos_5m'!I29),ISNUMBER('12_Datos_5m'!I28)),'12_Datos_5m'!I29-'12_Datos_5m'!I28,0)</f>
        <v>0</v>
      </c>
      <c r="E29" s="151" t="n">
        <f aca="false">MAX(0,D29)</f>
        <v>0</v>
      </c>
      <c r="F29" s="151" t="n">
        <f aca="false">IF(AND(ISNUMBER('12_Datos_5m'!G29),N('12_Datos_5m'!G29)&gt;0),'12_Datos_5m'!H29/'12_Datos_5m'!G29,0.5)</f>
        <v>0.5</v>
      </c>
      <c r="G29" s="151" t="n">
        <f aca="false">IF(ISNUMBER(C29),($C$2-C29)/3600000,0)</f>
        <v>0</v>
      </c>
      <c r="H29" s="151" t="n">
        <f aca="false">EXP(-G29/'13_Mapa_Liq'!$B$7)</f>
        <v>1</v>
      </c>
      <c r="I29" s="151" t="n">
        <f aca="false">E29*F29*H29</f>
        <v>0</v>
      </c>
      <c r="J29" s="151" t="n">
        <f aca="false">E29*(1-F29)*H29</f>
        <v>0</v>
      </c>
      <c r="K29" s="151" t="n">
        <f aca="false">IF(COUNT('12_Datos_5m'!E30:E$504)=0,1000000000000,MIN('12_Datos_5m'!E30:E$504))</f>
        <v>1000000000000</v>
      </c>
      <c r="L29" s="151" t="n">
        <f aca="false">IF(COUNT('12_Datos_5m'!D30:D$504)=0,0,MAX('12_Datos_5m'!D30:D$504))</f>
        <v>0</v>
      </c>
      <c r="M29" s="151" t="str">
        <f aca="false">IF(ISNUMBER(B29),B29*(1-1/'13_Mapa_Liq'!$B$15+'13_Mapa_Liq'!$B$6),"")</f>
        <v/>
      </c>
      <c r="N29" s="151" t="n">
        <f aca="false">IF(ISNUMBER(B29),IF(K29&gt;M29,I29*'13_Mapa_Liq'!$C$15,0),0)</f>
        <v>0</v>
      </c>
      <c r="O29" s="151" t="str">
        <f aca="false">IF(ISNUMBER(B29),B29*(1+1/'13_Mapa_Liq'!$B$15-'13_Mapa_Liq'!$B$6),"")</f>
        <v/>
      </c>
      <c r="P29" s="151" t="n">
        <f aca="false">IF(ISNUMBER(B29),IF(L29&lt;O29,J29*'13_Mapa_Liq'!$C$15,0),0)</f>
        <v>0</v>
      </c>
      <c r="Q29" s="151" t="str">
        <f aca="false">IF(ISNUMBER(B29),B29*(1-1/'13_Mapa_Liq'!$B$16+'13_Mapa_Liq'!$B$6),"")</f>
        <v/>
      </c>
      <c r="R29" s="151" t="n">
        <f aca="false">IF(ISNUMBER(B29),IF(K29&gt;Q29,I29*'13_Mapa_Liq'!$C$16,0),0)</f>
        <v>0</v>
      </c>
      <c r="S29" s="151" t="str">
        <f aca="false">IF(ISNUMBER(B29),B29*(1+1/'13_Mapa_Liq'!$B$16-'13_Mapa_Liq'!$B$6),"")</f>
        <v/>
      </c>
      <c r="T29" s="151" t="n">
        <f aca="false">IF(ISNUMBER(B29),IF(L29&lt;S29,J29*'13_Mapa_Liq'!$C$16,0),0)</f>
        <v>0</v>
      </c>
      <c r="U29" s="151" t="str">
        <f aca="false">IF(ISNUMBER(B29),B29*(1-1/'13_Mapa_Liq'!$B$17+'13_Mapa_Liq'!$B$6),"")</f>
        <v/>
      </c>
      <c r="V29" s="151" t="n">
        <f aca="false">IF(ISNUMBER(B29),IF(K29&gt;U29,I29*'13_Mapa_Liq'!$C$17,0),0)</f>
        <v>0</v>
      </c>
      <c r="W29" s="151" t="str">
        <f aca="false">IF(ISNUMBER(B29),B29*(1+1/'13_Mapa_Liq'!$B$17-'13_Mapa_Liq'!$B$6),"")</f>
        <v/>
      </c>
      <c r="X29" s="151" t="n">
        <f aca="false">IF(ISNUMBER(B29),IF(L29&lt;W29,J29*'13_Mapa_Liq'!$C$17,0),0)</f>
        <v>0</v>
      </c>
      <c r="Y29" s="151" t="str">
        <f aca="false">IF(ISNUMBER(B29),B29*(1-1/'13_Mapa_Liq'!$B$18+'13_Mapa_Liq'!$B$6),"")</f>
        <v/>
      </c>
      <c r="Z29" s="151" t="n">
        <f aca="false">IF(ISNUMBER(B29),IF(K29&gt;Y29,I29*'13_Mapa_Liq'!$C$18,0),0)</f>
        <v>0</v>
      </c>
      <c r="AA29" s="151" t="str">
        <f aca="false">IF(ISNUMBER(B29),B29*(1+1/'13_Mapa_Liq'!$B$18-'13_Mapa_Liq'!$B$6),"")</f>
        <v/>
      </c>
      <c r="AB29" s="151" t="n">
        <f aca="false">IF(ISNUMBER(B29),IF(L29&lt;AA29,J29*'13_Mapa_Liq'!$C$18,0),0)</f>
        <v>0</v>
      </c>
      <c r="AC29" s="151" t="str">
        <f aca="false">IF(ISNUMBER(B29),B29*(1-1/'13_Mapa_Liq'!$B$19+'13_Mapa_Liq'!$B$6),"")</f>
        <v/>
      </c>
      <c r="AD29" s="151" t="n">
        <f aca="false">IF(ISNUMBER(B29),IF(K29&gt;AC29,I29*'13_Mapa_Liq'!$C$19,0),0)</f>
        <v>0</v>
      </c>
      <c r="AE29" s="151" t="str">
        <f aca="false">IF(ISNUMBER(B29),B29*(1+1/'13_Mapa_Liq'!$B$19-'13_Mapa_Liq'!$B$6),"")</f>
        <v/>
      </c>
      <c r="AF29" s="151" t="n">
        <f aca="false">IF(ISNUMBER(B29),IF(L29&lt;AE29,J29*'13_Mapa_Liq'!$C$19,0),0)</f>
        <v>0</v>
      </c>
      <c r="AG29" s="151"/>
      <c r="AH29" s="151" t="n">
        <f aca="false">IF(ISNUMBER(B29),E29*F29*((K29&lt;=M29)*'13_Mapa_Liq'!$C$15+(K29&lt;=Q29)*'13_Mapa_Liq'!$C$16+(K29&lt;=U29)*'13_Mapa_Liq'!$C$17+(K29&lt;=Y29)*'13_Mapa_Liq'!$C$18+(K29&lt;=AC29)*'13_Mapa_Liq'!$C$19),0)</f>
        <v>0</v>
      </c>
      <c r="AI29" s="151" t="n">
        <f aca="false">IF(ISNUMBER(B29),E29*(1-F29)*((L29&gt;=O29)*'13_Mapa_Liq'!$C$15+(L29&gt;=S29)*'13_Mapa_Liq'!$C$16+(L29&gt;=W29)*'13_Mapa_Liq'!$C$17+(L29&gt;=AA29)*'13_Mapa_Liq'!$C$18+(L29&gt;=AE29)*'13_Mapa_Liq'!$C$19),0)</f>
        <v>0</v>
      </c>
    </row>
    <row r="30" customFormat="false" ht="15" hidden="false" customHeight="false" outlineLevel="0" collapsed="false">
      <c r="A30" s="151" t="str">
        <f aca="false">IF(ISNUMBER('12_Datos_5m'!F30),ROW()-4,"")</f>
        <v/>
      </c>
      <c r="B30" s="151" t="str">
        <f aca="false">IF(ISNUMBER('12_Datos_5m'!F30),'12_Datos_5m'!F30,"")</f>
        <v/>
      </c>
      <c r="C30" s="151" t="str">
        <f aca="false">IF(ISNUMBER('12_Datos_5m'!A30),'12_Datos_5m'!A30,"")</f>
        <v/>
      </c>
      <c r="D30" s="151" t="n">
        <f aca="false">IF(AND(ISNUMBER('12_Datos_5m'!I30),ISNUMBER('12_Datos_5m'!I29)),'12_Datos_5m'!I30-'12_Datos_5m'!I29,0)</f>
        <v>0</v>
      </c>
      <c r="E30" s="151" t="n">
        <f aca="false">MAX(0,D30)</f>
        <v>0</v>
      </c>
      <c r="F30" s="151" t="n">
        <f aca="false">IF(AND(ISNUMBER('12_Datos_5m'!G30),N('12_Datos_5m'!G30)&gt;0),'12_Datos_5m'!H30/'12_Datos_5m'!G30,0.5)</f>
        <v>0.5</v>
      </c>
      <c r="G30" s="151" t="n">
        <f aca="false">IF(ISNUMBER(C30),($C$2-C30)/3600000,0)</f>
        <v>0</v>
      </c>
      <c r="H30" s="151" t="n">
        <f aca="false">EXP(-G30/'13_Mapa_Liq'!$B$7)</f>
        <v>1</v>
      </c>
      <c r="I30" s="151" t="n">
        <f aca="false">E30*F30*H30</f>
        <v>0</v>
      </c>
      <c r="J30" s="151" t="n">
        <f aca="false">E30*(1-F30)*H30</f>
        <v>0</v>
      </c>
      <c r="K30" s="151" t="n">
        <f aca="false">IF(COUNT('12_Datos_5m'!E31:E$504)=0,1000000000000,MIN('12_Datos_5m'!E31:E$504))</f>
        <v>1000000000000</v>
      </c>
      <c r="L30" s="151" t="n">
        <f aca="false">IF(COUNT('12_Datos_5m'!D31:D$504)=0,0,MAX('12_Datos_5m'!D31:D$504))</f>
        <v>0</v>
      </c>
      <c r="M30" s="151" t="str">
        <f aca="false">IF(ISNUMBER(B30),B30*(1-1/'13_Mapa_Liq'!$B$15+'13_Mapa_Liq'!$B$6),"")</f>
        <v/>
      </c>
      <c r="N30" s="151" t="n">
        <f aca="false">IF(ISNUMBER(B30),IF(K30&gt;M30,I30*'13_Mapa_Liq'!$C$15,0),0)</f>
        <v>0</v>
      </c>
      <c r="O30" s="151" t="str">
        <f aca="false">IF(ISNUMBER(B30),B30*(1+1/'13_Mapa_Liq'!$B$15-'13_Mapa_Liq'!$B$6),"")</f>
        <v/>
      </c>
      <c r="P30" s="151" t="n">
        <f aca="false">IF(ISNUMBER(B30),IF(L30&lt;O30,J30*'13_Mapa_Liq'!$C$15,0),0)</f>
        <v>0</v>
      </c>
      <c r="Q30" s="151" t="str">
        <f aca="false">IF(ISNUMBER(B30),B30*(1-1/'13_Mapa_Liq'!$B$16+'13_Mapa_Liq'!$B$6),"")</f>
        <v/>
      </c>
      <c r="R30" s="151" t="n">
        <f aca="false">IF(ISNUMBER(B30),IF(K30&gt;Q30,I30*'13_Mapa_Liq'!$C$16,0),0)</f>
        <v>0</v>
      </c>
      <c r="S30" s="151" t="str">
        <f aca="false">IF(ISNUMBER(B30),B30*(1+1/'13_Mapa_Liq'!$B$16-'13_Mapa_Liq'!$B$6),"")</f>
        <v/>
      </c>
      <c r="T30" s="151" t="n">
        <f aca="false">IF(ISNUMBER(B30),IF(L30&lt;S30,J30*'13_Mapa_Liq'!$C$16,0),0)</f>
        <v>0</v>
      </c>
      <c r="U30" s="151" t="str">
        <f aca="false">IF(ISNUMBER(B30),B30*(1-1/'13_Mapa_Liq'!$B$17+'13_Mapa_Liq'!$B$6),"")</f>
        <v/>
      </c>
      <c r="V30" s="151" t="n">
        <f aca="false">IF(ISNUMBER(B30),IF(K30&gt;U30,I30*'13_Mapa_Liq'!$C$17,0),0)</f>
        <v>0</v>
      </c>
      <c r="W30" s="151" t="str">
        <f aca="false">IF(ISNUMBER(B30),B30*(1+1/'13_Mapa_Liq'!$B$17-'13_Mapa_Liq'!$B$6),"")</f>
        <v/>
      </c>
      <c r="X30" s="151" t="n">
        <f aca="false">IF(ISNUMBER(B30),IF(L30&lt;W30,J30*'13_Mapa_Liq'!$C$17,0),0)</f>
        <v>0</v>
      </c>
      <c r="Y30" s="151" t="str">
        <f aca="false">IF(ISNUMBER(B30),B30*(1-1/'13_Mapa_Liq'!$B$18+'13_Mapa_Liq'!$B$6),"")</f>
        <v/>
      </c>
      <c r="Z30" s="151" t="n">
        <f aca="false">IF(ISNUMBER(B30),IF(K30&gt;Y30,I30*'13_Mapa_Liq'!$C$18,0),0)</f>
        <v>0</v>
      </c>
      <c r="AA30" s="151" t="str">
        <f aca="false">IF(ISNUMBER(B30),B30*(1+1/'13_Mapa_Liq'!$B$18-'13_Mapa_Liq'!$B$6),"")</f>
        <v/>
      </c>
      <c r="AB30" s="151" t="n">
        <f aca="false">IF(ISNUMBER(B30),IF(L30&lt;AA30,J30*'13_Mapa_Liq'!$C$18,0),0)</f>
        <v>0</v>
      </c>
      <c r="AC30" s="151" t="str">
        <f aca="false">IF(ISNUMBER(B30),B30*(1-1/'13_Mapa_Liq'!$B$19+'13_Mapa_Liq'!$B$6),"")</f>
        <v/>
      </c>
      <c r="AD30" s="151" t="n">
        <f aca="false">IF(ISNUMBER(B30),IF(K30&gt;AC30,I30*'13_Mapa_Liq'!$C$19,0),0)</f>
        <v>0</v>
      </c>
      <c r="AE30" s="151" t="str">
        <f aca="false">IF(ISNUMBER(B30),B30*(1+1/'13_Mapa_Liq'!$B$19-'13_Mapa_Liq'!$B$6),"")</f>
        <v/>
      </c>
      <c r="AF30" s="151" t="n">
        <f aca="false">IF(ISNUMBER(B30),IF(L30&lt;AE30,J30*'13_Mapa_Liq'!$C$19,0),0)</f>
        <v>0</v>
      </c>
      <c r="AG30" s="151"/>
      <c r="AH30" s="151" t="n">
        <f aca="false">IF(ISNUMBER(B30),E30*F30*((K30&lt;=M30)*'13_Mapa_Liq'!$C$15+(K30&lt;=Q30)*'13_Mapa_Liq'!$C$16+(K30&lt;=U30)*'13_Mapa_Liq'!$C$17+(K30&lt;=Y30)*'13_Mapa_Liq'!$C$18+(K30&lt;=AC30)*'13_Mapa_Liq'!$C$19),0)</f>
        <v>0</v>
      </c>
      <c r="AI30" s="151" t="n">
        <f aca="false">IF(ISNUMBER(B30),E30*(1-F30)*((L30&gt;=O30)*'13_Mapa_Liq'!$C$15+(L30&gt;=S30)*'13_Mapa_Liq'!$C$16+(L30&gt;=W30)*'13_Mapa_Liq'!$C$17+(L30&gt;=AA30)*'13_Mapa_Liq'!$C$18+(L30&gt;=AE30)*'13_Mapa_Liq'!$C$19),0)</f>
        <v>0</v>
      </c>
    </row>
    <row r="31" customFormat="false" ht="15" hidden="false" customHeight="false" outlineLevel="0" collapsed="false">
      <c r="A31" s="151" t="str">
        <f aca="false">IF(ISNUMBER('12_Datos_5m'!F31),ROW()-4,"")</f>
        <v/>
      </c>
      <c r="B31" s="151" t="str">
        <f aca="false">IF(ISNUMBER('12_Datos_5m'!F31),'12_Datos_5m'!F31,"")</f>
        <v/>
      </c>
      <c r="C31" s="151" t="str">
        <f aca="false">IF(ISNUMBER('12_Datos_5m'!A31),'12_Datos_5m'!A31,"")</f>
        <v/>
      </c>
      <c r="D31" s="151" t="n">
        <f aca="false">IF(AND(ISNUMBER('12_Datos_5m'!I31),ISNUMBER('12_Datos_5m'!I30)),'12_Datos_5m'!I31-'12_Datos_5m'!I30,0)</f>
        <v>0</v>
      </c>
      <c r="E31" s="151" t="n">
        <f aca="false">MAX(0,D31)</f>
        <v>0</v>
      </c>
      <c r="F31" s="151" t="n">
        <f aca="false">IF(AND(ISNUMBER('12_Datos_5m'!G31),N('12_Datos_5m'!G31)&gt;0),'12_Datos_5m'!H31/'12_Datos_5m'!G31,0.5)</f>
        <v>0.5</v>
      </c>
      <c r="G31" s="151" t="n">
        <f aca="false">IF(ISNUMBER(C31),($C$2-C31)/3600000,0)</f>
        <v>0</v>
      </c>
      <c r="H31" s="151" t="n">
        <f aca="false">EXP(-G31/'13_Mapa_Liq'!$B$7)</f>
        <v>1</v>
      </c>
      <c r="I31" s="151" t="n">
        <f aca="false">E31*F31*H31</f>
        <v>0</v>
      </c>
      <c r="J31" s="151" t="n">
        <f aca="false">E31*(1-F31)*H31</f>
        <v>0</v>
      </c>
      <c r="K31" s="151" t="n">
        <f aca="false">IF(COUNT('12_Datos_5m'!E32:E$504)=0,1000000000000,MIN('12_Datos_5m'!E32:E$504))</f>
        <v>1000000000000</v>
      </c>
      <c r="L31" s="151" t="n">
        <f aca="false">IF(COUNT('12_Datos_5m'!D32:D$504)=0,0,MAX('12_Datos_5m'!D32:D$504))</f>
        <v>0</v>
      </c>
      <c r="M31" s="151" t="str">
        <f aca="false">IF(ISNUMBER(B31),B31*(1-1/'13_Mapa_Liq'!$B$15+'13_Mapa_Liq'!$B$6),"")</f>
        <v/>
      </c>
      <c r="N31" s="151" t="n">
        <f aca="false">IF(ISNUMBER(B31),IF(K31&gt;M31,I31*'13_Mapa_Liq'!$C$15,0),0)</f>
        <v>0</v>
      </c>
      <c r="O31" s="151" t="str">
        <f aca="false">IF(ISNUMBER(B31),B31*(1+1/'13_Mapa_Liq'!$B$15-'13_Mapa_Liq'!$B$6),"")</f>
        <v/>
      </c>
      <c r="P31" s="151" t="n">
        <f aca="false">IF(ISNUMBER(B31),IF(L31&lt;O31,J31*'13_Mapa_Liq'!$C$15,0),0)</f>
        <v>0</v>
      </c>
      <c r="Q31" s="151" t="str">
        <f aca="false">IF(ISNUMBER(B31),B31*(1-1/'13_Mapa_Liq'!$B$16+'13_Mapa_Liq'!$B$6),"")</f>
        <v/>
      </c>
      <c r="R31" s="151" t="n">
        <f aca="false">IF(ISNUMBER(B31),IF(K31&gt;Q31,I31*'13_Mapa_Liq'!$C$16,0),0)</f>
        <v>0</v>
      </c>
      <c r="S31" s="151" t="str">
        <f aca="false">IF(ISNUMBER(B31),B31*(1+1/'13_Mapa_Liq'!$B$16-'13_Mapa_Liq'!$B$6),"")</f>
        <v/>
      </c>
      <c r="T31" s="151" t="n">
        <f aca="false">IF(ISNUMBER(B31),IF(L31&lt;S31,J31*'13_Mapa_Liq'!$C$16,0),0)</f>
        <v>0</v>
      </c>
      <c r="U31" s="151" t="str">
        <f aca="false">IF(ISNUMBER(B31),B31*(1-1/'13_Mapa_Liq'!$B$17+'13_Mapa_Liq'!$B$6),"")</f>
        <v/>
      </c>
      <c r="V31" s="151" t="n">
        <f aca="false">IF(ISNUMBER(B31),IF(K31&gt;U31,I31*'13_Mapa_Liq'!$C$17,0),0)</f>
        <v>0</v>
      </c>
      <c r="W31" s="151" t="str">
        <f aca="false">IF(ISNUMBER(B31),B31*(1+1/'13_Mapa_Liq'!$B$17-'13_Mapa_Liq'!$B$6),"")</f>
        <v/>
      </c>
      <c r="X31" s="151" t="n">
        <f aca="false">IF(ISNUMBER(B31),IF(L31&lt;W31,J31*'13_Mapa_Liq'!$C$17,0),0)</f>
        <v>0</v>
      </c>
      <c r="Y31" s="151" t="str">
        <f aca="false">IF(ISNUMBER(B31),B31*(1-1/'13_Mapa_Liq'!$B$18+'13_Mapa_Liq'!$B$6),"")</f>
        <v/>
      </c>
      <c r="Z31" s="151" t="n">
        <f aca="false">IF(ISNUMBER(B31),IF(K31&gt;Y31,I31*'13_Mapa_Liq'!$C$18,0),0)</f>
        <v>0</v>
      </c>
      <c r="AA31" s="151" t="str">
        <f aca="false">IF(ISNUMBER(B31),B31*(1+1/'13_Mapa_Liq'!$B$18-'13_Mapa_Liq'!$B$6),"")</f>
        <v/>
      </c>
      <c r="AB31" s="151" t="n">
        <f aca="false">IF(ISNUMBER(B31),IF(L31&lt;AA31,J31*'13_Mapa_Liq'!$C$18,0),0)</f>
        <v>0</v>
      </c>
      <c r="AC31" s="151" t="str">
        <f aca="false">IF(ISNUMBER(B31),B31*(1-1/'13_Mapa_Liq'!$B$19+'13_Mapa_Liq'!$B$6),"")</f>
        <v/>
      </c>
      <c r="AD31" s="151" t="n">
        <f aca="false">IF(ISNUMBER(B31),IF(K31&gt;AC31,I31*'13_Mapa_Liq'!$C$19,0),0)</f>
        <v>0</v>
      </c>
      <c r="AE31" s="151" t="str">
        <f aca="false">IF(ISNUMBER(B31),B31*(1+1/'13_Mapa_Liq'!$B$19-'13_Mapa_Liq'!$B$6),"")</f>
        <v/>
      </c>
      <c r="AF31" s="151" t="n">
        <f aca="false">IF(ISNUMBER(B31),IF(L31&lt;AE31,J31*'13_Mapa_Liq'!$C$19,0),0)</f>
        <v>0</v>
      </c>
      <c r="AG31" s="151"/>
      <c r="AH31" s="151" t="n">
        <f aca="false">IF(ISNUMBER(B31),E31*F31*((K31&lt;=M31)*'13_Mapa_Liq'!$C$15+(K31&lt;=Q31)*'13_Mapa_Liq'!$C$16+(K31&lt;=U31)*'13_Mapa_Liq'!$C$17+(K31&lt;=Y31)*'13_Mapa_Liq'!$C$18+(K31&lt;=AC31)*'13_Mapa_Liq'!$C$19),0)</f>
        <v>0</v>
      </c>
      <c r="AI31" s="151" t="n">
        <f aca="false">IF(ISNUMBER(B31),E31*(1-F31)*((L31&gt;=O31)*'13_Mapa_Liq'!$C$15+(L31&gt;=S31)*'13_Mapa_Liq'!$C$16+(L31&gt;=W31)*'13_Mapa_Liq'!$C$17+(L31&gt;=AA31)*'13_Mapa_Liq'!$C$18+(L31&gt;=AE31)*'13_Mapa_Liq'!$C$19),0)</f>
        <v>0</v>
      </c>
    </row>
    <row r="32" customFormat="false" ht="15" hidden="false" customHeight="false" outlineLevel="0" collapsed="false">
      <c r="A32" s="151" t="str">
        <f aca="false">IF(ISNUMBER('12_Datos_5m'!F32),ROW()-4,"")</f>
        <v/>
      </c>
      <c r="B32" s="151" t="str">
        <f aca="false">IF(ISNUMBER('12_Datos_5m'!F32),'12_Datos_5m'!F32,"")</f>
        <v/>
      </c>
      <c r="C32" s="151" t="str">
        <f aca="false">IF(ISNUMBER('12_Datos_5m'!A32),'12_Datos_5m'!A32,"")</f>
        <v/>
      </c>
      <c r="D32" s="151" t="n">
        <f aca="false">IF(AND(ISNUMBER('12_Datos_5m'!I32),ISNUMBER('12_Datos_5m'!I31)),'12_Datos_5m'!I32-'12_Datos_5m'!I31,0)</f>
        <v>0</v>
      </c>
      <c r="E32" s="151" t="n">
        <f aca="false">MAX(0,D32)</f>
        <v>0</v>
      </c>
      <c r="F32" s="151" t="n">
        <f aca="false">IF(AND(ISNUMBER('12_Datos_5m'!G32),N('12_Datos_5m'!G32)&gt;0),'12_Datos_5m'!H32/'12_Datos_5m'!G32,0.5)</f>
        <v>0.5</v>
      </c>
      <c r="G32" s="151" t="n">
        <f aca="false">IF(ISNUMBER(C32),($C$2-C32)/3600000,0)</f>
        <v>0</v>
      </c>
      <c r="H32" s="151" t="n">
        <f aca="false">EXP(-G32/'13_Mapa_Liq'!$B$7)</f>
        <v>1</v>
      </c>
      <c r="I32" s="151" t="n">
        <f aca="false">E32*F32*H32</f>
        <v>0</v>
      </c>
      <c r="J32" s="151" t="n">
        <f aca="false">E32*(1-F32)*H32</f>
        <v>0</v>
      </c>
      <c r="K32" s="151" t="n">
        <f aca="false">IF(COUNT('12_Datos_5m'!E33:E$504)=0,1000000000000,MIN('12_Datos_5m'!E33:E$504))</f>
        <v>1000000000000</v>
      </c>
      <c r="L32" s="151" t="n">
        <f aca="false">IF(COUNT('12_Datos_5m'!D33:D$504)=0,0,MAX('12_Datos_5m'!D33:D$504))</f>
        <v>0</v>
      </c>
      <c r="M32" s="151" t="str">
        <f aca="false">IF(ISNUMBER(B32),B32*(1-1/'13_Mapa_Liq'!$B$15+'13_Mapa_Liq'!$B$6),"")</f>
        <v/>
      </c>
      <c r="N32" s="151" t="n">
        <f aca="false">IF(ISNUMBER(B32),IF(K32&gt;M32,I32*'13_Mapa_Liq'!$C$15,0),0)</f>
        <v>0</v>
      </c>
      <c r="O32" s="151" t="str">
        <f aca="false">IF(ISNUMBER(B32),B32*(1+1/'13_Mapa_Liq'!$B$15-'13_Mapa_Liq'!$B$6),"")</f>
        <v/>
      </c>
      <c r="P32" s="151" t="n">
        <f aca="false">IF(ISNUMBER(B32),IF(L32&lt;O32,J32*'13_Mapa_Liq'!$C$15,0),0)</f>
        <v>0</v>
      </c>
      <c r="Q32" s="151" t="str">
        <f aca="false">IF(ISNUMBER(B32),B32*(1-1/'13_Mapa_Liq'!$B$16+'13_Mapa_Liq'!$B$6),"")</f>
        <v/>
      </c>
      <c r="R32" s="151" t="n">
        <f aca="false">IF(ISNUMBER(B32),IF(K32&gt;Q32,I32*'13_Mapa_Liq'!$C$16,0),0)</f>
        <v>0</v>
      </c>
      <c r="S32" s="151" t="str">
        <f aca="false">IF(ISNUMBER(B32),B32*(1+1/'13_Mapa_Liq'!$B$16-'13_Mapa_Liq'!$B$6),"")</f>
        <v/>
      </c>
      <c r="T32" s="151" t="n">
        <f aca="false">IF(ISNUMBER(B32),IF(L32&lt;S32,J32*'13_Mapa_Liq'!$C$16,0),0)</f>
        <v>0</v>
      </c>
      <c r="U32" s="151" t="str">
        <f aca="false">IF(ISNUMBER(B32),B32*(1-1/'13_Mapa_Liq'!$B$17+'13_Mapa_Liq'!$B$6),"")</f>
        <v/>
      </c>
      <c r="V32" s="151" t="n">
        <f aca="false">IF(ISNUMBER(B32),IF(K32&gt;U32,I32*'13_Mapa_Liq'!$C$17,0),0)</f>
        <v>0</v>
      </c>
      <c r="W32" s="151" t="str">
        <f aca="false">IF(ISNUMBER(B32),B32*(1+1/'13_Mapa_Liq'!$B$17-'13_Mapa_Liq'!$B$6),"")</f>
        <v/>
      </c>
      <c r="X32" s="151" t="n">
        <f aca="false">IF(ISNUMBER(B32),IF(L32&lt;W32,J32*'13_Mapa_Liq'!$C$17,0),0)</f>
        <v>0</v>
      </c>
      <c r="Y32" s="151" t="str">
        <f aca="false">IF(ISNUMBER(B32),B32*(1-1/'13_Mapa_Liq'!$B$18+'13_Mapa_Liq'!$B$6),"")</f>
        <v/>
      </c>
      <c r="Z32" s="151" t="n">
        <f aca="false">IF(ISNUMBER(B32),IF(K32&gt;Y32,I32*'13_Mapa_Liq'!$C$18,0),0)</f>
        <v>0</v>
      </c>
      <c r="AA32" s="151" t="str">
        <f aca="false">IF(ISNUMBER(B32),B32*(1+1/'13_Mapa_Liq'!$B$18-'13_Mapa_Liq'!$B$6),"")</f>
        <v/>
      </c>
      <c r="AB32" s="151" t="n">
        <f aca="false">IF(ISNUMBER(B32),IF(L32&lt;AA32,J32*'13_Mapa_Liq'!$C$18,0),0)</f>
        <v>0</v>
      </c>
      <c r="AC32" s="151" t="str">
        <f aca="false">IF(ISNUMBER(B32),B32*(1-1/'13_Mapa_Liq'!$B$19+'13_Mapa_Liq'!$B$6),"")</f>
        <v/>
      </c>
      <c r="AD32" s="151" t="n">
        <f aca="false">IF(ISNUMBER(B32),IF(K32&gt;AC32,I32*'13_Mapa_Liq'!$C$19,0),0)</f>
        <v>0</v>
      </c>
      <c r="AE32" s="151" t="str">
        <f aca="false">IF(ISNUMBER(B32),B32*(1+1/'13_Mapa_Liq'!$B$19-'13_Mapa_Liq'!$B$6),"")</f>
        <v/>
      </c>
      <c r="AF32" s="151" t="n">
        <f aca="false">IF(ISNUMBER(B32),IF(L32&lt;AE32,J32*'13_Mapa_Liq'!$C$19,0),0)</f>
        <v>0</v>
      </c>
      <c r="AG32" s="151"/>
      <c r="AH32" s="151" t="n">
        <f aca="false">IF(ISNUMBER(B32),E32*F32*((K32&lt;=M32)*'13_Mapa_Liq'!$C$15+(K32&lt;=Q32)*'13_Mapa_Liq'!$C$16+(K32&lt;=U32)*'13_Mapa_Liq'!$C$17+(K32&lt;=Y32)*'13_Mapa_Liq'!$C$18+(K32&lt;=AC32)*'13_Mapa_Liq'!$C$19),0)</f>
        <v>0</v>
      </c>
      <c r="AI32" s="151" t="n">
        <f aca="false">IF(ISNUMBER(B32),E32*(1-F32)*((L32&gt;=O32)*'13_Mapa_Liq'!$C$15+(L32&gt;=S32)*'13_Mapa_Liq'!$C$16+(L32&gt;=W32)*'13_Mapa_Liq'!$C$17+(L32&gt;=AA32)*'13_Mapa_Liq'!$C$18+(L32&gt;=AE32)*'13_Mapa_Liq'!$C$19),0)</f>
        <v>0</v>
      </c>
    </row>
    <row r="33" customFormat="false" ht="15" hidden="false" customHeight="false" outlineLevel="0" collapsed="false">
      <c r="A33" s="151" t="str">
        <f aca="false">IF(ISNUMBER('12_Datos_5m'!F33),ROW()-4,"")</f>
        <v/>
      </c>
      <c r="B33" s="151" t="str">
        <f aca="false">IF(ISNUMBER('12_Datos_5m'!F33),'12_Datos_5m'!F33,"")</f>
        <v/>
      </c>
      <c r="C33" s="151" t="str">
        <f aca="false">IF(ISNUMBER('12_Datos_5m'!A33),'12_Datos_5m'!A33,"")</f>
        <v/>
      </c>
      <c r="D33" s="151" t="n">
        <f aca="false">IF(AND(ISNUMBER('12_Datos_5m'!I33),ISNUMBER('12_Datos_5m'!I32)),'12_Datos_5m'!I33-'12_Datos_5m'!I32,0)</f>
        <v>0</v>
      </c>
      <c r="E33" s="151" t="n">
        <f aca="false">MAX(0,D33)</f>
        <v>0</v>
      </c>
      <c r="F33" s="151" t="n">
        <f aca="false">IF(AND(ISNUMBER('12_Datos_5m'!G33),N('12_Datos_5m'!G33)&gt;0),'12_Datos_5m'!H33/'12_Datos_5m'!G33,0.5)</f>
        <v>0.5</v>
      </c>
      <c r="G33" s="151" t="n">
        <f aca="false">IF(ISNUMBER(C33),($C$2-C33)/3600000,0)</f>
        <v>0</v>
      </c>
      <c r="H33" s="151" t="n">
        <f aca="false">EXP(-G33/'13_Mapa_Liq'!$B$7)</f>
        <v>1</v>
      </c>
      <c r="I33" s="151" t="n">
        <f aca="false">E33*F33*H33</f>
        <v>0</v>
      </c>
      <c r="J33" s="151" t="n">
        <f aca="false">E33*(1-F33)*H33</f>
        <v>0</v>
      </c>
      <c r="K33" s="151" t="n">
        <f aca="false">IF(COUNT('12_Datos_5m'!E34:E$504)=0,1000000000000,MIN('12_Datos_5m'!E34:E$504))</f>
        <v>1000000000000</v>
      </c>
      <c r="L33" s="151" t="n">
        <f aca="false">IF(COUNT('12_Datos_5m'!D34:D$504)=0,0,MAX('12_Datos_5m'!D34:D$504))</f>
        <v>0</v>
      </c>
      <c r="M33" s="151" t="str">
        <f aca="false">IF(ISNUMBER(B33),B33*(1-1/'13_Mapa_Liq'!$B$15+'13_Mapa_Liq'!$B$6),"")</f>
        <v/>
      </c>
      <c r="N33" s="151" t="n">
        <f aca="false">IF(ISNUMBER(B33),IF(K33&gt;M33,I33*'13_Mapa_Liq'!$C$15,0),0)</f>
        <v>0</v>
      </c>
      <c r="O33" s="151" t="str">
        <f aca="false">IF(ISNUMBER(B33),B33*(1+1/'13_Mapa_Liq'!$B$15-'13_Mapa_Liq'!$B$6),"")</f>
        <v/>
      </c>
      <c r="P33" s="151" t="n">
        <f aca="false">IF(ISNUMBER(B33),IF(L33&lt;O33,J33*'13_Mapa_Liq'!$C$15,0),0)</f>
        <v>0</v>
      </c>
      <c r="Q33" s="151" t="str">
        <f aca="false">IF(ISNUMBER(B33),B33*(1-1/'13_Mapa_Liq'!$B$16+'13_Mapa_Liq'!$B$6),"")</f>
        <v/>
      </c>
      <c r="R33" s="151" t="n">
        <f aca="false">IF(ISNUMBER(B33),IF(K33&gt;Q33,I33*'13_Mapa_Liq'!$C$16,0),0)</f>
        <v>0</v>
      </c>
      <c r="S33" s="151" t="str">
        <f aca="false">IF(ISNUMBER(B33),B33*(1+1/'13_Mapa_Liq'!$B$16-'13_Mapa_Liq'!$B$6),"")</f>
        <v/>
      </c>
      <c r="T33" s="151" t="n">
        <f aca="false">IF(ISNUMBER(B33),IF(L33&lt;S33,J33*'13_Mapa_Liq'!$C$16,0),0)</f>
        <v>0</v>
      </c>
      <c r="U33" s="151" t="str">
        <f aca="false">IF(ISNUMBER(B33),B33*(1-1/'13_Mapa_Liq'!$B$17+'13_Mapa_Liq'!$B$6),"")</f>
        <v/>
      </c>
      <c r="V33" s="151" t="n">
        <f aca="false">IF(ISNUMBER(B33),IF(K33&gt;U33,I33*'13_Mapa_Liq'!$C$17,0),0)</f>
        <v>0</v>
      </c>
      <c r="W33" s="151" t="str">
        <f aca="false">IF(ISNUMBER(B33),B33*(1+1/'13_Mapa_Liq'!$B$17-'13_Mapa_Liq'!$B$6),"")</f>
        <v/>
      </c>
      <c r="X33" s="151" t="n">
        <f aca="false">IF(ISNUMBER(B33),IF(L33&lt;W33,J33*'13_Mapa_Liq'!$C$17,0),0)</f>
        <v>0</v>
      </c>
      <c r="Y33" s="151" t="str">
        <f aca="false">IF(ISNUMBER(B33),B33*(1-1/'13_Mapa_Liq'!$B$18+'13_Mapa_Liq'!$B$6),"")</f>
        <v/>
      </c>
      <c r="Z33" s="151" t="n">
        <f aca="false">IF(ISNUMBER(B33),IF(K33&gt;Y33,I33*'13_Mapa_Liq'!$C$18,0),0)</f>
        <v>0</v>
      </c>
      <c r="AA33" s="151" t="str">
        <f aca="false">IF(ISNUMBER(B33),B33*(1+1/'13_Mapa_Liq'!$B$18-'13_Mapa_Liq'!$B$6),"")</f>
        <v/>
      </c>
      <c r="AB33" s="151" t="n">
        <f aca="false">IF(ISNUMBER(B33),IF(L33&lt;AA33,J33*'13_Mapa_Liq'!$C$18,0),0)</f>
        <v>0</v>
      </c>
      <c r="AC33" s="151" t="str">
        <f aca="false">IF(ISNUMBER(B33),B33*(1-1/'13_Mapa_Liq'!$B$19+'13_Mapa_Liq'!$B$6),"")</f>
        <v/>
      </c>
      <c r="AD33" s="151" t="n">
        <f aca="false">IF(ISNUMBER(B33),IF(K33&gt;AC33,I33*'13_Mapa_Liq'!$C$19,0),0)</f>
        <v>0</v>
      </c>
      <c r="AE33" s="151" t="str">
        <f aca="false">IF(ISNUMBER(B33),B33*(1+1/'13_Mapa_Liq'!$B$19-'13_Mapa_Liq'!$B$6),"")</f>
        <v/>
      </c>
      <c r="AF33" s="151" t="n">
        <f aca="false">IF(ISNUMBER(B33),IF(L33&lt;AE33,J33*'13_Mapa_Liq'!$C$19,0),0)</f>
        <v>0</v>
      </c>
      <c r="AG33" s="151"/>
      <c r="AH33" s="151" t="n">
        <f aca="false">IF(ISNUMBER(B33),E33*F33*((K33&lt;=M33)*'13_Mapa_Liq'!$C$15+(K33&lt;=Q33)*'13_Mapa_Liq'!$C$16+(K33&lt;=U33)*'13_Mapa_Liq'!$C$17+(K33&lt;=Y33)*'13_Mapa_Liq'!$C$18+(K33&lt;=AC33)*'13_Mapa_Liq'!$C$19),0)</f>
        <v>0</v>
      </c>
      <c r="AI33" s="151" t="n">
        <f aca="false">IF(ISNUMBER(B33),E33*(1-F33)*((L33&gt;=O33)*'13_Mapa_Liq'!$C$15+(L33&gt;=S33)*'13_Mapa_Liq'!$C$16+(L33&gt;=W33)*'13_Mapa_Liq'!$C$17+(L33&gt;=AA33)*'13_Mapa_Liq'!$C$18+(L33&gt;=AE33)*'13_Mapa_Liq'!$C$19),0)</f>
        <v>0</v>
      </c>
    </row>
    <row r="34" customFormat="false" ht="15" hidden="false" customHeight="false" outlineLevel="0" collapsed="false">
      <c r="A34" s="151" t="str">
        <f aca="false">IF(ISNUMBER('12_Datos_5m'!F34),ROW()-4,"")</f>
        <v/>
      </c>
      <c r="B34" s="151" t="str">
        <f aca="false">IF(ISNUMBER('12_Datos_5m'!F34),'12_Datos_5m'!F34,"")</f>
        <v/>
      </c>
      <c r="C34" s="151" t="str">
        <f aca="false">IF(ISNUMBER('12_Datos_5m'!A34),'12_Datos_5m'!A34,"")</f>
        <v/>
      </c>
      <c r="D34" s="151" t="n">
        <f aca="false">IF(AND(ISNUMBER('12_Datos_5m'!I34),ISNUMBER('12_Datos_5m'!I33)),'12_Datos_5m'!I34-'12_Datos_5m'!I33,0)</f>
        <v>0</v>
      </c>
      <c r="E34" s="151" t="n">
        <f aca="false">MAX(0,D34)</f>
        <v>0</v>
      </c>
      <c r="F34" s="151" t="n">
        <f aca="false">IF(AND(ISNUMBER('12_Datos_5m'!G34),N('12_Datos_5m'!G34)&gt;0),'12_Datos_5m'!H34/'12_Datos_5m'!G34,0.5)</f>
        <v>0.5</v>
      </c>
      <c r="G34" s="151" t="n">
        <f aca="false">IF(ISNUMBER(C34),($C$2-C34)/3600000,0)</f>
        <v>0</v>
      </c>
      <c r="H34" s="151" t="n">
        <f aca="false">EXP(-G34/'13_Mapa_Liq'!$B$7)</f>
        <v>1</v>
      </c>
      <c r="I34" s="151" t="n">
        <f aca="false">E34*F34*H34</f>
        <v>0</v>
      </c>
      <c r="J34" s="151" t="n">
        <f aca="false">E34*(1-F34)*H34</f>
        <v>0</v>
      </c>
      <c r="K34" s="151" t="n">
        <f aca="false">IF(COUNT('12_Datos_5m'!E35:E$504)=0,1000000000000,MIN('12_Datos_5m'!E35:E$504))</f>
        <v>1000000000000</v>
      </c>
      <c r="L34" s="151" t="n">
        <f aca="false">IF(COUNT('12_Datos_5m'!D35:D$504)=0,0,MAX('12_Datos_5m'!D35:D$504))</f>
        <v>0</v>
      </c>
      <c r="M34" s="151" t="str">
        <f aca="false">IF(ISNUMBER(B34),B34*(1-1/'13_Mapa_Liq'!$B$15+'13_Mapa_Liq'!$B$6),"")</f>
        <v/>
      </c>
      <c r="N34" s="151" t="n">
        <f aca="false">IF(ISNUMBER(B34),IF(K34&gt;M34,I34*'13_Mapa_Liq'!$C$15,0),0)</f>
        <v>0</v>
      </c>
      <c r="O34" s="151" t="str">
        <f aca="false">IF(ISNUMBER(B34),B34*(1+1/'13_Mapa_Liq'!$B$15-'13_Mapa_Liq'!$B$6),"")</f>
        <v/>
      </c>
      <c r="P34" s="151" t="n">
        <f aca="false">IF(ISNUMBER(B34),IF(L34&lt;O34,J34*'13_Mapa_Liq'!$C$15,0),0)</f>
        <v>0</v>
      </c>
      <c r="Q34" s="151" t="str">
        <f aca="false">IF(ISNUMBER(B34),B34*(1-1/'13_Mapa_Liq'!$B$16+'13_Mapa_Liq'!$B$6),"")</f>
        <v/>
      </c>
      <c r="R34" s="151" t="n">
        <f aca="false">IF(ISNUMBER(B34),IF(K34&gt;Q34,I34*'13_Mapa_Liq'!$C$16,0),0)</f>
        <v>0</v>
      </c>
      <c r="S34" s="151" t="str">
        <f aca="false">IF(ISNUMBER(B34),B34*(1+1/'13_Mapa_Liq'!$B$16-'13_Mapa_Liq'!$B$6),"")</f>
        <v/>
      </c>
      <c r="T34" s="151" t="n">
        <f aca="false">IF(ISNUMBER(B34),IF(L34&lt;S34,J34*'13_Mapa_Liq'!$C$16,0),0)</f>
        <v>0</v>
      </c>
      <c r="U34" s="151" t="str">
        <f aca="false">IF(ISNUMBER(B34),B34*(1-1/'13_Mapa_Liq'!$B$17+'13_Mapa_Liq'!$B$6),"")</f>
        <v/>
      </c>
      <c r="V34" s="151" t="n">
        <f aca="false">IF(ISNUMBER(B34),IF(K34&gt;U34,I34*'13_Mapa_Liq'!$C$17,0),0)</f>
        <v>0</v>
      </c>
      <c r="W34" s="151" t="str">
        <f aca="false">IF(ISNUMBER(B34),B34*(1+1/'13_Mapa_Liq'!$B$17-'13_Mapa_Liq'!$B$6),"")</f>
        <v/>
      </c>
      <c r="X34" s="151" t="n">
        <f aca="false">IF(ISNUMBER(B34),IF(L34&lt;W34,J34*'13_Mapa_Liq'!$C$17,0),0)</f>
        <v>0</v>
      </c>
      <c r="Y34" s="151" t="str">
        <f aca="false">IF(ISNUMBER(B34),B34*(1-1/'13_Mapa_Liq'!$B$18+'13_Mapa_Liq'!$B$6),"")</f>
        <v/>
      </c>
      <c r="Z34" s="151" t="n">
        <f aca="false">IF(ISNUMBER(B34),IF(K34&gt;Y34,I34*'13_Mapa_Liq'!$C$18,0),0)</f>
        <v>0</v>
      </c>
      <c r="AA34" s="151" t="str">
        <f aca="false">IF(ISNUMBER(B34),B34*(1+1/'13_Mapa_Liq'!$B$18-'13_Mapa_Liq'!$B$6),"")</f>
        <v/>
      </c>
      <c r="AB34" s="151" t="n">
        <f aca="false">IF(ISNUMBER(B34),IF(L34&lt;AA34,J34*'13_Mapa_Liq'!$C$18,0),0)</f>
        <v>0</v>
      </c>
      <c r="AC34" s="151" t="str">
        <f aca="false">IF(ISNUMBER(B34),B34*(1-1/'13_Mapa_Liq'!$B$19+'13_Mapa_Liq'!$B$6),"")</f>
        <v/>
      </c>
      <c r="AD34" s="151" t="n">
        <f aca="false">IF(ISNUMBER(B34),IF(K34&gt;AC34,I34*'13_Mapa_Liq'!$C$19,0),0)</f>
        <v>0</v>
      </c>
      <c r="AE34" s="151" t="str">
        <f aca="false">IF(ISNUMBER(B34),B34*(1+1/'13_Mapa_Liq'!$B$19-'13_Mapa_Liq'!$B$6),"")</f>
        <v/>
      </c>
      <c r="AF34" s="151" t="n">
        <f aca="false">IF(ISNUMBER(B34),IF(L34&lt;AE34,J34*'13_Mapa_Liq'!$C$19,0),0)</f>
        <v>0</v>
      </c>
      <c r="AG34" s="151"/>
      <c r="AH34" s="151" t="n">
        <f aca="false">IF(ISNUMBER(B34),E34*F34*((K34&lt;=M34)*'13_Mapa_Liq'!$C$15+(K34&lt;=Q34)*'13_Mapa_Liq'!$C$16+(K34&lt;=U34)*'13_Mapa_Liq'!$C$17+(K34&lt;=Y34)*'13_Mapa_Liq'!$C$18+(K34&lt;=AC34)*'13_Mapa_Liq'!$C$19),0)</f>
        <v>0</v>
      </c>
      <c r="AI34" s="151" t="n">
        <f aca="false">IF(ISNUMBER(B34),E34*(1-F34)*((L34&gt;=O34)*'13_Mapa_Liq'!$C$15+(L34&gt;=S34)*'13_Mapa_Liq'!$C$16+(L34&gt;=W34)*'13_Mapa_Liq'!$C$17+(L34&gt;=AA34)*'13_Mapa_Liq'!$C$18+(L34&gt;=AE34)*'13_Mapa_Liq'!$C$19),0)</f>
        <v>0</v>
      </c>
    </row>
    <row r="35" customFormat="false" ht="15" hidden="false" customHeight="false" outlineLevel="0" collapsed="false">
      <c r="A35" s="151" t="str">
        <f aca="false">IF(ISNUMBER('12_Datos_5m'!F35),ROW()-4,"")</f>
        <v/>
      </c>
      <c r="B35" s="151" t="str">
        <f aca="false">IF(ISNUMBER('12_Datos_5m'!F35),'12_Datos_5m'!F35,"")</f>
        <v/>
      </c>
      <c r="C35" s="151" t="str">
        <f aca="false">IF(ISNUMBER('12_Datos_5m'!A35),'12_Datos_5m'!A35,"")</f>
        <v/>
      </c>
      <c r="D35" s="151" t="n">
        <f aca="false">IF(AND(ISNUMBER('12_Datos_5m'!I35),ISNUMBER('12_Datos_5m'!I34)),'12_Datos_5m'!I35-'12_Datos_5m'!I34,0)</f>
        <v>0</v>
      </c>
      <c r="E35" s="151" t="n">
        <f aca="false">MAX(0,D35)</f>
        <v>0</v>
      </c>
      <c r="F35" s="151" t="n">
        <f aca="false">IF(AND(ISNUMBER('12_Datos_5m'!G35),N('12_Datos_5m'!G35)&gt;0),'12_Datos_5m'!H35/'12_Datos_5m'!G35,0.5)</f>
        <v>0.5</v>
      </c>
      <c r="G35" s="151" t="n">
        <f aca="false">IF(ISNUMBER(C35),($C$2-C35)/3600000,0)</f>
        <v>0</v>
      </c>
      <c r="H35" s="151" t="n">
        <f aca="false">EXP(-G35/'13_Mapa_Liq'!$B$7)</f>
        <v>1</v>
      </c>
      <c r="I35" s="151" t="n">
        <f aca="false">E35*F35*H35</f>
        <v>0</v>
      </c>
      <c r="J35" s="151" t="n">
        <f aca="false">E35*(1-F35)*H35</f>
        <v>0</v>
      </c>
      <c r="K35" s="151" t="n">
        <f aca="false">IF(COUNT('12_Datos_5m'!E36:E$504)=0,1000000000000,MIN('12_Datos_5m'!E36:E$504))</f>
        <v>1000000000000</v>
      </c>
      <c r="L35" s="151" t="n">
        <f aca="false">IF(COUNT('12_Datos_5m'!D36:D$504)=0,0,MAX('12_Datos_5m'!D36:D$504))</f>
        <v>0</v>
      </c>
      <c r="M35" s="151" t="str">
        <f aca="false">IF(ISNUMBER(B35),B35*(1-1/'13_Mapa_Liq'!$B$15+'13_Mapa_Liq'!$B$6),"")</f>
        <v/>
      </c>
      <c r="N35" s="151" t="n">
        <f aca="false">IF(ISNUMBER(B35),IF(K35&gt;M35,I35*'13_Mapa_Liq'!$C$15,0),0)</f>
        <v>0</v>
      </c>
      <c r="O35" s="151" t="str">
        <f aca="false">IF(ISNUMBER(B35),B35*(1+1/'13_Mapa_Liq'!$B$15-'13_Mapa_Liq'!$B$6),"")</f>
        <v/>
      </c>
      <c r="P35" s="151" t="n">
        <f aca="false">IF(ISNUMBER(B35),IF(L35&lt;O35,J35*'13_Mapa_Liq'!$C$15,0),0)</f>
        <v>0</v>
      </c>
      <c r="Q35" s="151" t="str">
        <f aca="false">IF(ISNUMBER(B35),B35*(1-1/'13_Mapa_Liq'!$B$16+'13_Mapa_Liq'!$B$6),"")</f>
        <v/>
      </c>
      <c r="R35" s="151" t="n">
        <f aca="false">IF(ISNUMBER(B35),IF(K35&gt;Q35,I35*'13_Mapa_Liq'!$C$16,0),0)</f>
        <v>0</v>
      </c>
      <c r="S35" s="151" t="str">
        <f aca="false">IF(ISNUMBER(B35),B35*(1+1/'13_Mapa_Liq'!$B$16-'13_Mapa_Liq'!$B$6),"")</f>
        <v/>
      </c>
      <c r="T35" s="151" t="n">
        <f aca="false">IF(ISNUMBER(B35),IF(L35&lt;S35,J35*'13_Mapa_Liq'!$C$16,0),0)</f>
        <v>0</v>
      </c>
      <c r="U35" s="151" t="str">
        <f aca="false">IF(ISNUMBER(B35),B35*(1-1/'13_Mapa_Liq'!$B$17+'13_Mapa_Liq'!$B$6),"")</f>
        <v/>
      </c>
      <c r="V35" s="151" t="n">
        <f aca="false">IF(ISNUMBER(B35),IF(K35&gt;U35,I35*'13_Mapa_Liq'!$C$17,0),0)</f>
        <v>0</v>
      </c>
      <c r="W35" s="151" t="str">
        <f aca="false">IF(ISNUMBER(B35),B35*(1+1/'13_Mapa_Liq'!$B$17-'13_Mapa_Liq'!$B$6),"")</f>
        <v/>
      </c>
      <c r="X35" s="151" t="n">
        <f aca="false">IF(ISNUMBER(B35),IF(L35&lt;W35,J35*'13_Mapa_Liq'!$C$17,0),0)</f>
        <v>0</v>
      </c>
      <c r="Y35" s="151" t="str">
        <f aca="false">IF(ISNUMBER(B35),B35*(1-1/'13_Mapa_Liq'!$B$18+'13_Mapa_Liq'!$B$6),"")</f>
        <v/>
      </c>
      <c r="Z35" s="151" t="n">
        <f aca="false">IF(ISNUMBER(B35),IF(K35&gt;Y35,I35*'13_Mapa_Liq'!$C$18,0),0)</f>
        <v>0</v>
      </c>
      <c r="AA35" s="151" t="str">
        <f aca="false">IF(ISNUMBER(B35),B35*(1+1/'13_Mapa_Liq'!$B$18-'13_Mapa_Liq'!$B$6),"")</f>
        <v/>
      </c>
      <c r="AB35" s="151" t="n">
        <f aca="false">IF(ISNUMBER(B35),IF(L35&lt;AA35,J35*'13_Mapa_Liq'!$C$18,0),0)</f>
        <v>0</v>
      </c>
      <c r="AC35" s="151" t="str">
        <f aca="false">IF(ISNUMBER(B35),B35*(1-1/'13_Mapa_Liq'!$B$19+'13_Mapa_Liq'!$B$6),"")</f>
        <v/>
      </c>
      <c r="AD35" s="151" t="n">
        <f aca="false">IF(ISNUMBER(B35),IF(K35&gt;AC35,I35*'13_Mapa_Liq'!$C$19,0),0)</f>
        <v>0</v>
      </c>
      <c r="AE35" s="151" t="str">
        <f aca="false">IF(ISNUMBER(B35),B35*(1+1/'13_Mapa_Liq'!$B$19-'13_Mapa_Liq'!$B$6),"")</f>
        <v/>
      </c>
      <c r="AF35" s="151" t="n">
        <f aca="false">IF(ISNUMBER(B35),IF(L35&lt;AE35,J35*'13_Mapa_Liq'!$C$19,0),0)</f>
        <v>0</v>
      </c>
      <c r="AG35" s="151"/>
      <c r="AH35" s="151" t="n">
        <f aca="false">IF(ISNUMBER(B35),E35*F35*((K35&lt;=M35)*'13_Mapa_Liq'!$C$15+(K35&lt;=Q35)*'13_Mapa_Liq'!$C$16+(K35&lt;=U35)*'13_Mapa_Liq'!$C$17+(K35&lt;=Y35)*'13_Mapa_Liq'!$C$18+(K35&lt;=AC35)*'13_Mapa_Liq'!$C$19),0)</f>
        <v>0</v>
      </c>
      <c r="AI35" s="151" t="n">
        <f aca="false">IF(ISNUMBER(B35),E35*(1-F35)*((L35&gt;=O35)*'13_Mapa_Liq'!$C$15+(L35&gt;=S35)*'13_Mapa_Liq'!$C$16+(L35&gt;=W35)*'13_Mapa_Liq'!$C$17+(L35&gt;=AA35)*'13_Mapa_Liq'!$C$18+(L35&gt;=AE35)*'13_Mapa_Liq'!$C$19),0)</f>
        <v>0</v>
      </c>
    </row>
    <row r="36" customFormat="false" ht="15" hidden="false" customHeight="false" outlineLevel="0" collapsed="false">
      <c r="A36" s="151" t="str">
        <f aca="false">IF(ISNUMBER('12_Datos_5m'!F36),ROW()-4,"")</f>
        <v/>
      </c>
      <c r="B36" s="151" t="str">
        <f aca="false">IF(ISNUMBER('12_Datos_5m'!F36),'12_Datos_5m'!F36,"")</f>
        <v/>
      </c>
      <c r="C36" s="151" t="str">
        <f aca="false">IF(ISNUMBER('12_Datos_5m'!A36),'12_Datos_5m'!A36,"")</f>
        <v/>
      </c>
      <c r="D36" s="151" t="n">
        <f aca="false">IF(AND(ISNUMBER('12_Datos_5m'!I36),ISNUMBER('12_Datos_5m'!I35)),'12_Datos_5m'!I36-'12_Datos_5m'!I35,0)</f>
        <v>0</v>
      </c>
      <c r="E36" s="151" t="n">
        <f aca="false">MAX(0,D36)</f>
        <v>0</v>
      </c>
      <c r="F36" s="151" t="n">
        <f aca="false">IF(AND(ISNUMBER('12_Datos_5m'!G36),N('12_Datos_5m'!G36)&gt;0),'12_Datos_5m'!H36/'12_Datos_5m'!G36,0.5)</f>
        <v>0.5</v>
      </c>
      <c r="G36" s="151" t="n">
        <f aca="false">IF(ISNUMBER(C36),($C$2-C36)/3600000,0)</f>
        <v>0</v>
      </c>
      <c r="H36" s="151" t="n">
        <f aca="false">EXP(-G36/'13_Mapa_Liq'!$B$7)</f>
        <v>1</v>
      </c>
      <c r="I36" s="151" t="n">
        <f aca="false">E36*F36*H36</f>
        <v>0</v>
      </c>
      <c r="J36" s="151" t="n">
        <f aca="false">E36*(1-F36)*H36</f>
        <v>0</v>
      </c>
      <c r="K36" s="151" t="n">
        <f aca="false">IF(COUNT('12_Datos_5m'!E37:E$504)=0,1000000000000,MIN('12_Datos_5m'!E37:E$504))</f>
        <v>1000000000000</v>
      </c>
      <c r="L36" s="151" t="n">
        <f aca="false">IF(COUNT('12_Datos_5m'!D37:D$504)=0,0,MAX('12_Datos_5m'!D37:D$504))</f>
        <v>0</v>
      </c>
      <c r="M36" s="151" t="str">
        <f aca="false">IF(ISNUMBER(B36),B36*(1-1/'13_Mapa_Liq'!$B$15+'13_Mapa_Liq'!$B$6),"")</f>
        <v/>
      </c>
      <c r="N36" s="151" t="n">
        <f aca="false">IF(ISNUMBER(B36),IF(K36&gt;M36,I36*'13_Mapa_Liq'!$C$15,0),0)</f>
        <v>0</v>
      </c>
      <c r="O36" s="151" t="str">
        <f aca="false">IF(ISNUMBER(B36),B36*(1+1/'13_Mapa_Liq'!$B$15-'13_Mapa_Liq'!$B$6),"")</f>
        <v/>
      </c>
      <c r="P36" s="151" t="n">
        <f aca="false">IF(ISNUMBER(B36),IF(L36&lt;O36,J36*'13_Mapa_Liq'!$C$15,0),0)</f>
        <v>0</v>
      </c>
      <c r="Q36" s="151" t="str">
        <f aca="false">IF(ISNUMBER(B36),B36*(1-1/'13_Mapa_Liq'!$B$16+'13_Mapa_Liq'!$B$6),"")</f>
        <v/>
      </c>
      <c r="R36" s="151" t="n">
        <f aca="false">IF(ISNUMBER(B36),IF(K36&gt;Q36,I36*'13_Mapa_Liq'!$C$16,0),0)</f>
        <v>0</v>
      </c>
      <c r="S36" s="151" t="str">
        <f aca="false">IF(ISNUMBER(B36),B36*(1+1/'13_Mapa_Liq'!$B$16-'13_Mapa_Liq'!$B$6),"")</f>
        <v/>
      </c>
      <c r="T36" s="151" t="n">
        <f aca="false">IF(ISNUMBER(B36),IF(L36&lt;S36,J36*'13_Mapa_Liq'!$C$16,0),0)</f>
        <v>0</v>
      </c>
      <c r="U36" s="151" t="str">
        <f aca="false">IF(ISNUMBER(B36),B36*(1-1/'13_Mapa_Liq'!$B$17+'13_Mapa_Liq'!$B$6),"")</f>
        <v/>
      </c>
      <c r="V36" s="151" t="n">
        <f aca="false">IF(ISNUMBER(B36),IF(K36&gt;U36,I36*'13_Mapa_Liq'!$C$17,0),0)</f>
        <v>0</v>
      </c>
      <c r="W36" s="151" t="str">
        <f aca="false">IF(ISNUMBER(B36),B36*(1+1/'13_Mapa_Liq'!$B$17-'13_Mapa_Liq'!$B$6),"")</f>
        <v/>
      </c>
      <c r="X36" s="151" t="n">
        <f aca="false">IF(ISNUMBER(B36),IF(L36&lt;W36,J36*'13_Mapa_Liq'!$C$17,0),0)</f>
        <v>0</v>
      </c>
      <c r="Y36" s="151" t="str">
        <f aca="false">IF(ISNUMBER(B36),B36*(1-1/'13_Mapa_Liq'!$B$18+'13_Mapa_Liq'!$B$6),"")</f>
        <v/>
      </c>
      <c r="Z36" s="151" t="n">
        <f aca="false">IF(ISNUMBER(B36),IF(K36&gt;Y36,I36*'13_Mapa_Liq'!$C$18,0),0)</f>
        <v>0</v>
      </c>
      <c r="AA36" s="151" t="str">
        <f aca="false">IF(ISNUMBER(B36),B36*(1+1/'13_Mapa_Liq'!$B$18-'13_Mapa_Liq'!$B$6),"")</f>
        <v/>
      </c>
      <c r="AB36" s="151" t="n">
        <f aca="false">IF(ISNUMBER(B36),IF(L36&lt;AA36,J36*'13_Mapa_Liq'!$C$18,0),0)</f>
        <v>0</v>
      </c>
      <c r="AC36" s="151" t="str">
        <f aca="false">IF(ISNUMBER(B36),B36*(1-1/'13_Mapa_Liq'!$B$19+'13_Mapa_Liq'!$B$6),"")</f>
        <v/>
      </c>
      <c r="AD36" s="151" t="n">
        <f aca="false">IF(ISNUMBER(B36),IF(K36&gt;AC36,I36*'13_Mapa_Liq'!$C$19,0),0)</f>
        <v>0</v>
      </c>
      <c r="AE36" s="151" t="str">
        <f aca="false">IF(ISNUMBER(B36),B36*(1+1/'13_Mapa_Liq'!$B$19-'13_Mapa_Liq'!$B$6),"")</f>
        <v/>
      </c>
      <c r="AF36" s="151" t="n">
        <f aca="false">IF(ISNUMBER(B36),IF(L36&lt;AE36,J36*'13_Mapa_Liq'!$C$19,0),0)</f>
        <v>0</v>
      </c>
      <c r="AG36" s="151"/>
      <c r="AH36" s="151" t="n">
        <f aca="false">IF(ISNUMBER(B36),E36*F36*((K36&lt;=M36)*'13_Mapa_Liq'!$C$15+(K36&lt;=Q36)*'13_Mapa_Liq'!$C$16+(K36&lt;=U36)*'13_Mapa_Liq'!$C$17+(K36&lt;=Y36)*'13_Mapa_Liq'!$C$18+(K36&lt;=AC36)*'13_Mapa_Liq'!$C$19),0)</f>
        <v>0</v>
      </c>
      <c r="AI36" s="151" t="n">
        <f aca="false">IF(ISNUMBER(B36),E36*(1-F36)*((L36&gt;=O36)*'13_Mapa_Liq'!$C$15+(L36&gt;=S36)*'13_Mapa_Liq'!$C$16+(L36&gt;=W36)*'13_Mapa_Liq'!$C$17+(L36&gt;=AA36)*'13_Mapa_Liq'!$C$18+(L36&gt;=AE36)*'13_Mapa_Liq'!$C$19),0)</f>
        <v>0</v>
      </c>
    </row>
    <row r="37" customFormat="false" ht="15" hidden="false" customHeight="false" outlineLevel="0" collapsed="false">
      <c r="A37" s="151" t="str">
        <f aca="false">IF(ISNUMBER('12_Datos_5m'!F37),ROW()-4,"")</f>
        <v/>
      </c>
      <c r="B37" s="151" t="str">
        <f aca="false">IF(ISNUMBER('12_Datos_5m'!F37),'12_Datos_5m'!F37,"")</f>
        <v/>
      </c>
      <c r="C37" s="151" t="str">
        <f aca="false">IF(ISNUMBER('12_Datos_5m'!A37),'12_Datos_5m'!A37,"")</f>
        <v/>
      </c>
      <c r="D37" s="151" t="n">
        <f aca="false">IF(AND(ISNUMBER('12_Datos_5m'!I37),ISNUMBER('12_Datos_5m'!I36)),'12_Datos_5m'!I37-'12_Datos_5m'!I36,0)</f>
        <v>0</v>
      </c>
      <c r="E37" s="151" t="n">
        <f aca="false">MAX(0,D37)</f>
        <v>0</v>
      </c>
      <c r="F37" s="151" t="n">
        <f aca="false">IF(AND(ISNUMBER('12_Datos_5m'!G37),N('12_Datos_5m'!G37)&gt;0),'12_Datos_5m'!H37/'12_Datos_5m'!G37,0.5)</f>
        <v>0.5</v>
      </c>
      <c r="G37" s="151" t="n">
        <f aca="false">IF(ISNUMBER(C37),($C$2-C37)/3600000,0)</f>
        <v>0</v>
      </c>
      <c r="H37" s="151" t="n">
        <f aca="false">EXP(-G37/'13_Mapa_Liq'!$B$7)</f>
        <v>1</v>
      </c>
      <c r="I37" s="151" t="n">
        <f aca="false">E37*F37*H37</f>
        <v>0</v>
      </c>
      <c r="J37" s="151" t="n">
        <f aca="false">E37*(1-F37)*H37</f>
        <v>0</v>
      </c>
      <c r="K37" s="151" t="n">
        <f aca="false">IF(COUNT('12_Datos_5m'!E38:E$504)=0,1000000000000,MIN('12_Datos_5m'!E38:E$504))</f>
        <v>1000000000000</v>
      </c>
      <c r="L37" s="151" t="n">
        <f aca="false">IF(COUNT('12_Datos_5m'!D38:D$504)=0,0,MAX('12_Datos_5m'!D38:D$504))</f>
        <v>0</v>
      </c>
      <c r="M37" s="151" t="str">
        <f aca="false">IF(ISNUMBER(B37),B37*(1-1/'13_Mapa_Liq'!$B$15+'13_Mapa_Liq'!$B$6),"")</f>
        <v/>
      </c>
      <c r="N37" s="151" t="n">
        <f aca="false">IF(ISNUMBER(B37),IF(K37&gt;M37,I37*'13_Mapa_Liq'!$C$15,0),0)</f>
        <v>0</v>
      </c>
      <c r="O37" s="151" t="str">
        <f aca="false">IF(ISNUMBER(B37),B37*(1+1/'13_Mapa_Liq'!$B$15-'13_Mapa_Liq'!$B$6),"")</f>
        <v/>
      </c>
      <c r="P37" s="151" t="n">
        <f aca="false">IF(ISNUMBER(B37),IF(L37&lt;O37,J37*'13_Mapa_Liq'!$C$15,0),0)</f>
        <v>0</v>
      </c>
      <c r="Q37" s="151" t="str">
        <f aca="false">IF(ISNUMBER(B37),B37*(1-1/'13_Mapa_Liq'!$B$16+'13_Mapa_Liq'!$B$6),"")</f>
        <v/>
      </c>
      <c r="R37" s="151" t="n">
        <f aca="false">IF(ISNUMBER(B37),IF(K37&gt;Q37,I37*'13_Mapa_Liq'!$C$16,0),0)</f>
        <v>0</v>
      </c>
      <c r="S37" s="151" t="str">
        <f aca="false">IF(ISNUMBER(B37),B37*(1+1/'13_Mapa_Liq'!$B$16-'13_Mapa_Liq'!$B$6),"")</f>
        <v/>
      </c>
      <c r="T37" s="151" t="n">
        <f aca="false">IF(ISNUMBER(B37),IF(L37&lt;S37,J37*'13_Mapa_Liq'!$C$16,0),0)</f>
        <v>0</v>
      </c>
      <c r="U37" s="151" t="str">
        <f aca="false">IF(ISNUMBER(B37),B37*(1-1/'13_Mapa_Liq'!$B$17+'13_Mapa_Liq'!$B$6),"")</f>
        <v/>
      </c>
      <c r="V37" s="151" t="n">
        <f aca="false">IF(ISNUMBER(B37),IF(K37&gt;U37,I37*'13_Mapa_Liq'!$C$17,0),0)</f>
        <v>0</v>
      </c>
      <c r="W37" s="151" t="str">
        <f aca="false">IF(ISNUMBER(B37),B37*(1+1/'13_Mapa_Liq'!$B$17-'13_Mapa_Liq'!$B$6),"")</f>
        <v/>
      </c>
      <c r="X37" s="151" t="n">
        <f aca="false">IF(ISNUMBER(B37),IF(L37&lt;W37,J37*'13_Mapa_Liq'!$C$17,0),0)</f>
        <v>0</v>
      </c>
      <c r="Y37" s="151" t="str">
        <f aca="false">IF(ISNUMBER(B37),B37*(1-1/'13_Mapa_Liq'!$B$18+'13_Mapa_Liq'!$B$6),"")</f>
        <v/>
      </c>
      <c r="Z37" s="151" t="n">
        <f aca="false">IF(ISNUMBER(B37),IF(K37&gt;Y37,I37*'13_Mapa_Liq'!$C$18,0),0)</f>
        <v>0</v>
      </c>
      <c r="AA37" s="151" t="str">
        <f aca="false">IF(ISNUMBER(B37),B37*(1+1/'13_Mapa_Liq'!$B$18-'13_Mapa_Liq'!$B$6),"")</f>
        <v/>
      </c>
      <c r="AB37" s="151" t="n">
        <f aca="false">IF(ISNUMBER(B37),IF(L37&lt;AA37,J37*'13_Mapa_Liq'!$C$18,0),0)</f>
        <v>0</v>
      </c>
      <c r="AC37" s="151" t="str">
        <f aca="false">IF(ISNUMBER(B37),B37*(1-1/'13_Mapa_Liq'!$B$19+'13_Mapa_Liq'!$B$6),"")</f>
        <v/>
      </c>
      <c r="AD37" s="151" t="n">
        <f aca="false">IF(ISNUMBER(B37),IF(K37&gt;AC37,I37*'13_Mapa_Liq'!$C$19,0),0)</f>
        <v>0</v>
      </c>
      <c r="AE37" s="151" t="str">
        <f aca="false">IF(ISNUMBER(B37),B37*(1+1/'13_Mapa_Liq'!$B$19-'13_Mapa_Liq'!$B$6),"")</f>
        <v/>
      </c>
      <c r="AF37" s="151" t="n">
        <f aca="false">IF(ISNUMBER(B37),IF(L37&lt;AE37,J37*'13_Mapa_Liq'!$C$19,0),0)</f>
        <v>0</v>
      </c>
      <c r="AG37" s="151"/>
      <c r="AH37" s="151" t="n">
        <f aca="false">IF(ISNUMBER(B37),E37*F37*((K37&lt;=M37)*'13_Mapa_Liq'!$C$15+(K37&lt;=Q37)*'13_Mapa_Liq'!$C$16+(K37&lt;=U37)*'13_Mapa_Liq'!$C$17+(K37&lt;=Y37)*'13_Mapa_Liq'!$C$18+(K37&lt;=AC37)*'13_Mapa_Liq'!$C$19),0)</f>
        <v>0</v>
      </c>
      <c r="AI37" s="151" t="n">
        <f aca="false">IF(ISNUMBER(B37),E37*(1-F37)*((L37&gt;=O37)*'13_Mapa_Liq'!$C$15+(L37&gt;=S37)*'13_Mapa_Liq'!$C$16+(L37&gt;=W37)*'13_Mapa_Liq'!$C$17+(L37&gt;=AA37)*'13_Mapa_Liq'!$C$18+(L37&gt;=AE37)*'13_Mapa_Liq'!$C$19),0)</f>
        <v>0</v>
      </c>
    </row>
    <row r="38" customFormat="false" ht="15" hidden="false" customHeight="false" outlineLevel="0" collapsed="false">
      <c r="A38" s="151" t="str">
        <f aca="false">IF(ISNUMBER('12_Datos_5m'!F38),ROW()-4,"")</f>
        <v/>
      </c>
      <c r="B38" s="151" t="str">
        <f aca="false">IF(ISNUMBER('12_Datos_5m'!F38),'12_Datos_5m'!F38,"")</f>
        <v/>
      </c>
      <c r="C38" s="151" t="str">
        <f aca="false">IF(ISNUMBER('12_Datos_5m'!A38),'12_Datos_5m'!A38,"")</f>
        <v/>
      </c>
      <c r="D38" s="151" t="n">
        <f aca="false">IF(AND(ISNUMBER('12_Datos_5m'!I38),ISNUMBER('12_Datos_5m'!I37)),'12_Datos_5m'!I38-'12_Datos_5m'!I37,0)</f>
        <v>0</v>
      </c>
      <c r="E38" s="151" t="n">
        <f aca="false">MAX(0,D38)</f>
        <v>0</v>
      </c>
      <c r="F38" s="151" t="n">
        <f aca="false">IF(AND(ISNUMBER('12_Datos_5m'!G38),N('12_Datos_5m'!G38)&gt;0),'12_Datos_5m'!H38/'12_Datos_5m'!G38,0.5)</f>
        <v>0.5</v>
      </c>
      <c r="G38" s="151" t="n">
        <f aca="false">IF(ISNUMBER(C38),($C$2-C38)/3600000,0)</f>
        <v>0</v>
      </c>
      <c r="H38" s="151" t="n">
        <f aca="false">EXP(-G38/'13_Mapa_Liq'!$B$7)</f>
        <v>1</v>
      </c>
      <c r="I38" s="151" t="n">
        <f aca="false">E38*F38*H38</f>
        <v>0</v>
      </c>
      <c r="J38" s="151" t="n">
        <f aca="false">E38*(1-F38)*H38</f>
        <v>0</v>
      </c>
      <c r="K38" s="151" t="n">
        <f aca="false">IF(COUNT('12_Datos_5m'!E39:E$504)=0,1000000000000,MIN('12_Datos_5m'!E39:E$504))</f>
        <v>1000000000000</v>
      </c>
      <c r="L38" s="151" t="n">
        <f aca="false">IF(COUNT('12_Datos_5m'!D39:D$504)=0,0,MAX('12_Datos_5m'!D39:D$504))</f>
        <v>0</v>
      </c>
      <c r="M38" s="151" t="str">
        <f aca="false">IF(ISNUMBER(B38),B38*(1-1/'13_Mapa_Liq'!$B$15+'13_Mapa_Liq'!$B$6),"")</f>
        <v/>
      </c>
      <c r="N38" s="151" t="n">
        <f aca="false">IF(ISNUMBER(B38),IF(K38&gt;M38,I38*'13_Mapa_Liq'!$C$15,0),0)</f>
        <v>0</v>
      </c>
      <c r="O38" s="151" t="str">
        <f aca="false">IF(ISNUMBER(B38),B38*(1+1/'13_Mapa_Liq'!$B$15-'13_Mapa_Liq'!$B$6),"")</f>
        <v/>
      </c>
      <c r="P38" s="151" t="n">
        <f aca="false">IF(ISNUMBER(B38),IF(L38&lt;O38,J38*'13_Mapa_Liq'!$C$15,0),0)</f>
        <v>0</v>
      </c>
      <c r="Q38" s="151" t="str">
        <f aca="false">IF(ISNUMBER(B38),B38*(1-1/'13_Mapa_Liq'!$B$16+'13_Mapa_Liq'!$B$6),"")</f>
        <v/>
      </c>
      <c r="R38" s="151" t="n">
        <f aca="false">IF(ISNUMBER(B38),IF(K38&gt;Q38,I38*'13_Mapa_Liq'!$C$16,0),0)</f>
        <v>0</v>
      </c>
      <c r="S38" s="151" t="str">
        <f aca="false">IF(ISNUMBER(B38),B38*(1+1/'13_Mapa_Liq'!$B$16-'13_Mapa_Liq'!$B$6),"")</f>
        <v/>
      </c>
      <c r="T38" s="151" t="n">
        <f aca="false">IF(ISNUMBER(B38),IF(L38&lt;S38,J38*'13_Mapa_Liq'!$C$16,0),0)</f>
        <v>0</v>
      </c>
      <c r="U38" s="151" t="str">
        <f aca="false">IF(ISNUMBER(B38),B38*(1-1/'13_Mapa_Liq'!$B$17+'13_Mapa_Liq'!$B$6),"")</f>
        <v/>
      </c>
      <c r="V38" s="151" t="n">
        <f aca="false">IF(ISNUMBER(B38),IF(K38&gt;U38,I38*'13_Mapa_Liq'!$C$17,0),0)</f>
        <v>0</v>
      </c>
      <c r="W38" s="151" t="str">
        <f aca="false">IF(ISNUMBER(B38),B38*(1+1/'13_Mapa_Liq'!$B$17-'13_Mapa_Liq'!$B$6),"")</f>
        <v/>
      </c>
      <c r="X38" s="151" t="n">
        <f aca="false">IF(ISNUMBER(B38),IF(L38&lt;W38,J38*'13_Mapa_Liq'!$C$17,0),0)</f>
        <v>0</v>
      </c>
      <c r="Y38" s="151" t="str">
        <f aca="false">IF(ISNUMBER(B38),B38*(1-1/'13_Mapa_Liq'!$B$18+'13_Mapa_Liq'!$B$6),"")</f>
        <v/>
      </c>
      <c r="Z38" s="151" t="n">
        <f aca="false">IF(ISNUMBER(B38),IF(K38&gt;Y38,I38*'13_Mapa_Liq'!$C$18,0),0)</f>
        <v>0</v>
      </c>
      <c r="AA38" s="151" t="str">
        <f aca="false">IF(ISNUMBER(B38),B38*(1+1/'13_Mapa_Liq'!$B$18-'13_Mapa_Liq'!$B$6),"")</f>
        <v/>
      </c>
      <c r="AB38" s="151" t="n">
        <f aca="false">IF(ISNUMBER(B38),IF(L38&lt;AA38,J38*'13_Mapa_Liq'!$C$18,0),0)</f>
        <v>0</v>
      </c>
      <c r="AC38" s="151" t="str">
        <f aca="false">IF(ISNUMBER(B38),B38*(1-1/'13_Mapa_Liq'!$B$19+'13_Mapa_Liq'!$B$6),"")</f>
        <v/>
      </c>
      <c r="AD38" s="151" t="n">
        <f aca="false">IF(ISNUMBER(B38),IF(K38&gt;AC38,I38*'13_Mapa_Liq'!$C$19,0),0)</f>
        <v>0</v>
      </c>
      <c r="AE38" s="151" t="str">
        <f aca="false">IF(ISNUMBER(B38),B38*(1+1/'13_Mapa_Liq'!$B$19-'13_Mapa_Liq'!$B$6),"")</f>
        <v/>
      </c>
      <c r="AF38" s="151" t="n">
        <f aca="false">IF(ISNUMBER(B38),IF(L38&lt;AE38,J38*'13_Mapa_Liq'!$C$19,0),0)</f>
        <v>0</v>
      </c>
      <c r="AG38" s="151"/>
      <c r="AH38" s="151" t="n">
        <f aca="false">IF(ISNUMBER(B38),E38*F38*((K38&lt;=M38)*'13_Mapa_Liq'!$C$15+(K38&lt;=Q38)*'13_Mapa_Liq'!$C$16+(K38&lt;=U38)*'13_Mapa_Liq'!$C$17+(K38&lt;=Y38)*'13_Mapa_Liq'!$C$18+(K38&lt;=AC38)*'13_Mapa_Liq'!$C$19),0)</f>
        <v>0</v>
      </c>
      <c r="AI38" s="151" t="n">
        <f aca="false">IF(ISNUMBER(B38),E38*(1-F38)*((L38&gt;=O38)*'13_Mapa_Liq'!$C$15+(L38&gt;=S38)*'13_Mapa_Liq'!$C$16+(L38&gt;=W38)*'13_Mapa_Liq'!$C$17+(L38&gt;=AA38)*'13_Mapa_Liq'!$C$18+(L38&gt;=AE38)*'13_Mapa_Liq'!$C$19),0)</f>
        <v>0</v>
      </c>
    </row>
    <row r="39" customFormat="false" ht="15" hidden="false" customHeight="false" outlineLevel="0" collapsed="false">
      <c r="A39" s="151" t="str">
        <f aca="false">IF(ISNUMBER('12_Datos_5m'!F39),ROW()-4,"")</f>
        <v/>
      </c>
      <c r="B39" s="151" t="str">
        <f aca="false">IF(ISNUMBER('12_Datos_5m'!F39),'12_Datos_5m'!F39,"")</f>
        <v/>
      </c>
      <c r="C39" s="151" t="str">
        <f aca="false">IF(ISNUMBER('12_Datos_5m'!A39),'12_Datos_5m'!A39,"")</f>
        <v/>
      </c>
      <c r="D39" s="151" t="n">
        <f aca="false">IF(AND(ISNUMBER('12_Datos_5m'!I39),ISNUMBER('12_Datos_5m'!I38)),'12_Datos_5m'!I39-'12_Datos_5m'!I38,0)</f>
        <v>0</v>
      </c>
      <c r="E39" s="151" t="n">
        <f aca="false">MAX(0,D39)</f>
        <v>0</v>
      </c>
      <c r="F39" s="151" t="n">
        <f aca="false">IF(AND(ISNUMBER('12_Datos_5m'!G39),N('12_Datos_5m'!G39)&gt;0),'12_Datos_5m'!H39/'12_Datos_5m'!G39,0.5)</f>
        <v>0.5</v>
      </c>
      <c r="G39" s="151" t="n">
        <f aca="false">IF(ISNUMBER(C39),($C$2-C39)/3600000,0)</f>
        <v>0</v>
      </c>
      <c r="H39" s="151" t="n">
        <f aca="false">EXP(-G39/'13_Mapa_Liq'!$B$7)</f>
        <v>1</v>
      </c>
      <c r="I39" s="151" t="n">
        <f aca="false">E39*F39*H39</f>
        <v>0</v>
      </c>
      <c r="J39" s="151" t="n">
        <f aca="false">E39*(1-F39)*H39</f>
        <v>0</v>
      </c>
      <c r="K39" s="151" t="n">
        <f aca="false">IF(COUNT('12_Datos_5m'!E40:E$504)=0,1000000000000,MIN('12_Datos_5m'!E40:E$504))</f>
        <v>1000000000000</v>
      </c>
      <c r="L39" s="151" t="n">
        <f aca="false">IF(COUNT('12_Datos_5m'!D40:D$504)=0,0,MAX('12_Datos_5m'!D40:D$504))</f>
        <v>0</v>
      </c>
      <c r="M39" s="151" t="str">
        <f aca="false">IF(ISNUMBER(B39),B39*(1-1/'13_Mapa_Liq'!$B$15+'13_Mapa_Liq'!$B$6),"")</f>
        <v/>
      </c>
      <c r="N39" s="151" t="n">
        <f aca="false">IF(ISNUMBER(B39),IF(K39&gt;M39,I39*'13_Mapa_Liq'!$C$15,0),0)</f>
        <v>0</v>
      </c>
      <c r="O39" s="151" t="str">
        <f aca="false">IF(ISNUMBER(B39),B39*(1+1/'13_Mapa_Liq'!$B$15-'13_Mapa_Liq'!$B$6),"")</f>
        <v/>
      </c>
      <c r="P39" s="151" t="n">
        <f aca="false">IF(ISNUMBER(B39),IF(L39&lt;O39,J39*'13_Mapa_Liq'!$C$15,0),0)</f>
        <v>0</v>
      </c>
      <c r="Q39" s="151" t="str">
        <f aca="false">IF(ISNUMBER(B39),B39*(1-1/'13_Mapa_Liq'!$B$16+'13_Mapa_Liq'!$B$6),"")</f>
        <v/>
      </c>
      <c r="R39" s="151" t="n">
        <f aca="false">IF(ISNUMBER(B39),IF(K39&gt;Q39,I39*'13_Mapa_Liq'!$C$16,0),0)</f>
        <v>0</v>
      </c>
      <c r="S39" s="151" t="str">
        <f aca="false">IF(ISNUMBER(B39),B39*(1+1/'13_Mapa_Liq'!$B$16-'13_Mapa_Liq'!$B$6),"")</f>
        <v/>
      </c>
      <c r="T39" s="151" t="n">
        <f aca="false">IF(ISNUMBER(B39),IF(L39&lt;S39,J39*'13_Mapa_Liq'!$C$16,0),0)</f>
        <v>0</v>
      </c>
      <c r="U39" s="151" t="str">
        <f aca="false">IF(ISNUMBER(B39),B39*(1-1/'13_Mapa_Liq'!$B$17+'13_Mapa_Liq'!$B$6),"")</f>
        <v/>
      </c>
      <c r="V39" s="151" t="n">
        <f aca="false">IF(ISNUMBER(B39),IF(K39&gt;U39,I39*'13_Mapa_Liq'!$C$17,0),0)</f>
        <v>0</v>
      </c>
      <c r="W39" s="151" t="str">
        <f aca="false">IF(ISNUMBER(B39),B39*(1+1/'13_Mapa_Liq'!$B$17-'13_Mapa_Liq'!$B$6),"")</f>
        <v/>
      </c>
      <c r="X39" s="151" t="n">
        <f aca="false">IF(ISNUMBER(B39),IF(L39&lt;W39,J39*'13_Mapa_Liq'!$C$17,0),0)</f>
        <v>0</v>
      </c>
      <c r="Y39" s="151" t="str">
        <f aca="false">IF(ISNUMBER(B39),B39*(1-1/'13_Mapa_Liq'!$B$18+'13_Mapa_Liq'!$B$6),"")</f>
        <v/>
      </c>
      <c r="Z39" s="151" t="n">
        <f aca="false">IF(ISNUMBER(B39),IF(K39&gt;Y39,I39*'13_Mapa_Liq'!$C$18,0),0)</f>
        <v>0</v>
      </c>
      <c r="AA39" s="151" t="str">
        <f aca="false">IF(ISNUMBER(B39),B39*(1+1/'13_Mapa_Liq'!$B$18-'13_Mapa_Liq'!$B$6),"")</f>
        <v/>
      </c>
      <c r="AB39" s="151" t="n">
        <f aca="false">IF(ISNUMBER(B39),IF(L39&lt;AA39,J39*'13_Mapa_Liq'!$C$18,0),0)</f>
        <v>0</v>
      </c>
      <c r="AC39" s="151" t="str">
        <f aca="false">IF(ISNUMBER(B39),B39*(1-1/'13_Mapa_Liq'!$B$19+'13_Mapa_Liq'!$B$6),"")</f>
        <v/>
      </c>
      <c r="AD39" s="151" t="n">
        <f aca="false">IF(ISNUMBER(B39),IF(K39&gt;AC39,I39*'13_Mapa_Liq'!$C$19,0),0)</f>
        <v>0</v>
      </c>
      <c r="AE39" s="151" t="str">
        <f aca="false">IF(ISNUMBER(B39),B39*(1+1/'13_Mapa_Liq'!$B$19-'13_Mapa_Liq'!$B$6),"")</f>
        <v/>
      </c>
      <c r="AF39" s="151" t="n">
        <f aca="false">IF(ISNUMBER(B39),IF(L39&lt;AE39,J39*'13_Mapa_Liq'!$C$19,0),0)</f>
        <v>0</v>
      </c>
      <c r="AG39" s="151"/>
      <c r="AH39" s="151" t="n">
        <f aca="false">IF(ISNUMBER(B39),E39*F39*((K39&lt;=M39)*'13_Mapa_Liq'!$C$15+(K39&lt;=Q39)*'13_Mapa_Liq'!$C$16+(K39&lt;=U39)*'13_Mapa_Liq'!$C$17+(K39&lt;=Y39)*'13_Mapa_Liq'!$C$18+(K39&lt;=AC39)*'13_Mapa_Liq'!$C$19),0)</f>
        <v>0</v>
      </c>
      <c r="AI39" s="151" t="n">
        <f aca="false">IF(ISNUMBER(B39),E39*(1-F39)*((L39&gt;=O39)*'13_Mapa_Liq'!$C$15+(L39&gt;=S39)*'13_Mapa_Liq'!$C$16+(L39&gt;=W39)*'13_Mapa_Liq'!$C$17+(L39&gt;=AA39)*'13_Mapa_Liq'!$C$18+(L39&gt;=AE39)*'13_Mapa_Liq'!$C$19),0)</f>
        <v>0</v>
      </c>
    </row>
    <row r="40" customFormat="false" ht="15" hidden="false" customHeight="false" outlineLevel="0" collapsed="false">
      <c r="A40" s="151" t="str">
        <f aca="false">IF(ISNUMBER('12_Datos_5m'!F40),ROW()-4,"")</f>
        <v/>
      </c>
      <c r="B40" s="151" t="str">
        <f aca="false">IF(ISNUMBER('12_Datos_5m'!F40),'12_Datos_5m'!F40,"")</f>
        <v/>
      </c>
      <c r="C40" s="151" t="str">
        <f aca="false">IF(ISNUMBER('12_Datos_5m'!A40),'12_Datos_5m'!A40,"")</f>
        <v/>
      </c>
      <c r="D40" s="151" t="n">
        <f aca="false">IF(AND(ISNUMBER('12_Datos_5m'!I40),ISNUMBER('12_Datos_5m'!I39)),'12_Datos_5m'!I40-'12_Datos_5m'!I39,0)</f>
        <v>0</v>
      </c>
      <c r="E40" s="151" t="n">
        <f aca="false">MAX(0,D40)</f>
        <v>0</v>
      </c>
      <c r="F40" s="151" t="n">
        <f aca="false">IF(AND(ISNUMBER('12_Datos_5m'!G40),N('12_Datos_5m'!G40)&gt;0),'12_Datos_5m'!H40/'12_Datos_5m'!G40,0.5)</f>
        <v>0.5</v>
      </c>
      <c r="G40" s="151" t="n">
        <f aca="false">IF(ISNUMBER(C40),($C$2-C40)/3600000,0)</f>
        <v>0</v>
      </c>
      <c r="H40" s="151" t="n">
        <f aca="false">EXP(-G40/'13_Mapa_Liq'!$B$7)</f>
        <v>1</v>
      </c>
      <c r="I40" s="151" t="n">
        <f aca="false">E40*F40*H40</f>
        <v>0</v>
      </c>
      <c r="J40" s="151" t="n">
        <f aca="false">E40*(1-F40)*H40</f>
        <v>0</v>
      </c>
      <c r="K40" s="151" t="n">
        <f aca="false">IF(COUNT('12_Datos_5m'!E41:E$504)=0,1000000000000,MIN('12_Datos_5m'!E41:E$504))</f>
        <v>1000000000000</v>
      </c>
      <c r="L40" s="151" t="n">
        <f aca="false">IF(COUNT('12_Datos_5m'!D41:D$504)=0,0,MAX('12_Datos_5m'!D41:D$504))</f>
        <v>0</v>
      </c>
      <c r="M40" s="151" t="str">
        <f aca="false">IF(ISNUMBER(B40),B40*(1-1/'13_Mapa_Liq'!$B$15+'13_Mapa_Liq'!$B$6),"")</f>
        <v/>
      </c>
      <c r="N40" s="151" t="n">
        <f aca="false">IF(ISNUMBER(B40),IF(K40&gt;M40,I40*'13_Mapa_Liq'!$C$15,0),0)</f>
        <v>0</v>
      </c>
      <c r="O40" s="151" t="str">
        <f aca="false">IF(ISNUMBER(B40),B40*(1+1/'13_Mapa_Liq'!$B$15-'13_Mapa_Liq'!$B$6),"")</f>
        <v/>
      </c>
      <c r="P40" s="151" t="n">
        <f aca="false">IF(ISNUMBER(B40),IF(L40&lt;O40,J40*'13_Mapa_Liq'!$C$15,0),0)</f>
        <v>0</v>
      </c>
      <c r="Q40" s="151" t="str">
        <f aca="false">IF(ISNUMBER(B40),B40*(1-1/'13_Mapa_Liq'!$B$16+'13_Mapa_Liq'!$B$6),"")</f>
        <v/>
      </c>
      <c r="R40" s="151" t="n">
        <f aca="false">IF(ISNUMBER(B40),IF(K40&gt;Q40,I40*'13_Mapa_Liq'!$C$16,0),0)</f>
        <v>0</v>
      </c>
      <c r="S40" s="151" t="str">
        <f aca="false">IF(ISNUMBER(B40),B40*(1+1/'13_Mapa_Liq'!$B$16-'13_Mapa_Liq'!$B$6),"")</f>
        <v/>
      </c>
      <c r="T40" s="151" t="n">
        <f aca="false">IF(ISNUMBER(B40),IF(L40&lt;S40,J40*'13_Mapa_Liq'!$C$16,0),0)</f>
        <v>0</v>
      </c>
      <c r="U40" s="151" t="str">
        <f aca="false">IF(ISNUMBER(B40),B40*(1-1/'13_Mapa_Liq'!$B$17+'13_Mapa_Liq'!$B$6),"")</f>
        <v/>
      </c>
      <c r="V40" s="151" t="n">
        <f aca="false">IF(ISNUMBER(B40),IF(K40&gt;U40,I40*'13_Mapa_Liq'!$C$17,0),0)</f>
        <v>0</v>
      </c>
      <c r="W40" s="151" t="str">
        <f aca="false">IF(ISNUMBER(B40),B40*(1+1/'13_Mapa_Liq'!$B$17-'13_Mapa_Liq'!$B$6),"")</f>
        <v/>
      </c>
      <c r="X40" s="151" t="n">
        <f aca="false">IF(ISNUMBER(B40),IF(L40&lt;W40,J40*'13_Mapa_Liq'!$C$17,0),0)</f>
        <v>0</v>
      </c>
      <c r="Y40" s="151" t="str">
        <f aca="false">IF(ISNUMBER(B40),B40*(1-1/'13_Mapa_Liq'!$B$18+'13_Mapa_Liq'!$B$6),"")</f>
        <v/>
      </c>
      <c r="Z40" s="151" t="n">
        <f aca="false">IF(ISNUMBER(B40),IF(K40&gt;Y40,I40*'13_Mapa_Liq'!$C$18,0),0)</f>
        <v>0</v>
      </c>
      <c r="AA40" s="151" t="str">
        <f aca="false">IF(ISNUMBER(B40),B40*(1+1/'13_Mapa_Liq'!$B$18-'13_Mapa_Liq'!$B$6),"")</f>
        <v/>
      </c>
      <c r="AB40" s="151" t="n">
        <f aca="false">IF(ISNUMBER(B40),IF(L40&lt;AA40,J40*'13_Mapa_Liq'!$C$18,0),0)</f>
        <v>0</v>
      </c>
      <c r="AC40" s="151" t="str">
        <f aca="false">IF(ISNUMBER(B40),B40*(1-1/'13_Mapa_Liq'!$B$19+'13_Mapa_Liq'!$B$6),"")</f>
        <v/>
      </c>
      <c r="AD40" s="151" t="n">
        <f aca="false">IF(ISNUMBER(B40),IF(K40&gt;AC40,I40*'13_Mapa_Liq'!$C$19,0),0)</f>
        <v>0</v>
      </c>
      <c r="AE40" s="151" t="str">
        <f aca="false">IF(ISNUMBER(B40),B40*(1+1/'13_Mapa_Liq'!$B$19-'13_Mapa_Liq'!$B$6),"")</f>
        <v/>
      </c>
      <c r="AF40" s="151" t="n">
        <f aca="false">IF(ISNUMBER(B40),IF(L40&lt;AE40,J40*'13_Mapa_Liq'!$C$19,0),0)</f>
        <v>0</v>
      </c>
      <c r="AG40" s="151"/>
      <c r="AH40" s="151" t="n">
        <f aca="false">IF(ISNUMBER(B40),E40*F40*((K40&lt;=M40)*'13_Mapa_Liq'!$C$15+(K40&lt;=Q40)*'13_Mapa_Liq'!$C$16+(K40&lt;=U40)*'13_Mapa_Liq'!$C$17+(K40&lt;=Y40)*'13_Mapa_Liq'!$C$18+(K40&lt;=AC40)*'13_Mapa_Liq'!$C$19),0)</f>
        <v>0</v>
      </c>
      <c r="AI40" s="151" t="n">
        <f aca="false">IF(ISNUMBER(B40),E40*(1-F40)*((L40&gt;=O40)*'13_Mapa_Liq'!$C$15+(L40&gt;=S40)*'13_Mapa_Liq'!$C$16+(L40&gt;=W40)*'13_Mapa_Liq'!$C$17+(L40&gt;=AA40)*'13_Mapa_Liq'!$C$18+(L40&gt;=AE40)*'13_Mapa_Liq'!$C$19),0)</f>
        <v>0</v>
      </c>
    </row>
    <row r="41" customFormat="false" ht="15" hidden="false" customHeight="false" outlineLevel="0" collapsed="false">
      <c r="A41" s="151" t="str">
        <f aca="false">IF(ISNUMBER('12_Datos_5m'!F41),ROW()-4,"")</f>
        <v/>
      </c>
      <c r="B41" s="151" t="str">
        <f aca="false">IF(ISNUMBER('12_Datos_5m'!F41),'12_Datos_5m'!F41,"")</f>
        <v/>
      </c>
      <c r="C41" s="151" t="str">
        <f aca="false">IF(ISNUMBER('12_Datos_5m'!A41),'12_Datos_5m'!A41,"")</f>
        <v/>
      </c>
      <c r="D41" s="151" t="n">
        <f aca="false">IF(AND(ISNUMBER('12_Datos_5m'!I41),ISNUMBER('12_Datos_5m'!I40)),'12_Datos_5m'!I41-'12_Datos_5m'!I40,0)</f>
        <v>0</v>
      </c>
      <c r="E41" s="151" t="n">
        <f aca="false">MAX(0,D41)</f>
        <v>0</v>
      </c>
      <c r="F41" s="151" t="n">
        <f aca="false">IF(AND(ISNUMBER('12_Datos_5m'!G41),N('12_Datos_5m'!G41)&gt;0),'12_Datos_5m'!H41/'12_Datos_5m'!G41,0.5)</f>
        <v>0.5</v>
      </c>
      <c r="G41" s="151" t="n">
        <f aca="false">IF(ISNUMBER(C41),($C$2-C41)/3600000,0)</f>
        <v>0</v>
      </c>
      <c r="H41" s="151" t="n">
        <f aca="false">EXP(-G41/'13_Mapa_Liq'!$B$7)</f>
        <v>1</v>
      </c>
      <c r="I41" s="151" t="n">
        <f aca="false">E41*F41*H41</f>
        <v>0</v>
      </c>
      <c r="J41" s="151" t="n">
        <f aca="false">E41*(1-F41)*H41</f>
        <v>0</v>
      </c>
      <c r="K41" s="151" t="n">
        <f aca="false">IF(COUNT('12_Datos_5m'!E42:E$504)=0,1000000000000,MIN('12_Datos_5m'!E42:E$504))</f>
        <v>1000000000000</v>
      </c>
      <c r="L41" s="151" t="n">
        <f aca="false">IF(COUNT('12_Datos_5m'!D42:D$504)=0,0,MAX('12_Datos_5m'!D42:D$504))</f>
        <v>0</v>
      </c>
      <c r="M41" s="151" t="str">
        <f aca="false">IF(ISNUMBER(B41),B41*(1-1/'13_Mapa_Liq'!$B$15+'13_Mapa_Liq'!$B$6),"")</f>
        <v/>
      </c>
      <c r="N41" s="151" t="n">
        <f aca="false">IF(ISNUMBER(B41),IF(K41&gt;M41,I41*'13_Mapa_Liq'!$C$15,0),0)</f>
        <v>0</v>
      </c>
      <c r="O41" s="151" t="str">
        <f aca="false">IF(ISNUMBER(B41),B41*(1+1/'13_Mapa_Liq'!$B$15-'13_Mapa_Liq'!$B$6),"")</f>
        <v/>
      </c>
      <c r="P41" s="151" t="n">
        <f aca="false">IF(ISNUMBER(B41),IF(L41&lt;O41,J41*'13_Mapa_Liq'!$C$15,0),0)</f>
        <v>0</v>
      </c>
      <c r="Q41" s="151" t="str">
        <f aca="false">IF(ISNUMBER(B41),B41*(1-1/'13_Mapa_Liq'!$B$16+'13_Mapa_Liq'!$B$6),"")</f>
        <v/>
      </c>
      <c r="R41" s="151" t="n">
        <f aca="false">IF(ISNUMBER(B41),IF(K41&gt;Q41,I41*'13_Mapa_Liq'!$C$16,0),0)</f>
        <v>0</v>
      </c>
      <c r="S41" s="151" t="str">
        <f aca="false">IF(ISNUMBER(B41),B41*(1+1/'13_Mapa_Liq'!$B$16-'13_Mapa_Liq'!$B$6),"")</f>
        <v/>
      </c>
      <c r="T41" s="151" t="n">
        <f aca="false">IF(ISNUMBER(B41),IF(L41&lt;S41,J41*'13_Mapa_Liq'!$C$16,0),0)</f>
        <v>0</v>
      </c>
      <c r="U41" s="151" t="str">
        <f aca="false">IF(ISNUMBER(B41),B41*(1-1/'13_Mapa_Liq'!$B$17+'13_Mapa_Liq'!$B$6),"")</f>
        <v/>
      </c>
      <c r="V41" s="151" t="n">
        <f aca="false">IF(ISNUMBER(B41),IF(K41&gt;U41,I41*'13_Mapa_Liq'!$C$17,0),0)</f>
        <v>0</v>
      </c>
      <c r="W41" s="151" t="str">
        <f aca="false">IF(ISNUMBER(B41),B41*(1+1/'13_Mapa_Liq'!$B$17-'13_Mapa_Liq'!$B$6),"")</f>
        <v/>
      </c>
      <c r="X41" s="151" t="n">
        <f aca="false">IF(ISNUMBER(B41),IF(L41&lt;W41,J41*'13_Mapa_Liq'!$C$17,0),0)</f>
        <v>0</v>
      </c>
      <c r="Y41" s="151" t="str">
        <f aca="false">IF(ISNUMBER(B41),B41*(1-1/'13_Mapa_Liq'!$B$18+'13_Mapa_Liq'!$B$6),"")</f>
        <v/>
      </c>
      <c r="Z41" s="151" t="n">
        <f aca="false">IF(ISNUMBER(B41),IF(K41&gt;Y41,I41*'13_Mapa_Liq'!$C$18,0),0)</f>
        <v>0</v>
      </c>
      <c r="AA41" s="151" t="str">
        <f aca="false">IF(ISNUMBER(B41),B41*(1+1/'13_Mapa_Liq'!$B$18-'13_Mapa_Liq'!$B$6),"")</f>
        <v/>
      </c>
      <c r="AB41" s="151" t="n">
        <f aca="false">IF(ISNUMBER(B41),IF(L41&lt;AA41,J41*'13_Mapa_Liq'!$C$18,0),0)</f>
        <v>0</v>
      </c>
      <c r="AC41" s="151" t="str">
        <f aca="false">IF(ISNUMBER(B41),B41*(1-1/'13_Mapa_Liq'!$B$19+'13_Mapa_Liq'!$B$6),"")</f>
        <v/>
      </c>
      <c r="AD41" s="151" t="n">
        <f aca="false">IF(ISNUMBER(B41),IF(K41&gt;AC41,I41*'13_Mapa_Liq'!$C$19,0),0)</f>
        <v>0</v>
      </c>
      <c r="AE41" s="151" t="str">
        <f aca="false">IF(ISNUMBER(B41),B41*(1+1/'13_Mapa_Liq'!$B$19-'13_Mapa_Liq'!$B$6),"")</f>
        <v/>
      </c>
      <c r="AF41" s="151" t="n">
        <f aca="false">IF(ISNUMBER(B41),IF(L41&lt;AE41,J41*'13_Mapa_Liq'!$C$19,0),0)</f>
        <v>0</v>
      </c>
      <c r="AG41" s="151"/>
      <c r="AH41" s="151" t="n">
        <f aca="false">IF(ISNUMBER(B41),E41*F41*((K41&lt;=M41)*'13_Mapa_Liq'!$C$15+(K41&lt;=Q41)*'13_Mapa_Liq'!$C$16+(K41&lt;=U41)*'13_Mapa_Liq'!$C$17+(K41&lt;=Y41)*'13_Mapa_Liq'!$C$18+(K41&lt;=AC41)*'13_Mapa_Liq'!$C$19),0)</f>
        <v>0</v>
      </c>
      <c r="AI41" s="151" t="n">
        <f aca="false">IF(ISNUMBER(B41),E41*(1-F41)*((L41&gt;=O41)*'13_Mapa_Liq'!$C$15+(L41&gt;=S41)*'13_Mapa_Liq'!$C$16+(L41&gt;=W41)*'13_Mapa_Liq'!$C$17+(L41&gt;=AA41)*'13_Mapa_Liq'!$C$18+(L41&gt;=AE41)*'13_Mapa_Liq'!$C$19),0)</f>
        <v>0</v>
      </c>
    </row>
    <row r="42" customFormat="false" ht="15" hidden="false" customHeight="false" outlineLevel="0" collapsed="false">
      <c r="A42" s="151" t="str">
        <f aca="false">IF(ISNUMBER('12_Datos_5m'!F42),ROW()-4,"")</f>
        <v/>
      </c>
      <c r="B42" s="151" t="str">
        <f aca="false">IF(ISNUMBER('12_Datos_5m'!F42),'12_Datos_5m'!F42,"")</f>
        <v/>
      </c>
      <c r="C42" s="151" t="str">
        <f aca="false">IF(ISNUMBER('12_Datos_5m'!A42),'12_Datos_5m'!A42,"")</f>
        <v/>
      </c>
      <c r="D42" s="151" t="n">
        <f aca="false">IF(AND(ISNUMBER('12_Datos_5m'!I42),ISNUMBER('12_Datos_5m'!I41)),'12_Datos_5m'!I42-'12_Datos_5m'!I41,0)</f>
        <v>0</v>
      </c>
      <c r="E42" s="151" t="n">
        <f aca="false">MAX(0,D42)</f>
        <v>0</v>
      </c>
      <c r="F42" s="151" t="n">
        <f aca="false">IF(AND(ISNUMBER('12_Datos_5m'!G42),N('12_Datos_5m'!G42)&gt;0),'12_Datos_5m'!H42/'12_Datos_5m'!G42,0.5)</f>
        <v>0.5</v>
      </c>
      <c r="G42" s="151" t="n">
        <f aca="false">IF(ISNUMBER(C42),($C$2-C42)/3600000,0)</f>
        <v>0</v>
      </c>
      <c r="H42" s="151" t="n">
        <f aca="false">EXP(-G42/'13_Mapa_Liq'!$B$7)</f>
        <v>1</v>
      </c>
      <c r="I42" s="151" t="n">
        <f aca="false">E42*F42*H42</f>
        <v>0</v>
      </c>
      <c r="J42" s="151" t="n">
        <f aca="false">E42*(1-F42)*H42</f>
        <v>0</v>
      </c>
      <c r="K42" s="151" t="n">
        <f aca="false">IF(COUNT('12_Datos_5m'!E43:E$504)=0,1000000000000,MIN('12_Datos_5m'!E43:E$504))</f>
        <v>1000000000000</v>
      </c>
      <c r="L42" s="151" t="n">
        <f aca="false">IF(COUNT('12_Datos_5m'!D43:D$504)=0,0,MAX('12_Datos_5m'!D43:D$504))</f>
        <v>0</v>
      </c>
      <c r="M42" s="151" t="str">
        <f aca="false">IF(ISNUMBER(B42),B42*(1-1/'13_Mapa_Liq'!$B$15+'13_Mapa_Liq'!$B$6),"")</f>
        <v/>
      </c>
      <c r="N42" s="151" t="n">
        <f aca="false">IF(ISNUMBER(B42),IF(K42&gt;M42,I42*'13_Mapa_Liq'!$C$15,0),0)</f>
        <v>0</v>
      </c>
      <c r="O42" s="151" t="str">
        <f aca="false">IF(ISNUMBER(B42),B42*(1+1/'13_Mapa_Liq'!$B$15-'13_Mapa_Liq'!$B$6),"")</f>
        <v/>
      </c>
      <c r="P42" s="151" t="n">
        <f aca="false">IF(ISNUMBER(B42),IF(L42&lt;O42,J42*'13_Mapa_Liq'!$C$15,0),0)</f>
        <v>0</v>
      </c>
      <c r="Q42" s="151" t="str">
        <f aca="false">IF(ISNUMBER(B42),B42*(1-1/'13_Mapa_Liq'!$B$16+'13_Mapa_Liq'!$B$6),"")</f>
        <v/>
      </c>
      <c r="R42" s="151" t="n">
        <f aca="false">IF(ISNUMBER(B42),IF(K42&gt;Q42,I42*'13_Mapa_Liq'!$C$16,0),0)</f>
        <v>0</v>
      </c>
      <c r="S42" s="151" t="str">
        <f aca="false">IF(ISNUMBER(B42),B42*(1+1/'13_Mapa_Liq'!$B$16-'13_Mapa_Liq'!$B$6),"")</f>
        <v/>
      </c>
      <c r="T42" s="151" t="n">
        <f aca="false">IF(ISNUMBER(B42),IF(L42&lt;S42,J42*'13_Mapa_Liq'!$C$16,0),0)</f>
        <v>0</v>
      </c>
      <c r="U42" s="151" t="str">
        <f aca="false">IF(ISNUMBER(B42),B42*(1-1/'13_Mapa_Liq'!$B$17+'13_Mapa_Liq'!$B$6),"")</f>
        <v/>
      </c>
      <c r="V42" s="151" t="n">
        <f aca="false">IF(ISNUMBER(B42),IF(K42&gt;U42,I42*'13_Mapa_Liq'!$C$17,0),0)</f>
        <v>0</v>
      </c>
      <c r="W42" s="151" t="str">
        <f aca="false">IF(ISNUMBER(B42),B42*(1+1/'13_Mapa_Liq'!$B$17-'13_Mapa_Liq'!$B$6),"")</f>
        <v/>
      </c>
      <c r="X42" s="151" t="n">
        <f aca="false">IF(ISNUMBER(B42),IF(L42&lt;W42,J42*'13_Mapa_Liq'!$C$17,0),0)</f>
        <v>0</v>
      </c>
      <c r="Y42" s="151" t="str">
        <f aca="false">IF(ISNUMBER(B42),B42*(1-1/'13_Mapa_Liq'!$B$18+'13_Mapa_Liq'!$B$6),"")</f>
        <v/>
      </c>
      <c r="Z42" s="151" t="n">
        <f aca="false">IF(ISNUMBER(B42),IF(K42&gt;Y42,I42*'13_Mapa_Liq'!$C$18,0),0)</f>
        <v>0</v>
      </c>
      <c r="AA42" s="151" t="str">
        <f aca="false">IF(ISNUMBER(B42),B42*(1+1/'13_Mapa_Liq'!$B$18-'13_Mapa_Liq'!$B$6),"")</f>
        <v/>
      </c>
      <c r="AB42" s="151" t="n">
        <f aca="false">IF(ISNUMBER(B42),IF(L42&lt;AA42,J42*'13_Mapa_Liq'!$C$18,0),0)</f>
        <v>0</v>
      </c>
      <c r="AC42" s="151" t="str">
        <f aca="false">IF(ISNUMBER(B42),B42*(1-1/'13_Mapa_Liq'!$B$19+'13_Mapa_Liq'!$B$6),"")</f>
        <v/>
      </c>
      <c r="AD42" s="151" t="n">
        <f aca="false">IF(ISNUMBER(B42),IF(K42&gt;AC42,I42*'13_Mapa_Liq'!$C$19,0),0)</f>
        <v>0</v>
      </c>
      <c r="AE42" s="151" t="str">
        <f aca="false">IF(ISNUMBER(B42),B42*(1+1/'13_Mapa_Liq'!$B$19-'13_Mapa_Liq'!$B$6),"")</f>
        <v/>
      </c>
      <c r="AF42" s="151" t="n">
        <f aca="false">IF(ISNUMBER(B42),IF(L42&lt;AE42,J42*'13_Mapa_Liq'!$C$19,0),0)</f>
        <v>0</v>
      </c>
      <c r="AG42" s="151"/>
      <c r="AH42" s="151" t="n">
        <f aca="false">IF(ISNUMBER(B42),E42*F42*((K42&lt;=M42)*'13_Mapa_Liq'!$C$15+(K42&lt;=Q42)*'13_Mapa_Liq'!$C$16+(K42&lt;=U42)*'13_Mapa_Liq'!$C$17+(K42&lt;=Y42)*'13_Mapa_Liq'!$C$18+(K42&lt;=AC42)*'13_Mapa_Liq'!$C$19),0)</f>
        <v>0</v>
      </c>
      <c r="AI42" s="151" t="n">
        <f aca="false">IF(ISNUMBER(B42),E42*(1-F42)*((L42&gt;=O42)*'13_Mapa_Liq'!$C$15+(L42&gt;=S42)*'13_Mapa_Liq'!$C$16+(L42&gt;=W42)*'13_Mapa_Liq'!$C$17+(L42&gt;=AA42)*'13_Mapa_Liq'!$C$18+(L42&gt;=AE42)*'13_Mapa_Liq'!$C$19),0)</f>
        <v>0</v>
      </c>
    </row>
    <row r="43" customFormat="false" ht="15" hidden="false" customHeight="false" outlineLevel="0" collapsed="false">
      <c r="A43" s="151" t="str">
        <f aca="false">IF(ISNUMBER('12_Datos_5m'!F43),ROW()-4,"")</f>
        <v/>
      </c>
      <c r="B43" s="151" t="str">
        <f aca="false">IF(ISNUMBER('12_Datos_5m'!F43),'12_Datos_5m'!F43,"")</f>
        <v/>
      </c>
      <c r="C43" s="151" t="str">
        <f aca="false">IF(ISNUMBER('12_Datos_5m'!A43),'12_Datos_5m'!A43,"")</f>
        <v/>
      </c>
      <c r="D43" s="151" t="n">
        <f aca="false">IF(AND(ISNUMBER('12_Datos_5m'!I43),ISNUMBER('12_Datos_5m'!I42)),'12_Datos_5m'!I43-'12_Datos_5m'!I42,0)</f>
        <v>0</v>
      </c>
      <c r="E43" s="151" t="n">
        <f aca="false">MAX(0,D43)</f>
        <v>0</v>
      </c>
      <c r="F43" s="151" t="n">
        <f aca="false">IF(AND(ISNUMBER('12_Datos_5m'!G43),N('12_Datos_5m'!G43)&gt;0),'12_Datos_5m'!H43/'12_Datos_5m'!G43,0.5)</f>
        <v>0.5</v>
      </c>
      <c r="G43" s="151" t="n">
        <f aca="false">IF(ISNUMBER(C43),($C$2-C43)/3600000,0)</f>
        <v>0</v>
      </c>
      <c r="H43" s="151" t="n">
        <f aca="false">EXP(-G43/'13_Mapa_Liq'!$B$7)</f>
        <v>1</v>
      </c>
      <c r="I43" s="151" t="n">
        <f aca="false">E43*F43*H43</f>
        <v>0</v>
      </c>
      <c r="J43" s="151" t="n">
        <f aca="false">E43*(1-F43)*H43</f>
        <v>0</v>
      </c>
      <c r="K43" s="151" t="n">
        <f aca="false">IF(COUNT('12_Datos_5m'!E44:E$504)=0,1000000000000,MIN('12_Datos_5m'!E44:E$504))</f>
        <v>1000000000000</v>
      </c>
      <c r="L43" s="151" t="n">
        <f aca="false">IF(COUNT('12_Datos_5m'!D44:D$504)=0,0,MAX('12_Datos_5m'!D44:D$504))</f>
        <v>0</v>
      </c>
      <c r="M43" s="151" t="str">
        <f aca="false">IF(ISNUMBER(B43),B43*(1-1/'13_Mapa_Liq'!$B$15+'13_Mapa_Liq'!$B$6),"")</f>
        <v/>
      </c>
      <c r="N43" s="151" t="n">
        <f aca="false">IF(ISNUMBER(B43),IF(K43&gt;M43,I43*'13_Mapa_Liq'!$C$15,0),0)</f>
        <v>0</v>
      </c>
      <c r="O43" s="151" t="str">
        <f aca="false">IF(ISNUMBER(B43),B43*(1+1/'13_Mapa_Liq'!$B$15-'13_Mapa_Liq'!$B$6),"")</f>
        <v/>
      </c>
      <c r="P43" s="151" t="n">
        <f aca="false">IF(ISNUMBER(B43),IF(L43&lt;O43,J43*'13_Mapa_Liq'!$C$15,0),0)</f>
        <v>0</v>
      </c>
      <c r="Q43" s="151" t="str">
        <f aca="false">IF(ISNUMBER(B43),B43*(1-1/'13_Mapa_Liq'!$B$16+'13_Mapa_Liq'!$B$6),"")</f>
        <v/>
      </c>
      <c r="R43" s="151" t="n">
        <f aca="false">IF(ISNUMBER(B43),IF(K43&gt;Q43,I43*'13_Mapa_Liq'!$C$16,0),0)</f>
        <v>0</v>
      </c>
      <c r="S43" s="151" t="str">
        <f aca="false">IF(ISNUMBER(B43),B43*(1+1/'13_Mapa_Liq'!$B$16-'13_Mapa_Liq'!$B$6),"")</f>
        <v/>
      </c>
      <c r="T43" s="151" t="n">
        <f aca="false">IF(ISNUMBER(B43),IF(L43&lt;S43,J43*'13_Mapa_Liq'!$C$16,0),0)</f>
        <v>0</v>
      </c>
      <c r="U43" s="151" t="str">
        <f aca="false">IF(ISNUMBER(B43),B43*(1-1/'13_Mapa_Liq'!$B$17+'13_Mapa_Liq'!$B$6),"")</f>
        <v/>
      </c>
      <c r="V43" s="151" t="n">
        <f aca="false">IF(ISNUMBER(B43),IF(K43&gt;U43,I43*'13_Mapa_Liq'!$C$17,0),0)</f>
        <v>0</v>
      </c>
      <c r="W43" s="151" t="str">
        <f aca="false">IF(ISNUMBER(B43),B43*(1+1/'13_Mapa_Liq'!$B$17-'13_Mapa_Liq'!$B$6),"")</f>
        <v/>
      </c>
      <c r="X43" s="151" t="n">
        <f aca="false">IF(ISNUMBER(B43),IF(L43&lt;W43,J43*'13_Mapa_Liq'!$C$17,0),0)</f>
        <v>0</v>
      </c>
      <c r="Y43" s="151" t="str">
        <f aca="false">IF(ISNUMBER(B43),B43*(1-1/'13_Mapa_Liq'!$B$18+'13_Mapa_Liq'!$B$6),"")</f>
        <v/>
      </c>
      <c r="Z43" s="151" t="n">
        <f aca="false">IF(ISNUMBER(B43),IF(K43&gt;Y43,I43*'13_Mapa_Liq'!$C$18,0),0)</f>
        <v>0</v>
      </c>
      <c r="AA43" s="151" t="str">
        <f aca="false">IF(ISNUMBER(B43),B43*(1+1/'13_Mapa_Liq'!$B$18-'13_Mapa_Liq'!$B$6),"")</f>
        <v/>
      </c>
      <c r="AB43" s="151" t="n">
        <f aca="false">IF(ISNUMBER(B43),IF(L43&lt;AA43,J43*'13_Mapa_Liq'!$C$18,0),0)</f>
        <v>0</v>
      </c>
      <c r="AC43" s="151" t="str">
        <f aca="false">IF(ISNUMBER(B43),B43*(1-1/'13_Mapa_Liq'!$B$19+'13_Mapa_Liq'!$B$6),"")</f>
        <v/>
      </c>
      <c r="AD43" s="151" t="n">
        <f aca="false">IF(ISNUMBER(B43),IF(K43&gt;AC43,I43*'13_Mapa_Liq'!$C$19,0),0)</f>
        <v>0</v>
      </c>
      <c r="AE43" s="151" t="str">
        <f aca="false">IF(ISNUMBER(B43),B43*(1+1/'13_Mapa_Liq'!$B$19-'13_Mapa_Liq'!$B$6),"")</f>
        <v/>
      </c>
      <c r="AF43" s="151" t="n">
        <f aca="false">IF(ISNUMBER(B43),IF(L43&lt;AE43,J43*'13_Mapa_Liq'!$C$19,0),0)</f>
        <v>0</v>
      </c>
      <c r="AG43" s="151"/>
      <c r="AH43" s="151" t="n">
        <f aca="false">IF(ISNUMBER(B43),E43*F43*((K43&lt;=M43)*'13_Mapa_Liq'!$C$15+(K43&lt;=Q43)*'13_Mapa_Liq'!$C$16+(K43&lt;=U43)*'13_Mapa_Liq'!$C$17+(K43&lt;=Y43)*'13_Mapa_Liq'!$C$18+(K43&lt;=AC43)*'13_Mapa_Liq'!$C$19),0)</f>
        <v>0</v>
      </c>
      <c r="AI43" s="151" t="n">
        <f aca="false">IF(ISNUMBER(B43),E43*(1-F43)*((L43&gt;=O43)*'13_Mapa_Liq'!$C$15+(L43&gt;=S43)*'13_Mapa_Liq'!$C$16+(L43&gt;=W43)*'13_Mapa_Liq'!$C$17+(L43&gt;=AA43)*'13_Mapa_Liq'!$C$18+(L43&gt;=AE43)*'13_Mapa_Liq'!$C$19),0)</f>
        <v>0</v>
      </c>
    </row>
    <row r="44" customFormat="false" ht="15" hidden="false" customHeight="false" outlineLevel="0" collapsed="false">
      <c r="A44" s="151" t="str">
        <f aca="false">IF(ISNUMBER('12_Datos_5m'!F44),ROW()-4,"")</f>
        <v/>
      </c>
      <c r="B44" s="151" t="str">
        <f aca="false">IF(ISNUMBER('12_Datos_5m'!F44),'12_Datos_5m'!F44,"")</f>
        <v/>
      </c>
      <c r="C44" s="151" t="str">
        <f aca="false">IF(ISNUMBER('12_Datos_5m'!A44),'12_Datos_5m'!A44,"")</f>
        <v/>
      </c>
      <c r="D44" s="151" t="n">
        <f aca="false">IF(AND(ISNUMBER('12_Datos_5m'!I44),ISNUMBER('12_Datos_5m'!I43)),'12_Datos_5m'!I44-'12_Datos_5m'!I43,0)</f>
        <v>0</v>
      </c>
      <c r="E44" s="151" t="n">
        <f aca="false">MAX(0,D44)</f>
        <v>0</v>
      </c>
      <c r="F44" s="151" t="n">
        <f aca="false">IF(AND(ISNUMBER('12_Datos_5m'!G44),N('12_Datos_5m'!G44)&gt;0),'12_Datos_5m'!H44/'12_Datos_5m'!G44,0.5)</f>
        <v>0.5</v>
      </c>
      <c r="G44" s="151" t="n">
        <f aca="false">IF(ISNUMBER(C44),($C$2-C44)/3600000,0)</f>
        <v>0</v>
      </c>
      <c r="H44" s="151" t="n">
        <f aca="false">EXP(-G44/'13_Mapa_Liq'!$B$7)</f>
        <v>1</v>
      </c>
      <c r="I44" s="151" t="n">
        <f aca="false">E44*F44*H44</f>
        <v>0</v>
      </c>
      <c r="J44" s="151" t="n">
        <f aca="false">E44*(1-F44)*H44</f>
        <v>0</v>
      </c>
      <c r="K44" s="151" t="n">
        <f aca="false">IF(COUNT('12_Datos_5m'!E45:E$504)=0,1000000000000,MIN('12_Datos_5m'!E45:E$504))</f>
        <v>1000000000000</v>
      </c>
      <c r="L44" s="151" t="n">
        <f aca="false">IF(COUNT('12_Datos_5m'!D45:D$504)=0,0,MAX('12_Datos_5m'!D45:D$504))</f>
        <v>0</v>
      </c>
      <c r="M44" s="151" t="str">
        <f aca="false">IF(ISNUMBER(B44),B44*(1-1/'13_Mapa_Liq'!$B$15+'13_Mapa_Liq'!$B$6),"")</f>
        <v/>
      </c>
      <c r="N44" s="151" t="n">
        <f aca="false">IF(ISNUMBER(B44),IF(K44&gt;M44,I44*'13_Mapa_Liq'!$C$15,0),0)</f>
        <v>0</v>
      </c>
      <c r="O44" s="151" t="str">
        <f aca="false">IF(ISNUMBER(B44),B44*(1+1/'13_Mapa_Liq'!$B$15-'13_Mapa_Liq'!$B$6),"")</f>
        <v/>
      </c>
      <c r="P44" s="151" t="n">
        <f aca="false">IF(ISNUMBER(B44),IF(L44&lt;O44,J44*'13_Mapa_Liq'!$C$15,0),0)</f>
        <v>0</v>
      </c>
      <c r="Q44" s="151" t="str">
        <f aca="false">IF(ISNUMBER(B44),B44*(1-1/'13_Mapa_Liq'!$B$16+'13_Mapa_Liq'!$B$6),"")</f>
        <v/>
      </c>
      <c r="R44" s="151" t="n">
        <f aca="false">IF(ISNUMBER(B44),IF(K44&gt;Q44,I44*'13_Mapa_Liq'!$C$16,0),0)</f>
        <v>0</v>
      </c>
      <c r="S44" s="151" t="str">
        <f aca="false">IF(ISNUMBER(B44),B44*(1+1/'13_Mapa_Liq'!$B$16-'13_Mapa_Liq'!$B$6),"")</f>
        <v/>
      </c>
      <c r="T44" s="151" t="n">
        <f aca="false">IF(ISNUMBER(B44),IF(L44&lt;S44,J44*'13_Mapa_Liq'!$C$16,0),0)</f>
        <v>0</v>
      </c>
      <c r="U44" s="151" t="str">
        <f aca="false">IF(ISNUMBER(B44),B44*(1-1/'13_Mapa_Liq'!$B$17+'13_Mapa_Liq'!$B$6),"")</f>
        <v/>
      </c>
      <c r="V44" s="151" t="n">
        <f aca="false">IF(ISNUMBER(B44),IF(K44&gt;U44,I44*'13_Mapa_Liq'!$C$17,0),0)</f>
        <v>0</v>
      </c>
      <c r="W44" s="151" t="str">
        <f aca="false">IF(ISNUMBER(B44),B44*(1+1/'13_Mapa_Liq'!$B$17-'13_Mapa_Liq'!$B$6),"")</f>
        <v/>
      </c>
      <c r="X44" s="151" t="n">
        <f aca="false">IF(ISNUMBER(B44),IF(L44&lt;W44,J44*'13_Mapa_Liq'!$C$17,0),0)</f>
        <v>0</v>
      </c>
      <c r="Y44" s="151" t="str">
        <f aca="false">IF(ISNUMBER(B44),B44*(1-1/'13_Mapa_Liq'!$B$18+'13_Mapa_Liq'!$B$6),"")</f>
        <v/>
      </c>
      <c r="Z44" s="151" t="n">
        <f aca="false">IF(ISNUMBER(B44),IF(K44&gt;Y44,I44*'13_Mapa_Liq'!$C$18,0),0)</f>
        <v>0</v>
      </c>
      <c r="AA44" s="151" t="str">
        <f aca="false">IF(ISNUMBER(B44),B44*(1+1/'13_Mapa_Liq'!$B$18-'13_Mapa_Liq'!$B$6),"")</f>
        <v/>
      </c>
      <c r="AB44" s="151" t="n">
        <f aca="false">IF(ISNUMBER(B44),IF(L44&lt;AA44,J44*'13_Mapa_Liq'!$C$18,0),0)</f>
        <v>0</v>
      </c>
      <c r="AC44" s="151" t="str">
        <f aca="false">IF(ISNUMBER(B44),B44*(1-1/'13_Mapa_Liq'!$B$19+'13_Mapa_Liq'!$B$6),"")</f>
        <v/>
      </c>
      <c r="AD44" s="151" t="n">
        <f aca="false">IF(ISNUMBER(B44),IF(K44&gt;AC44,I44*'13_Mapa_Liq'!$C$19,0),0)</f>
        <v>0</v>
      </c>
      <c r="AE44" s="151" t="str">
        <f aca="false">IF(ISNUMBER(B44),B44*(1+1/'13_Mapa_Liq'!$B$19-'13_Mapa_Liq'!$B$6),"")</f>
        <v/>
      </c>
      <c r="AF44" s="151" t="n">
        <f aca="false">IF(ISNUMBER(B44),IF(L44&lt;AE44,J44*'13_Mapa_Liq'!$C$19,0),0)</f>
        <v>0</v>
      </c>
      <c r="AG44" s="151"/>
      <c r="AH44" s="151" t="n">
        <f aca="false">IF(ISNUMBER(B44),E44*F44*((K44&lt;=M44)*'13_Mapa_Liq'!$C$15+(K44&lt;=Q44)*'13_Mapa_Liq'!$C$16+(K44&lt;=U44)*'13_Mapa_Liq'!$C$17+(K44&lt;=Y44)*'13_Mapa_Liq'!$C$18+(K44&lt;=AC44)*'13_Mapa_Liq'!$C$19),0)</f>
        <v>0</v>
      </c>
      <c r="AI44" s="151" t="n">
        <f aca="false">IF(ISNUMBER(B44),E44*(1-F44)*((L44&gt;=O44)*'13_Mapa_Liq'!$C$15+(L44&gt;=S44)*'13_Mapa_Liq'!$C$16+(L44&gt;=W44)*'13_Mapa_Liq'!$C$17+(L44&gt;=AA44)*'13_Mapa_Liq'!$C$18+(L44&gt;=AE44)*'13_Mapa_Liq'!$C$19),0)</f>
        <v>0</v>
      </c>
    </row>
    <row r="45" customFormat="false" ht="15" hidden="false" customHeight="false" outlineLevel="0" collapsed="false">
      <c r="A45" s="151" t="str">
        <f aca="false">IF(ISNUMBER('12_Datos_5m'!F45),ROW()-4,"")</f>
        <v/>
      </c>
      <c r="B45" s="151" t="str">
        <f aca="false">IF(ISNUMBER('12_Datos_5m'!F45),'12_Datos_5m'!F45,"")</f>
        <v/>
      </c>
      <c r="C45" s="151" t="str">
        <f aca="false">IF(ISNUMBER('12_Datos_5m'!A45),'12_Datos_5m'!A45,"")</f>
        <v/>
      </c>
      <c r="D45" s="151" t="n">
        <f aca="false">IF(AND(ISNUMBER('12_Datos_5m'!I45),ISNUMBER('12_Datos_5m'!I44)),'12_Datos_5m'!I45-'12_Datos_5m'!I44,0)</f>
        <v>0</v>
      </c>
      <c r="E45" s="151" t="n">
        <f aca="false">MAX(0,D45)</f>
        <v>0</v>
      </c>
      <c r="F45" s="151" t="n">
        <f aca="false">IF(AND(ISNUMBER('12_Datos_5m'!G45),N('12_Datos_5m'!G45)&gt;0),'12_Datos_5m'!H45/'12_Datos_5m'!G45,0.5)</f>
        <v>0.5</v>
      </c>
      <c r="G45" s="151" t="n">
        <f aca="false">IF(ISNUMBER(C45),($C$2-C45)/3600000,0)</f>
        <v>0</v>
      </c>
      <c r="H45" s="151" t="n">
        <f aca="false">EXP(-G45/'13_Mapa_Liq'!$B$7)</f>
        <v>1</v>
      </c>
      <c r="I45" s="151" t="n">
        <f aca="false">E45*F45*H45</f>
        <v>0</v>
      </c>
      <c r="J45" s="151" t="n">
        <f aca="false">E45*(1-F45)*H45</f>
        <v>0</v>
      </c>
      <c r="K45" s="151" t="n">
        <f aca="false">IF(COUNT('12_Datos_5m'!E46:E$504)=0,1000000000000,MIN('12_Datos_5m'!E46:E$504))</f>
        <v>1000000000000</v>
      </c>
      <c r="L45" s="151" t="n">
        <f aca="false">IF(COUNT('12_Datos_5m'!D46:D$504)=0,0,MAX('12_Datos_5m'!D46:D$504))</f>
        <v>0</v>
      </c>
      <c r="M45" s="151" t="str">
        <f aca="false">IF(ISNUMBER(B45),B45*(1-1/'13_Mapa_Liq'!$B$15+'13_Mapa_Liq'!$B$6),"")</f>
        <v/>
      </c>
      <c r="N45" s="151" t="n">
        <f aca="false">IF(ISNUMBER(B45),IF(K45&gt;M45,I45*'13_Mapa_Liq'!$C$15,0),0)</f>
        <v>0</v>
      </c>
      <c r="O45" s="151" t="str">
        <f aca="false">IF(ISNUMBER(B45),B45*(1+1/'13_Mapa_Liq'!$B$15-'13_Mapa_Liq'!$B$6),"")</f>
        <v/>
      </c>
      <c r="P45" s="151" t="n">
        <f aca="false">IF(ISNUMBER(B45),IF(L45&lt;O45,J45*'13_Mapa_Liq'!$C$15,0),0)</f>
        <v>0</v>
      </c>
      <c r="Q45" s="151" t="str">
        <f aca="false">IF(ISNUMBER(B45),B45*(1-1/'13_Mapa_Liq'!$B$16+'13_Mapa_Liq'!$B$6),"")</f>
        <v/>
      </c>
      <c r="R45" s="151" t="n">
        <f aca="false">IF(ISNUMBER(B45),IF(K45&gt;Q45,I45*'13_Mapa_Liq'!$C$16,0),0)</f>
        <v>0</v>
      </c>
      <c r="S45" s="151" t="str">
        <f aca="false">IF(ISNUMBER(B45),B45*(1+1/'13_Mapa_Liq'!$B$16-'13_Mapa_Liq'!$B$6),"")</f>
        <v/>
      </c>
      <c r="T45" s="151" t="n">
        <f aca="false">IF(ISNUMBER(B45),IF(L45&lt;S45,J45*'13_Mapa_Liq'!$C$16,0),0)</f>
        <v>0</v>
      </c>
      <c r="U45" s="151" t="str">
        <f aca="false">IF(ISNUMBER(B45),B45*(1-1/'13_Mapa_Liq'!$B$17+'13_Mapa_Liq'!$B$6),"")</f>
        <v/>
      </c>
      <c r="V45" s="151" t="n">
        <f aca="false">IF(ISNUMBER(B45),IF(K45&gt;U45,I45*'13_Mapa_Liq'!$C$17,0),0)</f>
        <v>0</v>
      </c>
      <c r="W45" s="151" t="str">
        <f aca="false">IF(ISNUMBER(B45),B45*(1+1/'13_Mapa_Liq'!$B$17-'13_Mapa_Liq'!$B$6),"")</f>
        <v/>
      </c>
      <c r="X45" s="151" t="n">
        <f aca="false">IF(ISNUMBER(B45),IF(L45&lt;W45,J45*'13_Mapa_Liq'!$C$17,0),0)</f>
        <v>0</v>
      </c>
      <c r="Y45" s="151" t="str">
        <f aca="false">IF(ISNUMBER(B45),B45*(1-1/'13_Mapa_Liq'!$B$18+'13_Mapa_Liq'!$B$6),"")</f>
        <v/>
      </c>
      <c r="Z45" s="151" t="n">
        <f aca="false">IF(ISNUMBER(B45),IF(K45&gt;Y45,I45*'13_Mapa_Liq'!$C$18,0),0)</f>
        <v>0</v>
      </c>
      <c r="AA45" s="151" t="str">
        <f aca="false">IF(ISNUMBER(B45),B45*(1+1/'13_Mapa_Liq'!$B$18-'13_Mapa_Liq'!$B$6),"")</f>
        <v/>
      </c>
      <c r="AB45" s="151" t="n">
        <f aca="false">IF(ISNUMBER(B45),IF(L45&lt;AA45,J45*'13_Mapa_Liq'!$C$18,0),0)</f>
        <v>0</v>
      </c>
      <c r="AC45" s="151" t="str">
        <f aca="false">IF(ISNUMBER(B45),B45*(1-1/'13_Mapa_Liq'!$B$19+'13_Mapa_Liq'!$B$6),"")</f>
        <v/>
      </c>
      <c r="AD45" s="151" t="n">
        <f aca="false">IF(ISNUMBER(B45),IF(K45&gt;AC45,I45*'13_Mapa_Liq'!$C$19,0),0)</f>
        <v>0</v>
      </c>
      <c r="AE45" s="151" t="str">
        <f aca="false">IF(ISNUMBER(B45),B45*(1+1/'13_Mapa_Liq'!$B$19-'13_Mapa_Liq'!$B$6),"")</f>
        <v/>
      </c>
      <c r="AF45" s="151" t="n">
        <f aca="false">IF(ISNUMBER(B45),IF(L45&lt;AE45,J45*'13_Mapa_Liq'!$C$19,0),0)</f>
        <v>0</v>
      </c>
      <c r="AG45" s="151"/>
      <c r="AH45" s="151" t="n">
        <f aca="false">IF(ISNUMBER(B45),E45*F45*((K45&lt;=M45)*'13_Mapa_Liq'!$C$15+(K45&lt;=Q45)*'13_Mapa_Liq'!$C$16+(K45&lt;=U45)*'13_Mapa_Liq'!$C$17+(K45&lt;=Y45)*'13_Mapa_Liq'!$C$18+(K45&lt;=AC45)*'13_Mapa_Liq'!$C$19),0)</f>
        <v>0</v>
      </c>
      <c r="AI45" s="151" t="n">
        <f aca="false">IF(ISNUMBER(B45),E45*(1-F45)*((L45&gt;=O45)*'13_Mapa_Liq'!$C$15+(L45&gt;=S45)*'13_Mapa_Liq'!$C$16+(L45&gt;=W45)*'13_Mapa_Liq'!$C$17+(L45&gt;=AA45)*'13_Mapa_Liq'!$C$18+(L45&gt;=AE45)*'13_Mapa_Liq'!$C$19),0)</f>
        <v>0</v>
      </c>
    </row>
    <row r="46" customFormat="false" ht="15" hidden="false" customHeight="false" outlineLevel="0" collapsed="false">
      <c r="A46" s="151" t="str">
        <f aca="false">IF(ISNUMBER('12_Datos_5m'!F46),ROW()-4,"")</f>
        <v/>
      </c>
      <c r="B46" s="151" t="str">
        <f aca="false">IF(ISNUMBER('12_Datos_5m'!F46),'12_Datos_5m'!F46,"")</f>
        <v/>
      </c>
      <c r="C46" s="151" t="str">
        <f aca="false">IF(ISNUMBER('12_Datos_5m'!A46),'12_Datos_5m'!A46,"")</f>
        <v/>
      </c>
      <c r="D46" s="151" t="n">
        <f aca="false">IF(AND(ISNUMBER('12_Datos_5m'!I46),ISNUMBER('12_Datos_5m'!I45)),'12_Datos_5m'!I46-'12_Datos_5m'!I45,0)</f>
        <v>0</v>
      </c>
      <c r="E46" s="151" t="n">
        <f aca="false">MAX(0,D46)</f>
        <v>0</v>
      </c>
      <c r="F46" s="151" t="n">
        <f aca="false">IF(AND(ISNUMBER('12_Datos_5m'!G46),N('12_Datos_5m'!G46)&gt;0),'12_Datos_5m'!H46/'12_Datos_5m'!G46,0.5)</f>
        <v>0.5</v>
      </c>
      <c r="G46" s="151" t="n">
        <f aca="false">IF(ISNUMBER(C46),($C$2-C46)/3600000,0)</f>
        <v>0</v>
      </c>
      <c r="H46" s="151" t="n">
        <f aca="false">EXP(-G46/'13_Mapa_Liq'!$B$7)</f>
        <v>1</v>
      </c>
      <c r="I46" s="151" t="n">
        <f aca="false">E46*F46*H46</f>
        <v>0</v>
      </c>
      <c r="J46" s="151" t="n">
        <f aca="false">E46*(1-F46)*H46</f>
        <v>0</v>
      </c>
      <c r="K46" s="151" t="n">
        <f aca="false">IF(COUNT('12_Datos_5m'!E47:E$504)=0,1000000000000,MIN('12_Datos_5m'!E47:E$504))</f>
        <v>1000000000000</v>
      </c>
      <c r="L46" s="151" t="n">
        <f aca="false">IF(COUNT('12_Datos_5m'!D47:D$504)=0,0,MAX('12_Datos_5m'!D47:D$504))</f>
        <v>0</v>
      </c>
      <c r="M46" s="151" t="str">
        <f aca="false">IF(ISNUMBER(B46),B46*(1-1/'13_Mapa_Liq'!$B$15+'13_Mapa_Liq'!$B$6),"")</f>
        <v/>
      </c>
      <c r="N46" s="151" t="n">
        <f aca="false">IF(ISNUMBER(B46),IF(K46&gt;M46,I46*'13_Mapa_Liq'!$C$15,0),0)</f>
        <v>0</v>
      </c>
      <c r="O46" s="151" t="str">
        <f aca="false">IF(ISNUMBER(B46),B46*(1+1/'13_Mapa_Liq'!$B$15-'13_Mapa_Liq'!$B$6),"")</f>
        <v/>
      </c>
      <c r="P46" s="151" t="n">
        <f aca="false">IF(ISNUMBER(B46),IF(L46&lt;O46,J46*'13_Mapa_Liq'!$C$15,0),0)</f>
        <v>0</v>
      </c>
      <c r="Q46" s="151" t="str">
        <f aca="false">IF(ISNUMBER(B46),B46*(1-1/'13_Mapa_Liq'!$B$16+'13_Mapa_Liq'!$B$6),"")</f>
        <v/>
      </c>
      <c r="R46" s="151" t="n">
        <f aca="false">IF(ISNUMBER(B46),IF(K46&gt;Q46,I46*'13_Mapa_Liq'!$C$16,0),0)</f>
        <v>0</v>
      </c>
      <c r="S46" s="151" t="str">
        <f aca="false">IF(ISNUMBER(B46),B46*(1+1/'13_Mapa_Liq'!$B$16-'13_Mapa_Liq'!$B$6),"")</f>
        <v/>
      </c>
      <c r="T46" s="151" t="n">
        <f aca="false">IF(ISNUMBER(B46),IF(L46&lt;S46,J46*'13_Mapa_Liq'!$C$16,0),0)</f>
        <v>0</v>
      </c>
      <c r="U46" s="151" t="str">
        <f aca="false">IF(ISNUMBER(B46),B46*(1-1/'13_Mapa_Liq'!$B$17+'13_Mapa_Liq'!$B$6),"")</f>
        <v/>
      </c>
      <c r="V46" s="151" t="n">
        <f aca="false">IF(ISNUMBER(B46),IF(K46&gt;U46,I46*'13_Mapa_Liq'!$C$17,0),0)</f>
        <v>0</v>
      </c>
      <c r="W46" s="151" t="str">
        <f aca="false">IF(ISNUMBER(B46),B46*(1+1/'13_Mapa_Liq'!$B$17-'13_Mapa_Liq'!$B$6),"")</f>
        <v/>
      </c>
      <c r="X46" s="151" t="n">
        <f aca="false">IF(ISNUMBER(B46),IF(L46&lt;W46,J46*'13_Mapa_Liq'!$C$17,0),0)</f>
        <v>0</v>
      </c>
      <c r="Y46" s="151" t="str">
        <f aca="false">IF(ISNUMBER(B46),B46*(1-1/'13_Mapa_Liq'!$B$18+'13_Mapa_Liq'!$B$6),"")</f>
        <v/>
      </c>
      <c r="Z46" s="151" t="n">
        <f aca="false">IF(ISNUMBER(B46),IF(K46&gt;Y46,I46*'13_Mapa_Liq'!$C$18,0),0)</f>
        <v>0</v>
      </c>
      <c r="AA46" s="151" t="str">
        <f aca="false">IF(ISNUMBER(B46),B46*(1+1/'13_Mapa_Liq'!$B$18-'13_Mapa_Liq'!$B$6),"")</f>
        <v/>
      </c>
      <c r="AB46" s="151" t="n">
        <f aca="false">IF(ISNUMBER(B46),IF(L46&lt;AA46,J46*'13_Mapa_Liq'!$C$18,0),0)</f>
        <v>0</v>
      </c>
      <c r="AC46" s="151" t="str">
        <f aca="false">IF(ISNUMBER(B46),B46*(1-1/'13_Mapa_Liq'!$B$19+'13_Mapa_Liq'!$B$6),"")</f>
        <v/>
      </c>
      <c r="AD46" s="151" t="n">
        <f aca="false">IF(ISNUMBER(B46),IF(K46&gt;AC46,I46*'13_Mapa_Liq'!$C$19,0),0)</f>
        <v>0</v>
      </c>
      <c r="AE46" s="151" t="str">
        <f aca="false">IF(ISNUMBER(B46),B46*(1+1/'13_Mapa_Liq'!$B$19-'13_Mapa_Liq'!$B$6),"")</f>
        <v/>
      </c>
      <c r="AF46" s="151" t="n">
        <f aca="false">IF(ISNUMBER(B46),IF(L46&lt;AE46,J46*'13_Mapa_Liq'!$C$19,0),0)</f>
        <v>0</v>
      </c>
      <c r="AG46" s="151"/>
      <c r="AH46" s="151" t="n">
        <f aca="false">IF(ISNUMBER(B46),E46*F46*((K46&lt;=M46)*'13_Mapa_Liq'!$C$15+(K46&lt;=Q46)*'13_Mapa_Liq'!$C$16+(K46&lt;=U46)*'13_Mapa_Liq'!$C$17+(K46&lt;=Y46)*'13_Mapa_Liq'!$C$18+(K46&lt;=AC46)*'13_Mapa_Liq'!$C$19),0)</f>
        <v>0</v>
      </c>
      <c r="AI46" s="151" t="n">
        <f aca="false">IF(ISNUMBER(B46),E46*(1-F46)*((L46&gt;=O46)*'13_Mapa_Liq'!$C$15+(L46&gt;=S46)*'13_Mapa_Liq'!$C$16+(L46&gt;=W46)*'13_Mapa_Liq'!$C$17+(L46&gt;=AA46)*'13_Mapa_Liq'!$C$18+(L46&gt;=AE46)*'13_Mapa_Liq'!$C$19),0)</f>
        <v>0</v>
      </c>
    </row>
    <row r="47" customFormat="false" ht="15" hidden="false" customHeight="false" outlineLevel="0" collapsed="false">
      <c r="A47" s="151" t="str">
        <f aca="false">IF(ISNUMBER('12_Datos_5m'!F47),ROW()-4,"")</f>
        <v/>
      </c>
      <c r="B47" s="151" t="str">
        <f aca="false">IF(ISNUMBER('12_Datos_5m'!F47),'12_Datos_5m'!F47,"")</f>
        <v/>
      </c>
      <c r="C47" s="151" t="str">
        <f aca="false">IF(ISNUMBER('12_Datos_5m'!A47),'12_Datos_5m'!A47,"")</f>
        <v/>
      </c>
      <c r="D47" s="151" t="n">
        <f aca="false">IF(AND(ISNUMBER('12_Datos_5m'!I47),ISNUMBER('12_Datos_5m'!I46)),'12_Datos_5m'!I47-'12_Datos_5m'!I46,0)</f>
        <v>0</v>
      </c>
      <c r="E47" s="151" t="n">
        <f aca="false">MAX(0,D47)</f>
        <v>0</v>
      </c>
      <c r="F47" s="151" t="n">
        <f aca="false">IF(AND(ISNUMBER('12_Datos_5m'!G47),N('12_Datos_5m'!G47)&gt;0),'12_Datos_5m'!H47/'12_Datos_5m'!G47,0.5)</f>
        <v>0.5</v>
      </c>
      <c r="G47" s="151" t="n">
        <f aca="false">IF(ISNUMBER(C47),($C$2-C47)/3600000,0)</f>
        <v>0</v>
      </c>
      <c r="H47" s="151" t="n">
        <f aca="false">EXP(-G47/'13_Mapa_Liq'!$B$7)</f>
        <v>1</v>
      </c>
      <c r="I47" s="151" t="n">
        <f aca="false">E47*F47*H47</f>
        <v>0</v>
      </c>
      <c r="J47" s="151" t="n">
        <f aca="false">E47*(1-F47)*H47</f>
        <v>0</v>
      </c>
      <c r="K47" s="151" t="n">
        <f aca="false">IF(COUNT('12_Datos_5m'!E48:E$504)=0,1000000000000,MIN('12_Datos_5m'!E48:E$504))</f>
        <v>1000000000000</v>
      </c>
      <c r="L47" s="151" t="n">
        <f aca="false">IF(COUNT('12_Datos_5m'!D48:D$504)=0,0,MAX('12_Datos_5m'!D48:D$504))</f>
        <v>0</v>
      </c>
      <c r="M47" s="151" t="str">
        <f aca="false">IF(ISNUMBER(B47),B47*(1-1/'13_Mapa_Liq'!$B$15+'13_Mapa_Liq'!$B$6),"")</f>
        <v/>
      </c>
      <c r="N47" s="151" t="n">
        <f aca="false">IF(ISNUMBER(B47),IF(K47&gt;M47,I47*'13_Mapa_Liq'!$C$15,0),0)</f>
        <v>0</v>
      </c>
      <c r="O47" s="151" t="str">
        <f aca="false">IF(ISNUMBER(B47),B47*(1+1/'13_Mapa_Liq'!$B$15-'13_Mapa_Liq'!$B$6),"")</f>
        <v/>
      </c>
      <c r="P47" s="151" t="n">
        <f aca="false">IF(ISNUMBER(B47),IF(L47&lt;O47,J47*'13_Mapa_Liq'!$C$15,0),0)</f>
        <v>0</v>
      </c>
      <c r="Q47" s="151" t="str">
        <f aca="false">IF(ISNUMBER(B47),B47*(1-1/'13_Mapa_Liq'!$B$16+'13_Mapa_Liq'!$B$6),"")</f>
        <v/>
      </c>
      <c r="R47" s="151" t="n">
        <f aca="false">IF(ISNUMBER(B47),IF(K47&gt;Q47,I47*'13_Mapa_Liq'!$C$16,0),0)</f>
        <v>0</v>
      </c>
      <c r="S47" s="151" t="str">
        <f aca="false">IF(ISNUMBER(B47),B47*(1+1/'13_Mapa_Liq'!$B$16-'13_Mapa_Liq'!$B$6),"")</f>
        <v/>
      </c>
      <c r="T47" s="151" t="n">
        <f aca="false">IF(ISNUMBER(B47),IF(L47&lt;S47,J47*'13_Mapa_Liq'!$C$16,0),0)</f>
        <v>0</v>
      </c>
      <c r="U47" s="151" t="str">
        <f aca="false">IF(ISNUMBER(B47),B47*(1-1/'13_Mapa_Liq'!$B$17+'13_Mapa_Liq'!$B$6),"")</f>
        <v/>
      </c>
      <c r="V47" s="151" t="n">
        <f aca="false">IF(ISNUMBER(B47),IF(K47&gt;U47,I47*'13_Mapa_Liq'!$C$17,0),0)</f>
        <v>0</v>
      </c>
      <c r="W47" s="151" t="str">
        <f aca="false">IF(ISNUMBER(B47),B47*(1+1/'13_Mapa_Liq'!$B$17-'13_Mapa_Liq'!$B$6),"")</f>
        <v/>
      </c>
      <c r="X47" s="151" t="n">
        <f aca="false">IF(ISNUMBER(B47),IF(L47&lt;W47,J47*'13_Mapa_Liq'!$C$17,0),0)</f>
        <v>0</v>
      </c>
      <c r="Y47" s="151" t="str">
        <f aca="false">IF(ISNUMBER(B47),B47*(1-1/'13_Mapa_Liq'!$B$18+'13_Mapa_Liq'!$B$6),"")</f>
        <v/>
      </c>
      <c r="Z47" s="151" t="n">
        <f aca="false">IF(ISNUMBER(B47),IF(K47&gt;Y47,I47*'13_Mapa_Liq'!$C$18,0),0)</f>
        <v>0</v>
      </c>
      <c r="AA47" s="151" t="str">
        <f aca="false">IF(ISNUMBER(B47),B47*(1+1/'13_Mapa_Liq'!$B$18-'13_Mapa_Liq'!$B$6),"")</f>
        <v/>
      </c>
      <c r="AB47" s="151" t="n">
        <f aca="false">IF(ISNUMBER(B47),IF(L47&lt;AA47,J47*'13_Mapa_Liq'!$C$18,0),0)</f>
        <v>0</v>
      </c>
      <c r="AC47" s="151" t="str">
        <f aca="false">IF(ISNUMBER(B47),B47*(1-1/'13_Mapa_Liq'!$B$19+'13_Mapa_Liq'!$B$6),"")</f>
        <v/>
      </c>
      <c r="AD47" s="151" t="n">
        <f aca="false">IF(ISNUMBER(B47),IF(K47&gt;AC47,I47*'13_Mapa_Liq'!$C$19,0),0)</f>
        <v>0</v>
      </c>
      <c r="AE47" s="151" t="str">
        <f aca="false">IF(ISNUMBER(B47),B47*(1+1/'13_Mapa_Liq'!$B$19-'13_Mapa_Liq'!$B$6),"")</f>
        <v/>
      </c>
      <c r="AF47" s="151" t="n">
        <f aca="false">IF(ISNUMBER(B47),IF(L47&lt;AE47,J47*'13_Mapa_Liq'!$C$19,0),0)</f>
        <v>0</v>
      </c>
      <c r="AG47" s="151"/>
      <c r="AH47" s="151" t="n">
        <f aca="false">IF(ISNUMBER(B47),E47*F47*((K47&lt;=M47)*'13_Mapa_Liq'!$C$15+(K47&lt;=Q47)*'13_Mapa_Liq'!$C$16+(K47&lt;=U47)*'13_Mapa_Liq'!$C$17+(K47&lt;=Y47)*'13_Mapa_Liq'!$C$18+(K47&lt;=AC47)*'13_Mapa_Liq'!$C$19),0)</f>
        <v>0</v>
      </c>
      <c r="AI47" s="151" t="n">
        <f aca="false">IF(ISNUMBER(B47),E47*(1-F47)*((L47&gt;=O47)*'13_Mapa_Liq'!$C$15+(L47&gt;=S47)*'13_Mapa_Liq'!$C$16+(L47&gt;=W47)*'13_Mapa_Liq'!$C$17+(L47&gt;=AA47)*'13_Mapa_Liq'!$C$18+(L47&gt;=AE47)*'13_Mapa_Liq'!$C$19),0)</f>
        <v>0</v>
      </c>
    </row>
    <row r="48" customFormat="false" ht="15" hidden="false" customHeight="false" outlineLevel="0" collapsed="false">
      <c r="A48" s="151" t="str">
        <f aca="false">IF(ISNUMBER('12_Datos_5m'!F48),ROW()-4,"")</f>
        <v/>
      </c>
      <c r="B48" s="151" t="str">
        <f aca="false">IF(ISNUMBER('12_Datos_5m'!F48),'12_Datos_5m'!F48,"")</f>
        <v/>
      </c>
      <c r="C48" s="151" t="str">
        <f aca="false">IF(ISNUMBER('12_Datos_5m'!A48),'12_Datos_5m'!A48,"")</f>
        <v/>
      </c>
      <c r="D48" s="151" t="n">
        <f aca="false">IF(AND(ISNUMBER('12_Datos_5m'!I48),ISNUMBER('12_Datos_5m'!I47)),'12_Datos_5m'!I48-'12_Datos_5m'!I47,0)</f>
        <v>0</v>
      </c>
      <c r="E48" s="151" t="n">
        <f aca="false">MAX(0,D48)</f>
        <v>0</v>
      </c>
      <c r="F48" s="151" t="n">
        <f aca="false">IF(AND(ISNUMBER('12_Datos_5m'!G48),N('12_Datos_5m'!G48)&gt;0),'12_Datos_5m'!H48/'12_Datos_5m'!G48,0.5)</f>
        <v>0.5</v>
      </c>
      <c r="G48" s="151" t="n">
        <f aca="false">IF(ISNUMBER(C48),($C$2-C48)/3600000,0)</f>
        <v>0</v>
      </c>
      <c r="H48" s="151" t="n">
        <f aca="false">EXP(-G48/'13_Mapa_Liq'!$B$7)</f>
        <v>1</v>
      </c>
      <c r="I48" s="151" t="n">
        <f aca="false">E48*F48*H48</f>
        <v>0</v>
      </c>
      <c r="J48" s="151" t="n">
        <f aca="false">E48*(1-F48)*H48</f>
        <v>0</v>
      </c>
      <c r="K48" s="151" t="n">
        <f aca="false">IF(COUNT('12_Datos_5m'!E49:E$504)=0,1000000000000,MIN('12_Datos_5m'!E49:E$504))</f>
        <v>1000000000000</v>
      </c>
      <c r="L48" s="151" t="n">
        <f aca="false">IF(COUNT('12_Datos_5m'!D49:D$504)=0,0,MAX('12_Datos_5m'!D49:D$504))</f>
        <v>0</v>
      </c>
      <c r="M48" s="151" t="str">
        <f aca="false">IF(ISNUMBER(B48),B48*(1-1/'13_Mapa_Liq'!$B$15+'13_Mapa_Liq'!$B$6),"")</f>
        <v/>
      </c>
      <c r="N48" s="151" t="n">
        <f aca="false">IF(ISNUMBER(B48),IF(K48&gt;M48,I48*'13_Mapa_Liq'!$C$15,0),0)</f>
        <v>0</v>
      </c>
      <c r="O48" s="151" t="str">
        <f aca="false">IF(ISNUMBER(B48),B48*(1+1/'13_Mapa_Liq'!$B$15-'13_Mapa_Liq'!$B$6),"")</f>
        <v/>
      </c>
      <c r="P48" s="151" t="n">
        <f aca="false">IF(ISNUMBER(B48),IF(L48&lt;O48,J48*'13_Mapa_Liq'!$C$15,0),0)</f>
        <v>0</v>
      </c>
      <c r="Q48" s="151" t="str">
        <f aca="false">IF(ISNUMBER(B48),B48*(1-1/'13_Mapa_Liq'!$B$16+'13_Mapa_Liq'!$B$6),"")</f>
        <v/>
      </c>
      <c r="R48" s="151" t="n">
        <f aca="false">IF(ISNUMBER(B48),IF(K48&gt;Q48,I48*'13_Mapa_Liq'!$C$16,0),0)</f>
        <v>0</v>
      </c>
      <c r="S48" s="151" t="str">
        <f aca="false">IF(ISNUMBER(B48),B48*(1+1/'13_Mapa_Liq'!$B$16-'13_Mapa_Liq'!$B$6),"")</f>
        <v/>
      </c>
      <c r="T48" s="151" t="n">
        <f aca="false">IF(ISNUMBER(B48),IF(L48&lt;S48,J48*'13_Mapa_Liq'!$C$16,0),0)</f>
        <v>0</v>
      </c>
      <c r="U48" s="151" t="str">
        <f aca="false">IF(ISNUMBER(B48),B48*(1-1/'13_Mapa_Liq'!$B$17+'13_Mapa_Liq'!$B$6),"")</f>
        <v/>
      </c>
      <c r="V48" s="151" t="n">
        <f aca="false">IF(ISNUMBER(B48),IF(K48&gt;U48,I48*'13_Mapa_Liq'!$C$17,0),0)</f>
        <v>0</v>
      </c>
      <c r="W48" s="151" t="str">
        <f aca="false">IF(ISNUMBER(B48),B48*(1+1/'13_Mapa_Liq'!$B$17-'13_Mapa_Liq'!$B$6),"")</f>
        <v/>
      </c>
      <c r="X48" s="151" t="n">
        <f aca="false">IF(ISNUMBER(B48),IF(L48&lt;W48,J48*'13_Mapa_Liq'!$C$17,0),0)</f>
        <v>0</v>
      </c>
      <c r="Y48" s="151" t="str">
        <f aca="false">IF(ISNUMBER(B48),B48*(1-1/'13_Mapa_Liq'!$B$18+'13_Mapa_Liq'!$B$6),"")</f>
        <v/>
      </c>
      <c r="Z48" s="151" t="n">
        <f aca="false">IF(ISNUMBER(B48),IF(K48&gt;Y48,I48*'13_Mapa_Liq'!$C$18,0),0)</f>
        <v>0</v>
      </c>
      <c r="AA48" s="151" t="str">
        <f aca="false">IF(ISNUMBER(B48),B48*(1+1/'13_Mapa_Liq'!$B$18-'13_Mapa_Liq'!$B$6),"")</f>
        <v/>
      </c>
      <c r="AB48" s="151" t="n">
        <f aca="false">IF(ISNUMBER(B48),IF(L48&lt;AA48,J48*'13_Mapa_Liq'!$C$18,0),0)</f>
        <v>0</v>
      </c>
      <c r="AC48" s="151" t="str">
        <f aca="false">IF(ISNUMBER(B48),B48*(1-1/'13_Mapa_Liq'!$B$19+'13_Mapa_Liq'!$B$6),"")</f>
        <v/>
      </c>
      <c r="AD48" s="151" t="n">
        <f aca="false">IF(ISNUMBER(B48),IF(K48&gt;AC48,I48*'13_Mapa_Liq'!$C$19,0),0)</f>
        <v>0</v>
      </c>
      <c r="AE48" s="151" t="str">
        <f aca="false">IF(ISNUMBER(B48),B48*(1+1/'13_Mapa_Liq'!$B$19-'13_Mapa_Liq'!$B$6),"")</f>
        <v/>
      </c>
      <c r="AF48" s="151" t="n">
        <f aca="false">IF(ISNUMBER(B48),IF(L48&lt;AE48,J48*'13_Mapa_Liq'!$C$19,0),0)</f>
        <v>0</v>
      </c>
      <c r="AG48" s="151"/>
      <c r="AH48" s="151" t="n">
        <f aca="false">IF(ISNUMBER(B48),E48*F48*((K48&lt;=M48)*'13_Mapa_Liq'!$C$15+(K48&lt;=Q48)*'13_Mapa_Liq'!$C$16+(K48&lt;=U48)*'13_Mapa_Liq'!$C$17+(K48&lt;=Y48)*'13_Mapa_Liq'!$C$18+(K48&lt;=AC48)*'13_Mapa_Liq'!$C$19),0)</f>
        <v>0</v>
      </c>
      <c r="AI48" s="151" t="n">
        <f aca="false">IF(ISNUMBER(B48),E48*(1-F48)*((L48&gt;=O48)*'13_Mapa_Liq'!$C$15+(L48&gt;=S48)*'13_Mapa_Liq'!$C$16+(L48&gt;=W48)*'13_Mapa_Liq'!$C$17+(L48&gt;=AA48)*'13_Mapa_Liq'!$C$18+(L48&gt;=AE48)*'13_Mapa_Liq'!$C$19),0)</f>
        <v>0</v>
      </c>
    </row>
    <row r="49" customFormat="false" ht="15" hidden="false" customHeight="false" outlineLevel="0" collapsed="false">
      <c r="A49" s="151" t="str">
        <f aca="false">IF(ISNUMBER('12_Datos_5m'!F49),ROW()-4,"")</f>
        <v/>
      </c>
      <c r="B49" s="151" t="str">
        <f aca="false">IF(ISNUMBER('12_Datos_5m'!F49),'12_Datos_5m'!F49,"")</f>
        <v/>
      </c>
      <c r="C49" s="151" t="str">
        <f aca="false">IF(ISNUMBER('12_Datos_5m'!A49),'12_Datos_5m'!A49,"")</f>
        <v/>
      </c>
      <c r="D49" s="151" t="n">
        <f aca="false">IF(AND(ISNUMBER('12_Datos_5m'!I49),ISNUMBER('12_Datos_5m'!I48)),'12_Datos_5m'!I49-'12_Datos_5m'!I48,0)</f>
        <v>0</v>
      </c>
      <c r="E49" s="151" t="n">
        <f aca="false">MAX(0,D49)</f>
        <v>0</v>
      </c>
      <c r="F49" s="151" t="n">
        <f aca="false">IF(AND(ISNUMBER('12_Datos_5m'!G49),N('12_Datos_5m'!G49)&gt;0),'12_Datos_5m'!H49/'12_Datos_5m'!G49,0.5)</f>
        <v>0.5</v>
      </c>
      <c r="G49" s="151" t="n">
        <f aca="false">IF(ISNUMBER(C49),($C$2-C49)/3600000,0)</f>
        <v>0</v>
      </c>
      <c r="H49" s="151" t="n">
        <f aca="false">EXP(-G49/'13_Mapa_Liq'!$B$7)</f>
        <v>1</v>
      </c>
      <c r="I49" s="151" t="n">
        <f aca="false">E49*F49*H49</f>
        <v>0</v>
      </c>
      <c r="J49" s="151" t="n">
        <f aca="false">E49*(1-F49)*H49</f>
        <v>0</v>
      </c>
      <c r="K49" s="151" t="n">
        <f aca="false">IF(COUNT('12_Datos_5m'!E50:E$504)=0,1000000000000,MIN('12_Datos_5m'!E50:E$504))</f>
        <v>1000000000000</v>
      </c>
      <c r="L49" s="151" t="n">
        <f aca="false">IF(COUNT('12_Datos_5m'!D50:D$504)=0,0,MAX('12_Datos_5m'!D50:D$504))</f>
        <v>0</v>
      </c>
      <c r="M49" s="151" t="str">
        <f aca="false">IF(ISNUMBER(B49),B49*(1-1/'13_Mapa_Liq'!$B$15+'13_Mapa_Liq'!$B$6),"")</f>
        <v/>
      </c>
      <c r="N49" s="151" t="n">
        <f aca="false">IF(ISNUMBER(B49),IF(K49&gt;M49,I49*'13_Mapa_Liq'!$C$15,0),0)</f>
        <v>0</v>
      </c>
      <c r="O49" s="151" t="str">
        <f aca="false">IF(ISNUMBER(B49),B49*(1+1/'13_Mapa_Liq'!$B$15-'13_Mapa_Liq'!$B$6),"")</f>
        <v/>
      </c>
      <c r="P49" s="151" t="n">
        <f aca="false">IF(ISNUMBER(B49),IF(L49&lt;O49,J49*'13_Mapa_Liq'!$C$15,0),0)</f>
        <v>0</v>
      </c>
      <c r="Q49" s="151" t="str">
        <f aca="false">IF(ISNUMBER(B49),B49*(1-1/'13_Mapa_Liq'!$B$16+'13_Mapa_Liq'!$B$6),"")</f>
        <v/>
      </c>
      <c r="R49" s="151" t="n">
        <f aca="false">IF(ISNUMBER(B49),IF(K49&gt;Q49,I49*'13_Mapa_Liq'!$C$16,0),0)</f>
        <v>0</v>
      </c>
      <c r="S49" s="151" t="str">
        <f aca="false">IF(ISNUMBER(B49),B49*(1+1/'13_Mapa_Liq'!$B$16-'13_Mapa_Liq'!$B$6),"")</f>
        <v/>
      </c>
      <c r="T49" s="151" t="n">
        <f aca="false">IF(ISNUMBER(B49),IF(L49&lt;S49,J49*'13_Mapa_Liq'!$C$16,0),0)</f>
        <v>0</v>
      </c>
      <c r="U49" s="151" t="str">
        <f aca="false">IF(ISNUMBER(B49),B49*(1-1/'13_Mapa_Liq'!$B$17+'13_Mapa_Liq'!$B$6),"")</f>
        <v/>
      </c>
      <c r="V49" s="151" t="n">
        <f aca="false">IF(ISNUMBER(B49),IF(K49&gt;U49,I49*'13_Mapa_Liq'!$C$17,0),0)</f>
        <v>0</v>
      </c>
      <c r="W49" s="151" t="str">
        <f aca="false">IF(ISNUMBER(B49),B49*(1+1/'13_Mapa_Liq'!$B$17-'13_Mapa_Liq'!$B$6),"")</f>
        <v/>
      </c>
      <c r="X49" s="151" t="n">
        <f aca="false">IF(ISNUMBER(B49),IF(L49&lt;W49,J49*'13_Mapa_Liq'!$C$17,0),0)</f>
        <v>0</v>
      </c>
      <c r="Y49" s="151" t="str">
        <f aca="false">IF(ISNUMBER(B49),B49*(1-1/'13_Mapa_Liq'!$B$18+'13_Mapa_Liq'!$B$6),"")</f>
        <v/>
      </c>
      <c r="Z49" s="151" t="n">
        <f aca="false">IF(ISNUMBER(B49),IF(K49&gt;Y49,I49*'13_Mapa_Liq'!$C$18,0),0)</f>
        <v>0</v>
      </c>
      <c r="AA49" s="151" t="str">
        <f aca="false">IF(ISNUMBER(B49),B49*(1+1/'13_Mapa_Liq'!$B$18-'13_Mapa_Liq'!$B$6),"")</f>
        <v/>
      </c>
      <c r="AB49" s="151" t="n">
        <f aca="false">IF(ISNUMBER(B49),IF(L49&lt;AA49,J49*'13_Mapa_Liq'!$C$18,0),0)</f>
        <v>0</v>
      </c>
      <c r="AC49" s="151" t="str">
        <f aca="false">IF(ISNUMBER(B49),B49*(1-1/'13_Mapa_Liq'!$B$19+'13_Mapa_Liq'!$B$6),"")</f>
        <v/>
      </c>
      <c r="AD49" s="151" t="n">
        <f aca="false">IF(ISNUMBER(B49),IF(K49&gt;AC49,I49*'13_Mapa_Liq'!$C$19,0),0)</f>
        <v>0</v>
      </c>
      <c r="AE49" s="151" t="str">
        <f aca="false">IF(ISNUMBER(B49),B49*(1+1/'13_Mapa_Liq'!$B$19-'13_Mapa_Liq'!$B$6),"")</f>
        <v/>
      </c>
      <c r="AF49" s="151" t="n">
        <f aca="false">IF(ISNUMBER(B49),IF(L49&lt;AE49,J49*'13_Mapa_Liq'!$C$19,0),0)</f>
        <v>0</v>
      </c>
      <c r="AG49" s="151"/>
      <c r="AH49" s="151" t="n">
        <f aca="false">IF(ISNUMBER(B49),E49*F49*((K49&lt;=M49)*'13_Mapa_Liq'!$C$15+(K49&lt;=Q49)*'13_Mapa_Liq'!$C$16+(K49&lt;=U49)*'13_Mapa_Liq'!$C$17+(K49&lt;=Y49)*'13_Mapa_Liq'!$C$18+(K49&lt;=AC49)*'13_Mapa_Liq'!$C$19),0)</f>
        <v>0</v>
      </c>
      <c r="AI49" s="151" t="n">
        <f aca="false">IF(ISNUMBER(B49),E49*(1-F49)*((L49&gt;=O49)*'13_Mapa_Liq'!$C$15+(L49&gt;=S49)*'13_Mapa_Liq'!$C$16+(L49&gt;=W49)*'13_Mapa_Liq'!$C$17+(L49&gt;=AA49)*'13_Mapa_Liq'!$C$18+(L49&gt;=AE49)*'13_Mapa_Liq'!$C$19),0)</f>
        <v>0</v>
      </c>
    </row>
    <row r="50" customFormat="false" ht="15" hidden="false" customHeight="false" outlineLevel="0" collapsed="false">
      <c r="A50" s="151" t="str">
        <f aca="false">IF(ISNUMBER('12_Datos_5m'!F50),ROW()-4,"")</f>
        <v/>
      </c>
      <c r="B50" s="151" t="str">
        <f aca="false">IF(ISNUMBER('12_Datos_5m'!F50),'12_Datos_5m'!F50,"")</f>
        <v/>
      </c>
      <c r="C50" s="151" t="str">
        <f aca="false">IF(ISNUMBER('12_Datos_5m'!A50),'12_Datos_5m'!A50,"")</f>
        <v/>
      </c>
      <c r="D50" s="151" t="n">
        <f aca="false">IF(AND(ISNUMBER('12_Datos_5m'!I50),ISNUMBER('12_Datos_5m'!I49)),'12_Datos_5m'!I50-'12_Datos_5m'!I49,0)</f>
        <v>0</v>
      </c>
      <c r="E50" s="151" t="n">
        <f aca="false">MAX(0,D50)</f>
        <v>0</v>
      </c>
      <c r="F50" s="151" t="n">
        <f aca="false">IF(AND(ISNUMBER('12_Datos_5m'!G50),N('12_Datos_5m'!G50)&gt;0),'12_Datos_5m'!H50/'12_Datos_5m'!G50,0.5)</f>
        <v>0.5</v>
      </c>
      <c r="G50" s="151" t="n">
        <f aca="false">IF(ISNUMBER(C50),($C$2-C50)/3600000,0)</f>
        <v>0</v>
      </c>
      <c r="H50" s="151" t="n">
        <f aca="false">EXP(-G50/'13_Mapa_Liq'!$B$7)</f>
        <v>1</v>
      </c>
      <c r="I50" s="151" t="n">
        <f aca="false">E50*F50*H50</f>
        <v>0</v>
      </c>
      <c r="J50" s="151" t="n">
        <f aca="false">E50*(1-F50)*H50</f>
        <v>0</v>
      </c>
      <c r="K50" s="151" t="n">
        <f aca="false">IF(COUNT('12_Datos_5m'!E51:E$504)=0,1000000000000,MIN('12_Datos_5m'!E51:E$504))</f>
        <v>1000000000000</v>
      </c>
      <c r="L50" s="151" t="n">
        <f aca="false">IF(COUNT('12_Datos_5m'!D51:D$504)=0,0,MAX('12_Datos_5m'!D51:D$504))</f>
        <v>0</v>
      </c>
      <c r="M50" s="151" t="str">
        <f aca="false">IF(ISNUMBER(B50),B50*(1-1/'13_Mapa_Liq'!$B$15+'13_Mapa_Liq'!$B$6),"")</f>
        <v/>
      </c>
      <c r="N50" s="151" t="n">
        <f aca="false">IF(ISNUMBER(B50),IF(K50&gt;M50,I50*'13_Mapa_Liq'!$C$15,0),0)</f>
        <v>0</v>
      </c>
      <c r="O50" s="151" t="str">
        <f aca="false">IF(ISNUMBER(B50),B50*(1+1/'13_Mapa_Liq'!$B$15-'13_Mapa_Liq'!$B$6),"")</f>
        <v/>
      </c>
      <c r="P50" s="151" t="n">
        <f aca="false">IF(ISNUMBER(B50),IF(L50&lt;O50,J50*'13_Mapa_Liq'!$C$15,0),0)</f>
        <v>0</v>
      </c>
      <c r="Q50" s="151" t="str">
        <f aca="false">IF(ISNUMBER(B50),B50*(1-1/'13_Mapa_Liq'!$B$16+'13_Mapa_Liq'!$B$6),"")</f>
        <v/>
      </c>
      <c r="R50" s="151" t="n">
        <f aca="false">IF(ISNUMBER(B50),IF(K50&gt;Q50,I50*'13_Mapa_Liq'!$C$16,0),0)</f>
        <v>0</v>
      </c>
      <c r="S50" s="151" t="str">
        <f aca="false">IF(ISNUMBER(B50),B50*(1+1/'13_Mapa_Liq'!$B$16-'13_Mapa_Liq'!$B$6),"")</f>
        <v/>
      </c>
      <c r="T50" s="151" t="n">
        <f aca="false">IF(ISNUMBER(B50),IF(L50&lt;S50,J50*'13_Mapa_Liq'!$C$16,0),0)</f>
        <v>0</v>
      </c>
      <c r="U50" s="151" t="str">
        <f aca="false">IF(ISNUMBER(B50),B50*(1-1/'13_Mapa_Liq'!$B$17+'13_Mapa_Liq'!$B$6),"")</f>
        <v/>
      </c>
      <c r="V50" s="151" t="n">
        <f aca="false">IF(ISNUMBER(B50),IF(K50&gt;U50,I50*'13_Mapa_Liq'!$C$17,0),0)</f>
        <v>0</v>
      </c>
      <c r="W50" s="151" t="str">
        <f aca="false">IF(ISNUMBER(B50),B50*(1+1/'13_Mapa_Liq'!$B$17-'13_Mapa_Liq'!$B$6),"")</f>
        <v/>
      </c>
      <c r="X50" s="151" t="n">
        <f aca="false">IF(ISNUMBER(B50),IF(L50&lt;W50,J50*'13_Mapa_Liq'!$C$17,0),0)</f>
        <v>0</v>
      </c>
      <c r="Y50" s="151" t="str">
        <f aca="false">IF(ISNUMBER(B50),B50*(1-1/'13_Mapa_Liq'!$B$18+'13_Mapa_Liq'!$B$6),"")</f>
        <v/>
      </c>
      <c r="Z50" s="151" t="n">
        <f aca="false">IF(ISNUMBER(B50),IF(K50&gt;Y50,I50*'13_Mapa_Liq'!$C$18,0),0)</f>
        <v>0</v>
      </c>
      <c r="AA50" s="151" t="str">
        <f aca="false">IF(ISNUMBER(B50),B50*(1+1/'13_Mapa_Liq'!$B$18-'13_Mapa_Liq'!$B$6),"")</f>
        <v/>
      </c>
      <c r="AB50" s="151" t="n">
        <f aca="false">IF(ISNUMBER(B50),IF(L50&lt;AA50,J50*'13_Mapa_Liq'!$C$18,0),0)</f>
        <v>0</v>
      </c>
      <c r="AC50" s="151" t="str">
        <f aca="false">IF(ISNUMBER(B50),B50*(1-1/'13_Mapa_Liq'!$B$19+'13_Mapa_Liq'!$B$6),"")</f>
        <v/>
      </c>
      <c r="AD50" s="151" t="n">
        <f aca="false">IF(ISNUMBER(B50),IF(K50&gt;AC50,I50*'13_Mapa_Liq'!$C$19,0),0)</f>
        <v>0</v>
      </c>
      <c r="AE50" s="151" t="str">
        <f aca="false">IF(ISNUMBER(B50),B50*(1+1/'13_Mapa_Liq'!$B$19-'13_Mapa_Liq'!$B$6),"")</f>
        <v/>
      </c>
      <c r="AF50" s="151" t="n">
        <f aca="false">IF(ISNUMBER(B50),IF(L50&lt;AE50,J50*'13_Mapa_Liq'!$C$19,0),0)</f>
        <v>0</v>
      </c>
      <c r="AG50" s="151"/>
      <c r="AH50" s="151" t="n">
        <f aca="false">IF(ISNUMBER(B50),E50*F50*((K50&lt;=M50)*'13_Mapa_Liq'!$C$15+(K50&lt;=Q50)*'13_Mapa_Liq'!$C$16+(K50&lt;=U50)*'13_Mapa_Liq'!$C$17+(K50&lt;=Y50)*'13_Mapa_Liq'!$C$18+(K50&lt;=AC50)*'13_Mapa_Liq'!$C$19),0)</f>
        <v>0</v>
      </c>
      <c r="AI50" s="151" t="n">
        <f aca="false">IF(ISNUMBER(B50),E50*(1-F50)*((L50&gt;=O50)*'13_Mapa_Liq'!$C$15+(L50&gt;=S50)*'13_Mapa_Liq'!$C$16+(L50&gt;=W50)*'13_Mapa_Liq'!$C$17+(L50&gt;=AA50)*'13_Mapa_Liq'!$C$18+(L50&gt;=AE50)*'13_Mapa_Liq'!$C$19),0)</f>
        <v>0</v>
      </c>
    </row>
    <row r="51" customFormat="false" ht="15" hidden="false" customHeight="false" outlineLevel="0" collapsed="false">
      <c r="A51" s="151" t="str">
        <f aca="false">IF(ISNUMBER('12_Datos_5m'!F51),ROW()-4,"")</f>
        <v/>
      </c>
      <c r="B51" s="151" t="str">
        <f aca="false">IF(ISNUMBER('12_Datos_5m'!F51),'12_Datos_5m'!F51,"")</f>
        <v/>
      </c>
      <c r="C51" s="151" t="str">
        <f aca="false">IF(ISNUMBER('12_Datos_5m'!A51),'12_Datos_5m'!A51,"")</f>
        <v/>
      </c>
      <c r="D51" s="151" t="n">
        <f aca="false">IF(AND(ISNUMBER('12_Datos_5m'!I51),ISNUMBER('12_Datos_5m'!I50)),'12_Datos_5m'!I51-'12_Datos_5m'!I50,0)</f>
        <v>0</v>
      </c>
      <c r="E51" s="151" t="n">
        <f aca="false">MAX(0,D51)</f>
        <v>0</v>
      </c>
      <c r="F51" s="151" t="n">
        <f aca="false">IF(AND(ISNUMBER('12_Datos_5m'!G51),N('12_Datos_5m'!G51)&gt;0),'12_Datos_5m'!H51/'12_Datos_5m'!G51,0.5)</f>
        <v>0.5</v>
      </c>
      <c r="G51" s="151" t="n">
        <f aca="false">IF(ISNUMBER(C51),($C$2-C51)/3600000,0)</f>
        <v>0</v>
      </c>
      <c r="H51" s="151" t="n">
        <f aca="false">EXP(-G51/'13_Mapa_Liq'!$B$7)</f>
        <v>1</v>
      </c>
      <c r="I51" s="151" t="n">
        <f aca="false">E51*F51*H51</f>
        <v>0</v>
      </c>
      <c r="J51" s="151" t="n">
        <f aca="false">E51*(1-F51)*H51</f>
        <v>0</v>
      </c>
      <c r="K51" s="151" t="n">
        <f aca="false">IF(COUNT('12_Datos_5m'!E52:E$504)=0,1000000000000,MIN('12_Datos_5m'!E52:E$504))</f>
        <v>1000000000000</v>
      </c>
      <c r="L51" s="151" t="n">
        <f aca="false">IF(COUNT('12_Datos_5m'!D52:D$504)=0,0,MAX('12_Datos_5m'!D52:D$504))</f>
        <v>0</v>
      </c>
      <c r="M51" s="151" t="str">
        <f aca="false">IF(ISNUMBER(B51),B51*(1-1/'13_Mapa_Liq'!$B$15+'13_Mapa_Liq'!$B$6),"")</f>
        <v/>
      </c>
      <c r="N51" s="151" t="n">
        <f aca="false">IF(ISNUMBER(B51),IF(K51&gt;M51,I51*'13_Mapa_Liq'!$C$15,0),0)</f>
        <v>0</v>
      </c>
      <c r="O51" s="151" t="str">
        <f aca="false">IF(ISNUMBER(B51),B51*(1+1/'13_Mapa_Liq'!$B$15-'13_Mapa_Liq'!$B$6),"")</f>
        <v/>
      </c>
      <c r="P51" s="151" t="n">
        <f aca="false">IF(ISNUMBER(B51),IF(L51&lt;O51,J51*'13_Mapa_Liq'!$C$15,0),0)</f>
        <v>0</v>
      </c>
      <c r="Q51" s="151" t="str">
        <f aca="false">IF(ISNUMBER(B51),B51*(1-1/'13_Mapa_Liq'!$B$16+'13_Mapa_Liq'!$B$6),"")</f>
        <v/>
      </c>
      <c r="R51" s="151" t="n">
        <f aca="false">IF(ISNUMBER(B51),IF(K51&gt;Q51,I51*'13_Mapa_Liq'!$C$16,0),0)</f>
        <v>0</v>
      </c>
      <c r="S51" s="151" t="str">
        <f aca="false">IF(ISNUMBER(B51),B51*(1+1/'13_Mapa_Liq'!$B$16-'13_Mapa_Liq'!$B$6),"")</f>
        <v/>
      </c>
      <c r="T51" s="151" t="n">
        <f aca="false">IF(ISNUMBER(B51),IF(L51&lt;S51,J51*'13_Mapa_Liq'!$C$16,0),0)</f>
        <v>0</v>
      </c>
      <c r="U51" s="151" t="str">
        <f aca="false">IF(ISNUMBER(B51),B51*(1-1/'13_Mapa_Liq'!$B$17+'13_Mapa_Liq'!$B$6),"")</f>
        <v/>
      </c>
      <c r="V51" s="151" t="n">
        <f aca="false">IF(ISNUMBER(B51),IF(K51&gt;U51,I51*'13_Mapa_Liq'!$C$17,0),0)</f>
        <v>0</v>
      </c>
      <c r="W51" s="151" t="str">
        <f aca="false">IF(ISNUMBER(B51),B51*(1+1/'13_Mapa_Liq'!$B$17-'13_Mapa_Liq'!$B$6),"")</f>
        <v/>
      </c>
      <c r="X51" s="151" t="n">
        <f aca="false">IF(ISNUMBER(B51),IF(L51&lt;W51,J51*'13_Mapa_Liq'!$C$17,0),0)</f>
        <v>0</v>
      </c>
      <c r="Y51" s="151" t="str">
        <f aca="false">IF(ISNUMBER(B51),B51*(1-1/'13_Mapa_Liq'!$B$18+'13_Mapa_Liq'!$B$6),"")</f>
        <v/>
      </c>
      <c r="Z51" s="151" t="n">
        <f aca="false">IF(ISNUMBER(B51),IF(K51&gt;Y51,I51*'13_Mapa_Liq'!$C$18,0),0)</f>
        <v>0</v>
      </c>
      <c r="AA51" s="151" t="str">
        <f aca="false">IF(ISNUMBER(B51),B51*(1+1/'13_Mapa_Liq'!$B$18-'13_Mapa_Liq'!$B$6),"")</f>
        <v/>
      </c>
      <c r="AB51" s="151" t="n">
        <f aca="false">IF(ISNUMBER(B51),IF(L51&lt;AA51,J51*'13_Mapa_Liq'!$C$18,0),0)</f>
        <v>0</v>
      </c>
      <c r="AC51" s="151" t="str">
        <f aca="false">IF(ISNUMBER(B51),B51*(1-1/'13_Mapa_Liq'!$B$19+'13_Mapa_Liq'!$B$6),"")</f>
        <v/>
      </c>
      <c r="AD51" s="151" t="n">
        <f aca="false">IF(ISNUMBER(B51),IF(K51&gt;AC51,I51*'13_Mapa_Liq'!$C$19,0),0)</f>
        <v>0</v>
      </c>
      <c r="AE51" s="151" t="str">
        <f aca="false">IF(ISNUMBER(B51),B51*(1+1/'13_Mapa_Liq'!$B$19-'13_Mapa_Liq'!$B$6),"")</f>
        <v/>
      </c>
      <c r="AF51" s="151" t="n">
        <f aca="false">IF(ISNUMBER(B51),IF(L51&lt;AE51,J51*'13_Mapa_Liq'!$C$19,0),0)</f>
        <v>0</v>
      </c>
      <c r="AG51" s="151"/>
      <c r="AH51" s="151" t="n">
        <f aca="false">IF(ISNUMBER(B51),E51*F51*((K51&lt;=M51)*'13_Mapa_Liq'!$C$15+(K51&lt;=Q51)*'13_Mapa_Liq'!$C$16+(K51&lt;=U51)*'13_Mapa_Liq'!$C$17+(K51&lt;=Y51)*'13_Mapa_Liq'!$C$18+(K51&lt;=AC51)*'13_Mapa_Liq'!$C$19),0)</f>
        <v>0</v>
      </c>
      <c r="AI51" s="151" t="n">
        <f aca="false">IF(ISNUMBER(B51),E51*(1-F51)*((L51&gt;=O51)*'13_Mapa_Liq'!$C$15+(L51&gt;=S51)*'13_Mapa_Liq'!$C$16+(L51&gt;=W51)*'13_Mapa_Liq'!$C$17+(L51&gt;=AA51)*'13_Mapa_Liq'!$C$18+(L51&gt;=AE51)*'13_Mapa_Liq'!$C$19),0)</f>
        <v>0</v>
      </c>
    </row>
    <row r="52" customFormat="false" ht="15" hidden="false" customHeight="false" outlineLevel="0" collapsed="false">
      <c r="A52" s="151" t="str">
        <f aca="false">IF(ISNUMBER('12_Datos_5m'!F52),ROW()-4,"")</f>
        <v/>
      </c>
      <c r="B52" s="151" t="str">
        <f aca="false">IF(ISNUMBER('12_Datos_5m'!F52),'12_Datos_5m'!F52,"")</f>
        <v/>
      </c>
      <c r="C52" s="151" t="str">
        <f aca="false">IF(ISNUMBER('12_Datos_5m'!A52),'12_Datos_5m'!A52,"")</f>
        <v/>
      </c>
      <c r="D52" s="151" t="n">
        <f aca="false">IF(AND(ISNUMBER('12_Datos_5m'!I52),ISNUMBER('12_Datos_5m'!I51)),'12_Datos_5m'!I52-'12_Datos_5m'!I51,0)</f>
        <v>0</v>
      </c>
      <c r="E52" s="151" t="n">
        <f aca="false">MAX(0,D52)</f>
        <v>0</v>
      </c>
      <c r="F52" s="151" t="n">
        <f aca="false">IF(AND(ISNUMBER('12_Datos_5m'!G52),N('12_Datos_5m'!G52)&gt;0),'12_Datos_5m'!H52/'12_Datos_5m'!G52,0.5)</f>
        <v>0.5</v>
      </c>
      <c r="G52" s="151" t="n">
        <f aca="false">IF(ISNUMBER(C52),($C$2-C52)/3600000,0)</f>
        <v>0</v>
      </c>
      <c r="H52" s="151" t="n">
        <f aca="false">EXP(-G52/'13_Mapa_Liq'!$B$7)</f>
        <v>1</v>
      </c>
      <c r="I52" s="151" t="n">
        <f aca="false">E52*F52*H52</f>
        <v>0</v>
      </c>
      <c r="J52" s="151" t="n">
        <f aca="false">E52*(1-F52)*H52</f>
        <v>0</v>
      </c>
      <c r="K52" s="151" t="n">
        <f aca="false">IF(COUNT('12_Datos_5m'!E53:E$504)=0,1000000000000,MIN('12_Datos_5m'!E53:E$504))</f>
        <v>1000000000000</v>
      </c>
      <c r="L52" s="151" t="n">
        <f aca="false">IF(COUNT('12_Datos_5m'!D53:D$504)=0,0,MAX('12_Datos_5m'!D53:D$504))</f>
        <v>0</v>
      </c>
      <c r="M52" s="151" t="str">
        <f aca="false">IF(ISNUMBER(B52),B52*(1-1/'13_Mapa_Liq'!$B$15+'13_Mapa_Liq'!$B$6),"")</f>
        <v/>
      </c>
      <c r="N52" s="151" t="n">
        <f aca="false">IF(ISNUMBER(B52),IF(K52&gt;M52,I52*'13_Mapa_Liq'!$C$15,0),0)</f>
        <v>0</v>
      </c>
      <c r="O52" s="151" t="str">
        <f aca="false">IF(ISNUMBER(B52),B52*(1+1/'13_Mapa_Liq'!$B$15-'13_Mapa_Liq'!$B$6),"")</f>
        <v/>
      </c>
      <c r="P52" s="151" t="n">
        <f aca="false">IF(ISNUMBER(B52),IF(L52&lt;O52,J52*'13_Mapa_Liq'!$C$15,0),0)</f>
        <v>0</v>
      </c>
      <c r="Q52" s="151" t="str">
        <f aca="false">IF(ISNUMBER(B52),B52*(1-1/'13_Mapa_Liq'!$B$16+'13_Mapa_Liq'!$B$6),"")</f>
        <v/>
      </c>
      <c r="R52" s="151" t="n">
        <f aca="false">IF(ISNUMBER(B52),IF(K52&gt;Q52,I52*'13_Mapa_Liq'!$C$16,0),0)</f>
        <v>0</v>
      </c>
      <c r="S52" s="151" t="str">
        <f aca="false">IF(ISNUMBER(B52),B52*(1+1/'13_Mapa_Liq'!$B$16-'13_Mapa_Liq'!$B$6),"")</f>
        <v/>
      </c>
      <c r="T52" s="151" t="n">
        <f aca="false">IF(ISNUMBER(B52),IF(L52&lt;S52,J52*'13_Mapa_Liq'!$C$16,0),0)</f>
        <v>0</v>
      </c>
      <c r="U52" s="151" t="str">
        <f aca="false">IF(ISNUMBER(B52),B52*(1-1/'13_Mapa_Liq'!$B$17+'13_Mapa_Liq'!$B$6),"")</f>
        <v/>
      </c>
      <c r="V52" s="151" t="n">
        <f aca="false">IF(ISNUMBER(B52),IF(K52&gt;U52,I52*'13_Mapa_Liq'!$C$17,0),0)</f>
        <v>0</v>
      </c>
      <c r="W52" s="151" t="str">
        <f aca="false">IF(ISNUMBER(B52),B52*(1+1/'13_Mapa_Liq'!$B$17-'13_Mapa_Liq'!$B$6),"")</f>
        <v/>
      </c>
      <c r="X52" s="151" t="n">
        <f aca="false">IF(ISNUMBER(B52),IF(L52&lt;W52,J52*'13_Mapa_Liq'!$C$17,0),0)</f>
        <v>0</v>
      </c>
      <c r="Y52" s="151" t="str">
        <f aca="false">IF(ISNUMBER(B52),B52*(1-1/'13_Mapa_Liq'!$B$18+'13_Mapa_Liq'!$B$6),"")</f>
        <v/>
      </c>
      <c r="Z52" s="151" t="n">
        <f aca="false">IF(ISNUMBER(B52),IF(K52&gt;Y52,I52*'13_Mapa_Liq'!$C$18,0),0)</f>
        <v>0</v>
      </c>
      <c r="AA52" s="151" t="str">
        <f aca="false">IF(ISNUMBER(B52),B52*(1+1/'13_Mapa_Liq'!$B$18-'13_Mapa_Liq'!$B$6),"")</f>
        <v/>
      </c>
      <c r="AB52" s="151" t="n">
        <f aca="false">IF(ISNUMBER(B52),IF(L52&lt;AA52,J52*'13_Mapa_Liq'!$C$18,0),0)</f>
        <v>0</v>
      </c>
      <c r="AC52" s="151" t="str">
        <f aca="false">IF(ISNUMBER(B52),B52*(1-1/'13_Mapa_Liq'!$B$19+'13_Mapa_Liq'!$B$6),"")</f>
        <v/>
      </c>
      <c r="AD52" s="151" t="n">
        <f aca="false">IF(ISNUMBER(B52),IF(K52&gt;AC52,I52*'13_Mapa_Liq'!$C$19,0),0)</f>
        <v>0</v>
      </c>
      <c r="AE52" s="151" t="str">
        <f aca="false">IF(ISNUMBER(B52),B52*(1+1/'13_Mapa_Liq'!$B$19-'13_Mapa_Liq'!$B$6),"")</f>
        <v/>
      </c>
      <c r="AF52" s="151" t="n">
        <f aca="false">IF(ISNUMBER(B52),IF(L52&lt;AE52,J52*'13_Mapa_Liq'!$C$19,0),0)</f>
        <v>0</v>
      </c>
      <c r="AG52" s="151"/>
      <c r="AH52" s="151" t="n">
        <f aca="false">IF(ISNUMBER(B52),E52*F52*((K52&lt;=M52)*'13_Mapa_Liq'!$C$15+(K52&lt;=Q52)*'13_Mapa_Liq'!$C$16+(K52&lt;=U52)*'13_Mapa_Liq'!$C$17+(K52&lt;=Y52)*'13_Mapa_Liq'!$C$18+(K52&lt;=AC52)*'13_Mapa_Liq'!$C$19),0)</f>
        <v>0</v>
      </c>
      <c r="AI52" s="151" t="n">
        <f aca="false">IF(ISNUMBER(B52),E52*(1-F52)*((L52&gt;=O52)*'13_Mapa_Liq'!$C$15+(L52&gt;=S52)*'13_Mapa_Liq'!$C$16+(L52&gt;=W52)*'13_Mapa_Liq'!$C$17+(L52&gt;=AA52)*'13_Mapa_Liq'!$C$18+(L52&gt;=AE52)*'13_Mapa_Liq'!$C$19),0)</f>
        <v>0</v>
      </c>
    </row>
    <row r="53" customFormat="false" ht="15" hidden="false" customHeight="false" outlineLevel="0" collapsed="false">
      <c r="A53" s="151" t="str">
        <f aca="false">IF(ISNUMBER('12_Datos_5m'!F53),ROW()-4,"")</f>
        <v/>
      </c>
      <c r="B53" s="151" t="str">
        <f aca="false">IF(ISNUMBER('12_Datos_5m'!F53),'12_Datos_5m'!F53,"")</f>
        <v/>
      </c>
      <c r="C53" s="151" t="str">
        <f aca="false">IF(ISNUMBER('12_Datos_5m'!A53),'12_Datos_5m'!A53,"")</f>
        <v/>
      </c>
      <c r="D53" s="151" t="n">
        <f aca="false">IF(AND(ISNUMBER('12_Datos_5m'!I53),ISNUMBER('12_Datos_5m'!I52)),'12_Datos_5m'!I53-'12_Datos_5m'!I52,0)</f>
        <v>0</v>
      </c>
      <c r="E53" s="151" t="n">
        <f aca="false">MAX(0,D53)</f>
        <v>0</v>
      </c>
      <c r="F53" s="151" t="n">
        <f aca="false">IF(AND(ISNUMBER('12_Datos_5m'!G53),N('12_Datos_5m'!G53)&gt;0),'12_Datos_5m'!H53/'12_Datos_5m'!G53,0.5)</f>
        <v>0.5</v>
      </c>
      <c r="G53" s="151" t="n">
        <f aca="false">IF(ISNUMBER(C53),($C$2-C53)/3600000,0)</f>
        <v>0</v>
      </c>
      <c r="H53" s="151" t="n">
        <f aca="false">EXP(-G53/'13_Mapa_Liq'!$B$7)</f>
        <v>1</v>
      </c>
      <c r="I53" s="151" t="n">
        <f aca="false">E53*F53*H53</f>
        <v>0</v>
      </c>
      <c r="J53" s="151" t="n">
        <f aca="false">E53*(1-F53)*H53</f>
        <v>0</v>
      </c>
      <c r="K53" s="151" t="n">
        <f aca="false">IF(COUNT('12_Datos_5m'!E54:E$504)=0,1000000000000,MIN('12_Datos_5m'!E54:E$504))</f>
        <v>1000000000000</v>
      </c>
      <c r="L53" s="151" t="n">
        <f aca="false">IF(COUNT('12_Datos_5m'!D54:D$504)=0,0,MAX('12_Datos_5m'!D54:D$504))</f>
        <v>0</v>
      </c>
      <c r="M53" s="151" t="str">
        <f aca="false">IF(ISNUMBER(B53),B53*(1-1/'13_Mapa_Liq'!$B$15+'13_Mapa_Liq'!$B$6),"")</f>
        <v/>
      </c>
      <c r="N53" s="151" t="n">
        <f aca="false">IF(ISNUMBER(B53),IF(K53&gt;M53,I53*'13_Mapa_Liq'!$C$15,0),0)</f>
        <v>0</v>
      </c>
      <c r="O53" s="151" t="str">
        <f aca="false">IF(ISNUMBER(B53),B53*(1+1/'13_Mapa_Liq'!$B$15-'13_Mapa_Liq'!$B$6),"")</f>
        <v/>
      </c>
      <c r="P53" s="151" t="n">
        <f aca="false">IF(ISNUMBER(B53),IF(L53&lt;O53,J53*'13_Mapa_Liq'!$C$15,0),0)</f>
        <v>0</v>
      </c>
      <c r="Q53" s="151" t="str">
        <f aca="false">IF(ISNUMBER(B53),B53*(1-1/'13_Mapa_Liq'!$B$16+'13_Mapa_Liq'!$B$6),"")</f>
        <v/>
      </c>
      <c r="R53" s="151" t="n">
        <f aca="false">IF(ISNUMBER(B53),IF(K53&gt;Q53,I53*'13_Mapa_Liq'!$C$16,0),0)</f>
        <v>0</v>
      </c>
      <c r="S53" s="151" t="str">
        <f aca="false">IF(ISNUMBER(B53),B53*(1+1/'13_Mapa_Liq'!$B$16-'13_Mapa_Liq'!$B$6),"")</f>
        <v/>
      </c>
      <c r="T53" s="151" t="n">
        <f aca="false">IF(ISNUMBER(B53),IF(L53&lt;S53,J53*'13_Mapa_Liq'!$C$16,0),0)</f>
        <v>0</v>
      </c>
      <c r="U53" s="151" t="str">
        <f aca="false">IF(ISNUMBER(B53),B53*(1-1/'13_Mapa_Liq'!$B$17+'13_Mapa_Liq'!$B$6),"")</f>
        <v/>
      </c>
      <c r="V53" s="151" t="n">
        <f aca="false">IF(ISNUMBER(B53),IF(K53&gt;U53,I53*'13_Mapa_Liq'!$C$17,0),0)</f>
        <v>0</v>
      </c>
      <c r="W53" s="151" t="str">
        <f aca="false">IF(ISNUMBER(B53),B53*(1+1/'13_Mapa_Liq'!$B$17-'13_Mapa_Liq'!$B$6),"")</f>
        <v/>
      </c>
      <c r="X53" s="151" t="n">
        <f aca="false">IF(ISNUMBER(B53),IF(L53&lt;W53,J53*'13_Mapa_Liq'!$C$17,0),0)</f>
        <v>0</v>
      </c>
      <c r="Y53" s="151" t="str">
        <f aca="false">IF(ISNUMBER(B53),B53*(1-1/'13_Mapa_Liq'!$B$18+'13_Mapa_Liq'!$B$6),"")</f>
        <v/>
      </c>
      <c r="Z53" s="151" t="n">
        <f aca="false">IF(ISNUMBER(B53),IF(K53&gt;Y53,I53*'13_Mapa_Liq'!$C$18,0),0)</f>
        <v>0</v>
      </c>
      <c r="AA53" s="151" t="str">
        <f aca="false">IF(ISNUMBER(B53),B53*(1+1/'13_Mapa_Liq'!$B$18-'13_Mapa_Liq'!$B$6),"")</f>
        <v/>
      </c>
      <c r="AB53" s="151" t="n">
        <f aca="false">IF(ISNUMBER(B53),IF(L53&lt;AA53,J53*'13_Mapa_Liq'!$C$18,0),0)</f>
        <v>0</v>
      </c>
      <c r="AC53" s="151" t="str">
        <f aca="false">IF(ISNUMBER(B53),B53*(1-1/'13_Mapa_Liq'!$B$19+'13_Mapa_Liq'!$B$6),"")</f>
        <v/>
      </c>
      <c r="AD53" s="151" t="n">
        <f aca="false">IF(ISNUMBER(B53),IF(K53&gt;AC53,I53*'13_Mapa_Liq'!$C$19,0),0)</f>
        <v>0</v>
      </c>
      <c r="AE53" s="151" t="str">
        <f aca="false">IF(ISNUMBER(B53),B53*(1+1/'13_Mapa_Liq'!$B$19-'13_Mapa_Liq'!$B$6),"")</f>
        <v/>
      </c>
      <c r="AF53" s="151" t="n">
        <f aca="false">IF(ISNUMBER(B53),IF(L53&lt;AE53,J53*'13_Mapa_Liq'!$C$19,0),0)</f>
        <v>0</v>
      </c>
      <c r="AG53" s="151"/>
      <c r="AH53" s="151" t="n">
        <f aca="false">IF(ISNUMBER(B53),E53*F53*((K53&lt;=M53)*'13_Mapa_Liq'!$C$15+(K53&lt;=Q53)*'13_Mapa_Liq'!$C$16+(K53&lt;=U53)*'13_Mapa_Liq'!$C$17+(K53&lt;=Y53)*'13_Mapa_Liq'!$C$18+(K53&lt;=AC53)*'13_Mapa_Liq'!$C$19),0)</f>
        <v>0</v>
      </c>
      <c r="AI53" s="151" t="n">
        <f aca="false">IF(ISNUMBER(B53),E53*(1-F53)*((L53&gt;=O53)*'13_Mapa_Liq'!$C$15+(L53&gt;=S53)*'13_Mapa_Liq'!$C$16+(L53&gt;=W53)*'13_Mapa_Liq'!$C$17+(L53&gt;=AA53)*'13_Mapa_Liq'!$C$18+(L53&gt;=AE53)*'13_Mapa_Liq'!$C$19),0)</f>
        <v>0</v>
      </c>
    </row>
    <row r="54" customFormat="false" ht="15" hidden="false" customHeight="false" outlineLevel="0" collapsed="false">
      <c r="A54" s="151" t="str">
        <f aca="false">IF(ISNUMBER('12_Datos_5m'!F54),ROW()-4,"")</f>
        <v/>
      </c>
      <c r="B54" s="151" t="str">
        <f aca="false">IF(ISNUMBER('12_Datos_5m'!F54),'12_Datos_5m'!F54,"")</f>
        <v/>
      </c>
      <c r="C54" s="151" t="str">
        <f aca="false">IF(ISNUMBER('12_Datos_5m'!A54),'12_Datos_5m'!A54,"")</f>
        <v/>
      </c>
      <c r="D54" s="151" t="n">
        <f aca="false">IF(AND(ISNUMBER('12_Datos_5m'!I54),ISNUMBER('12_Datos_5m'!I53)),'12_Datos_5m'!I54-'12_Datos_5m'!I53,0)</f>
        <v>0</v>
      </c>
      <c r="E54" s="151" t="n">
        <f aca="false">MAX(0,D54)</f>
        <v>0</v>
      </c>
      <c r="F54" s="151" t="n">
        <f aca="false">IF(AND(ISNUMBER('12_Datos_5m'!G54),N('12_Datos_5m'!G54)&gt;0),'12_Datos_5m'!H54/'12_Datos_5m'!G54,0.5)</f>
        <v>0.5</v>
      </c>
      <c r="G54" s="151" t="n">
        <f aca="false">IF(ISNUMBER(C54),($C$2-C54)/3600000,0)</f>
        <v>0</v>
      </c>
      <c r="H54" s="151" t="n">
        <f aca="false">EXP(-G54/'13_Mapa_Liq'!$B$7)</f>
        <v>1</v>
      </c>
      <c r="I54" s="151" t="n">
        <f aca="false">E54*F54*H54</f>
        <v>0</v>
      </c>
      <c r="J54" s="151" t="n">
        <f aca="false">E54*(1-F54)*H54</f>
        <v>0</v>
      </c>
      <c r="K54" s="151" t="n">
        <f aca="false">IF(COUNT('12_Datos_5m'!E55:E$504)=0,1000000000000,MIN('12_Datos_5m'!E55:E$504))</f>
        <v>1000000000000</v>
      </c>
      <c r="L54" s="151" t="n">
        <f aca="false">IF(COUNT('12_Datos_5m'!D55:D$504)=0,0,MAX('12_Datos_5m'!D55:D$504))</f>
        <v>0</v>
      </c>
      <c r="M54" s="151" t="str">
        <f aca="false">IF(ISNUMBER(B54),B54*(1-1/'13_Mapa_Liq'!$B$15+'13_Mapa_Liq'!$B$6),"")</f>
        <v/>
      </c>
      <c r="N54" s="151" t="n">
        <f aca="false">IF(ISNUMBER(B54),IF(K54&gt;M54,I54*'13_Mapa_Liq'!$C$15,0),0)</f>
        <v>0</v>
      </c>
      <c r="O54" s="151" t="str">
        <f aca="false">IF(ISNUMBER(B54),B54*(1+1/'13_Mapa_Liq'!$B$15-'13_Mapa_Liq'!$B$6),"")</f>
        <v/>
      </c>
      <c r="P54" s="151" t="n">
        <f aca="false">IF(ISNUMBER(B54),IF(L54&lt;O54,J54*'13_Mapa_Liq'!$C$15,0),0)</f>
        <v>0</v>
      </c>
      <c r="Q54" s="151" t="str">
        <f aca="false">IF(ISNUMBER(B54),B54*(1-1/'13_Mapa_Liq'!$B$16+'13_Mapa_Liq'!$B$6),"")</f>
        <v/>
      </c>
      <c r="R54" s="151" t="n">
        <f aca="false">IF(ISNUMBER(B54),IF(K54&gt;Q54,I54*'13_Mapa_Liq'!$C$16,0),0)</f>
        <v>0</v>
      </c>
      <c r="S54" s="151" t="str">
        <f aca="false">IF(ISNUMBER(B54),B54*(1+1/'13_Mapa_Liq'!$B$16-'13_Mapa_Liq'!$B$6),"")</f>
        <v/>
      </c>
      <c r="T54" s="151" t="n">
        <f aca="false">IF(ISNUMBER(B54),IF(L54&lt;S54,J54*'13_Mapa_Liq'!$C$16,0),0)</f>
        <v>0</v>
      </c>
      <c r="U54" s="151" t="str">
        <f aca="false">IF(ISNUMBER(B54),B54*(1-1/'13_Mapa_Liq'!$B$17+'13_Mapa_Liq'!$B$6),"")</f>
        <v/>
      </c>
      <c r="V54" s="151" t="n">
        <f aca="false">IF(ISNUMBER(B54),IF(K54&gt;U54,I54*'13_Mapa_Liq'!$C$17,0),0)</f>
        <v>0</v>
      </c>
      <c r="W54" s="151" t="str">
        <f aca="false">IF(ISNUMBER(B54),B54*(1+1/'13_Mapa_Liq'!$B$17-'13_Mapa_Liq'!$B$6),"")</f>
        <v/>
      </c>
      <c r="X54" s="151" t="n">
        <f aca="false">IF(ISNUMBER(B54),IF(L54&lt;W54,J54*'13_Mapa_Liq'!$C$17,0),0)</f>
        <v>0</v>
      </c>
      <c r="Y54" s="151" t="str">
        <f aca="false">IF(ISNUMBER(B54),B54*(1-1/'13_Mapa_Liq'!$B$18+'13_Mapa_Liq'!$B$6),"")</f>
        <v/>
      </c>
      <c r="Z54" s="151" t="n">
        <f aca="false">IF(ISNUMBER(B54),IF(K54&gt;Y54,I54*'13_Mapa_Liq'!$C$18,0),0)</f>
        <v>0</v>
      </c>
      <c r="AA54" s="151" t="str">
        <f aca="false">IF(ISNUMBER(B54),B54*(1+1/'13_Mapa_Liq'!$B$18-'13_Mapa_Liq'!$B$6),"")</f>
        <v/>
      </c>
      <c r="AB54" s="151" t="n">
        <f aca="false">IF(ISNUMBER(B54),IF(L54&lt;AA54,J54*'13_Mapa_Liq'!$C$18,0),0)</f>
        <v>0</v>
      </c>
      <c r="AC54" s="151" t="str">
        <f aca="false">IF(ISNUMBER(B54),B54*(1-1/'13_Mapa_Liq'!$B$19+'13_Mapa_Liq'!$B$6),"")</f>
        <v/>
      </c>
      <c r="AD54" s="151" t="n">
        <f aca="false">IF(ISNUMBER(B54),IF(K54&gt;AC54,I54*'13_Mapa_Liq'!$C$19,0),0)</f>
        <v>0</v>
      </c>
      <c r="AE54" s="151" t="str">
        <f aca="false">IF(ISNUMBER(B54),B54*(1+1/'13_Mapa_Liq'!$B$19-'13_Mapa_Liq'!$B$6),"")</f>
        <v/>
      </c>
      <c r="AF54" s="151" t="n">
        <f aca="false">IF(ISNUMBER(B54),IF(L54&lt;AE54,J54*'13_Mapa_Liq'!$C$19,0),0)</f>
        <v>0</v>
      </c>
      <c r="AG54" s="151"/>
      <c r="AH54" s="151" t="n">
        <f aca="false">IF(ISNUMBER(B54),E54*F54*((K54&lt;=M54)*'13_Mapa_Liq'!$C$15+(K54&lt;=Q54)*'13_Mapa_Liq'!$C$16+(K54&lt;=U54)*'13_Mapa_Liq'!$C$17+(K54&lt;=Y54)*'13_Mapa_Liq'!$C$18+(K54&lt;=AC54)*'13_Mapa_Liq'!$C$19),0)</f>
        <v>0</v>
      </c>
      <c r="AI54" s="151" t="n">
        <f aca="false">IF(ISNUMBER(B54),E54*(1-F54)*((L54&gt;=O54)*'13_Mapa_Liq'!$C$15+(L54&gt;=S54)*'13_Mapa_Liq'!$C$16+(L54&gt;=W54)*'13_Mapa_Liq'!$C$17+(L54&gt;=AA54)*'13_Mapa_Liq'!$C$18+(L54&gt;=AE54)*'13_Mapa_Liq'!$C$19),0)</f>
        <v>0</v>
      </c>
    </row>
    <row r="55" customFormat="false" ht="15" hidden="false" customHeight="false" outlineLevel="0" collapsed="false">
      <c r="A55" s="151" t="str">
        <f aca="false">IF(ISNUMBER('12_Datos_5m'!F55),ROW()-4,"")</f>
        <v/>
      </c>
      <c r="B55" s="151" t="str">
        <f aca="false">IF(ISNUMBER('12_Datos_5m'!F55),'12_Datos_5m'!F55,"")</f>
        <v/>
      </c>
      <c r="C55" s="151" t="str">
        <f aca="false">IF(ISNUMBER('12_Datos_5m'!A55),'12_Datos_5m'!A55,"")</f>
        <v/>
      </c>
      <c r="D55" s="151" t="n">
        <f aca="false">IF(AND(ISNUMBER('12_Datos_5m'!I55),ISNUMBER('12_Datos_5m'!I54)),'12_Datos_5m'!I55-'12_Datos_5m'!I54,0)</f>
        <v>0</v>
      </c>
      <c r="E55" s="151" t="n">
        <f aca="false">MAX(0,D55)</f>
        <v>0</v>
      </c>
      <c r="F55" s="151" t="n">
        <f aca="false">IF(AND(ISNUMBER('12_Datos_5m'!G55),N('12_Datos_5m'!G55)&gt;0),'12_Datos_5m'!H55/'12_Datos_5m'!G55,0.5)</f>
        <v>0.5</v>
      </c>
      <c r="G55" s="151" t="n">
        <f aca="false">IF(ISNUMBER(C55),($C$2-C55)/3600000,0)</f>
        <v>0</v>
      </c>
      <c r="H55" s="151" t="n">
        <f aca="false">EXP(-G55/'13_Mapa_Liq'!$B$7)</f>
        <v>1</v>
      </c>
      <c r="I55" s="151" t="n">
        <f aca="false">E55*F55*H55</f>
        <v>0</v>
      </c>
      <c r="J55" s="151" t="n">
        <f aca="false">E55*(1-F55)*H55</f>
        <v>0</v>
      </c>
      <c r="K55" s="151" t="n">
        <f aca="false">IF(COUNT('12_Datos_5m'!E56:E$504)=0,1000000000000,MIN('12_Datos_5m'!E56:E$504))</f>
        <v>1000000000000</v>
      </c>
      <c r="L55" s="151" t="n">
        <f aca="false">IF(COUNT('12_Datos_5m'!D56:D$504)=0,0,MAX('12_Datos_5m'!D56:D$504))</f>
        <v>0</v>
      </c>
      <c r="M55" s="151" t="str">
        <f aca="false">IF(ISNUMBER(B55),B55*(1-1/'13_Mapa_Liq'!$B$15+'13_Mapa_Liq'!$B$6),"")</f>
        <v/>
      </c>
      <c r="N55" s="151" t="n">
        <f aca="false">IF(ISNUMBER(B55),IF(K55&gt;M55,I55*'13_Mapa_Liq'!$C$15,0),0)</f>
        <v>0</v>
      </c>
      <c r="O55" s="151" t="str">
        <f aca="false">IF(ISNUMBER(B55),B55*(1+1/'13_Mapa_Liq'!$B$15-'13_Mapa_Liq'!$B$6),"")</f>
        <v/>
      </c>
      <c r="P55" s="151" t="n">
        <f aca="false">IF(ISNUMBER(B55),IF(L55&lt;O55,J55*'13_Mapa_Liq'!$C$15,0),0)</f>
        <v>0</v>
      </c>
      <c r="Q55" s="151" t="str">
        <f aca="false">IF(ISNUMBER(B55),B55*(1-1/'13_Mapa_Liq'!$B$16+'13_Mapa_Liq'!$B$6),"")</f>
        <v/>
      </c>
      <c r="R55" s="151" t="n">
        <f aca="false">IF(ISNUMBER(B55),IF(K55&gt;Q55,I55*'13_Mapa_Liq'!$C$16,0),0)</f>
        <v>0</v>
      </c>
      <c r="S55" s="151" t="str">
        <f aca="false">IF(ISNUMBER(B55),B55*(1+1/'13_Mapa_Liq'!$B$16-'13_Mapa_Liq'!$B$6),"")</f>
        <v/>
      </c>
      <c r="T55" s="151" t="n">
        <f aca="false">IF(ISNUMBER(B55),IF(L55&lt;S55,J55*'13_Mapa_Liq'!$C$16,0),0)</f>
        <v>0</v>
      </c>
      <c r="U55" s="151" t="str">
        <f aca="false">IF(ISNUMBER(B55),B55*(1-1/'13_Mapa_Liq'!$B$17+'13_Mapa_Liq'!$B$6),"")</f>
        <v/>
      </c>
      <c r="V55" s="151" t="n">
        <f aca="false">IF(ISNUMBER(B55),IF(K55&gt;U55,I55*'13_Mapa_Liq'!$C$17,0),0)</f>
        <v>0</v>
      </c>
      <c r="W55" s="151" t="str">
        <f aca="false">IF(ISNUMBER(B55),B55*(1+1/'13_Mapa_Liq'!$B$17-'13_Mapa_Liq'!$B$6),"")</f>
        <v/>
      </c>
      <c r="X55" s="151" t="n">
        <f aca="false">IF(ISNUMBER(B55),IF(L55&lt;W55,J55*'13_Mapa_Liq'!$C$17,0),0)</f>
        <v>0</v>
      </c>
      <c r="Y55" s="151" t="str">
        <f aca="false">IF(ISNUMBER(B55),B55*(1-1/'13_Mapa_Liq'!$B$18+'13_Mapa_Liq'!$B$6),"")</f>
        <v/>
      </c>
      <c r="Z55" s="151" t="n">
        <f aca="false">IF(ISNUMBER(B55),IF(K55&gt;Y55,I55*'13_Mapa_Liq'!$C$18,0),0)</f>
        <v>0</v>
      </c>
      <c r="AA55" s="151" t="str">
        <f aca="false">IF(ISNUMBER(B55),B55*(1+1/'13_Mapa_Liq'!$B$18-'13_Mapa_Liq'!$B$6),"")</f>
        <v/>
      </c>
      <c r="AB55" s="151" t="n">
        <f aca="false">IF(ISNUMBER(B55),IF(L55&lt;AA55,J55*'13_Mapa_Liq'!$C$18,0),0)</f>
        <v>0</v>
      </c>
      <c r="AC55" s="151" t="str">
        <f aca="false">IF(ISNUMBER(B55),B55*(1-1/'13_Mapa_Liq'!$B$19+'13_Mapa_Liq'!$B$6),"")</f>
        <v/>
      </c>
      <c r="AD55" s="151" t="n">
        <f aca="false">IF(ISNUMBER(B55),IF(K55&gt;AC55,I55*'13_Mapa_Liq'!$C$19,0),0)</f>
        <v>0</v>
      </c>
      <c r="AE55" s="151" t="str">
        <f aca="false">IF(ISNUMBER(B55),B55*(1+1/'13_Mapa_Liq'!$B$19-'13_Mapa_Liq'!$B$6),"")</f>
        <v/>
      </c>
      <c r="AF55" s="151" t="n">
        <f aca="false">IF(ISNUMBER(B55),IF(L55&lt;AE55,J55*'13_Mapa_Liq'!$C$19,0),0)</f>
        <v>0</v>
      </c>
      <c r="AG55" s="151"/>
      <c r="AH55" s="151" t="n">
        <f aca="false">IF(ISNUMBER(B55),E55*F55*((K55&lt;=M55)*'13_Mapa_Liq'!$C$15+(K55&lt;=Q55)*'13_Mapa_Liq'!$C$16+(K55&lt;=U55)*'13_Mapa_Liq'!$C$17+(K55&lt;=Y55)*'13_Mapa_Liq'!$C$18+(K55&lt;=AC55)*'13_Mapa_Liq'!$C$19),0)</f>
        <v>0</v>
      </c>
      <c r="AI55" s="151" t="n">
        <f aca="false">IF(ISNUMBER(B55),E55*(1-F55)*((L55&gt;=O55)*'13_Mapa_Liq'!$C$15+(L55&gt;=S55)*'13_Mapa_Liq'!$C$16+(L55&gt;=W55)*'13_Mapa_Liq'!$C$17+(L55&gt;=AA55)*'13_Mapa_Liq'!$C$18+(L55&gt;=AE55)*'13_Mapa_Liq'!$C$19),0)</f>
        <v>0</v>
      </c>
    </row>
    <row r="56" customFormat="false" ht="15" hidden="false" customHeight="false" outlineLevel="0" collapsed="false">
      <c r="A56" s="151" t="str">
        <f aca="false">IF(ISNUMBER('12_Datos_5m'!F56),ROW()-4,"")</f>
        <v/>
      </c>
      <c r="B56" s="151" t="str">
        <f aca="false">IF(ISNUMBER('12_Datos_5m'!F56),'12_Datos_5m'!F56,"")</f>
        <v/>
      </c>
      <c r="C56" s="151" t="str">
        <f aca="false">IF(ISNUMBER('12_Datos_5m'!A56),'12_Datos_5m'!A56,"")</f>
        <v/>
      </c>
      <c r="D56" s="151" t="n">
        <f aca="false">IF(AND(ISNUMBER('12_Datos_5m'!I56),ISNUMBER('12_Datos_5m'!I55)),'12_Datos_5m'!I56-'12_Datos_5m'!I55,0)</f>
        <v>0</v>
      </c>
      <c r="E56" s="151" t="n">
        <f aca="false">MAX(0,D56)</f>
        <v>0</v>
      </c>
      <c r="F56" s="151" t="n">
        <f aca="false">IF(AND(ISNUMBER('12_Datos_5m'!G56),N('12_Datos_5m'!G56)&gt;0),'12_Datos_5m'!H56/'12_Datos_5m'!G56,0.5)</f>
        <v>0.5</v>
      </c>
      <c r="G56" s="151" t="n">
        <f aca="false">IF(ISNUMBER(C56),($C$2-C56)/3600000,0)</f>
        <v>0</v>
      </c>
      <c r="H56" s="151" t="n">
        <f aca="false">EXP(-G56/'13_Mapa_Liq'!$B$7)</f>
        <v>1</v>
      </c>
      <c r="I56" s="151" t="n">
        <f aca="false">E56*F56*H56</f>
        <v>0</v>
      </c>
      <c r="J56" s="151" t="n">
        <f aca="false">E56*(1-F56)*H56</f>
        <v>0</v>
      </c>
      <c r="K56" s="151" t="n">
        <f aca="false">IF(COUNT('12_Datos_5m'!E57:E$504)=0,1000000000000,MIN('12_Datos_5m'!E57:E$504))</f>
        <v>1000000000000</v>
      </c>
      <c r="L56" s="151" t="n">
        <f aca="false">IF(COUNT('12_Datos_5m'!D57:D$504)=0,0,MAX('12_Datos_5m'!D57:D$504))</f>
        <v>0</v>
      </c>
      <c r="M56" s="151" t="str">
        <f aca="false">IF(ISNUMBER(B56),B56*(1-1/'13_Mapa_Liq'!$B$15+'13_Mapa_Liq'!$B$6),"")</f>
        <v/>
      </c>
      <c r="N56" s="151" t="n">
        <f aca="false">IF(ISNUMBER(B56),IF(K56&gt;M56,I56*'13_Mapa_Liq'!$C$15,0),0)</f>
        <v>0</v>
      </c>
      <c r="O56" s="151" t="str">
        <f aca="false">IF(ISNUMBER(B56),B56*(1+1/'13_Mapa_Liq'!$B$15-'13_Mapa_Liq'!$B$6),"")</f>
        <v/>
      </c>
      <c r="P56" s="151" t="n">
        <f aca="false">IF(ISNUMBER(B56),IF(L56&lt;O56,J56*'13_Mapa_Liq'!$C$15,0),0)</f>
        <v>0</v>
      </c>
      <c r="Q56" s="151" t="str">
        <f aca="false">IF(ISNUMBER(B56),B56*(1-1/'13_Mapa_Liq'!$B$16+'13_Mapa_Liq'!$B$6),"")</f>
        <v/>
      </c>
      <c r="R56" s="151" t="n">
        <f aca="false">IF(ISNUMBER(B56),IF(K56&gt;Q56,I56*'13_Mapa_Liq'!$C$16,0),0)</f>
        <v>0</v>
      </c>
      <c r="S56" s="151" t="str">
        <f aca="false">IF(ISNUMBER(B56),B56*(1+1/'13_Mapa_Liq'!$B$16-'13_Mapa_Liq'!$B$6),"")</f>
        <v/>
      </c>
      <c r="T56" s="151" t="n">
        <f aca="false">IF(ISNUMBER(B56),IF(L56&lt;S56,J56*'13_Mapa_Liq'!$C$16,0),0)</f>
        <v>0</v>
      </c>
      <c r="U56" s="151" t="str">
        <f aca="false">IF(ISNUMBER(B56),B56*(1-1/'13_Mapa_Liq'!$B$17+'13_Mapa_Liq'!$B$6),"")</f>
        <v/>
      </c>
      <c r="V56" s="151" t="n">
        <f aca="false">IF(ISNUMBER(B56),IF(K56&gt;U56,I56*'13_Mapa_Liq'!$C$17,0),0)</f>
        <v>0</v>
      </c>
      <c r="W56" s="151" t="str">
        <f aca="false">IF(ISNUMBER(B56),B56*(1+1/'13_Mapa_Liq'!$B$17-'13_Mapa_Liq'!$B$6),"")</f>
        <v/>
      </c>
      <c r="X56" s="151" t="n">
        <f aca="false">IF(ISNUMBER(B56),IF(L56&lt;W56,J56*'13_Mapa_Liq'!$C$17,0),0)</f>
        <v>0</v>
      </c>
      <c r="Y56" s="151" t="str">
        <f aca="false">IF(ISNUMBER(B56),B56*(1-1/'13_Mapa_Liq'!$B$18+'13_Mapa_Liq'!$B$6),"")</f>
        <v/>
      </c>
      <c r="Z56" s="151" t="n">
        <f aca="false">IF(ISNUMBER(B56),IF(K56&gt;Y56,I56*'13_Mapa_Liq'!$C$18,0),0)</f>
        <v>0</v>
      </c>
      <c r="AA56" s="151" t="str">
        <f aca="false">IF(ISNUMBER(B56),B56*(1+1/'13_Mapa_Liq'!$B$18-'13_Mapa_Liq'!$B$6),"")</f>
        <v/>
      </c>
      <c r="AB56" s="151" t="n">
        <f aca="false">IF(ISNUMBER(B56),IF(L56&lt;AA56,J56*'13_Mapa_Liq'!$C$18,0),0)</f>
        <v>0</v>
      </c>
      <c r="AC56" s="151" t="str">
        <f aca="false">IF(ISNUMBER(B56),B56*(1-1/'13_Mapa_Liq'!$B$19+'13_Mapa_Liq'!$B$6),"")</f>
        <v/>
      </c>
      <c r="AD56" s="151" t="n">
        <f aca="false">IF(ISNUMBER(B56),IF(K56&gt;AC56,I56*'13_Mapa_Liq'!$C$19,0),0)</f>
        <v>0</v>
      </c>
      <c r="AE56" s="151" t="str">
        <f aca="false">IF(ISNUMBER(B56),B56*(1+1/'13_Mapa_Liq'!$B$19-'13_Mapa_Liq'!$B$6),"")</f>
        <v/>
      </c>
      <c r="AF56" s="151" t="n">
        <f aca="false">IF(ISNUMBER(B56),IF(L56&lt;AE56,J56*'13_Mapa_Liq'!$C$19,0),0)</f>
        <v>0</v>
      </c>
      <c r="AG56" s="151"/>
      <c r="AH56" s="151" t="n">
        <f aca="false">IF(ISNUMBER(B56),E56*F56*((K56&lt;=M56)*'13_Mapa_Liq'!$C$15+(K56&lt;=Q56)*'13_Mapa_Liq'!$C$16+(K56&lt;=U56)*'13_Mapa_Liq'!$C$17+(K56&lt;=Y56)*'13_Mapa_Liq'!$C$18+(K56&lt;=AC56)*'13_Mapa_Liq'!$C$19),0)</f>
        <v>0</v>
      </c>
      <c r="AI56" s="151" t="n">
        <f aca="false">IF(ISNUMBER(B56),E56*(1-F56)*((L56&gt;=O56)*'13_Mapa_Liq'!$C$15+(L56&gt;=S56)*'13_Mapa_Liq'!$C$16+(L56&gt;=W56)*'13_Mapa_Liq'!$C$17+(L56&gt;=AA56)*'13_Mapa_Liq'!$C$18+(L56&gt;=AE56)*'13_Mapa_Liq'!$C$19),0)</f>
        <v>0</v>
      </c>
    </row>
    <row r="57" customFormat="false" ht="15" hidden="false" customHeight="false" outlineLevel="0" collapsed="false">
      <c r="A57" s="151" t="str">
        <f aca="false">IF(ISNUMBER('12_Datos_5m'!F57),ROW()-4,"")</f>
        <v/>
      </c>
      <c r="B57" s="151" t="str">
        <f aca="false">IF(ISNUMBER('12_Datos_5m'!F57),'12_Datos_5m'!F57,"")</f>
        <v/>
      </c>
      <c r="C57" s="151" t="str">
        <f aca="false">IF(ISNUMBER('12_Datos_5m'!A57),'12_Datos_5m'!A57,"")</f>
        <v/>
      </c>
      <c r="D57" s="151" t="n">
        <f aca="false">IF(AND(ISNUMBER('12_Datos_5m'!I57),ISNUMBER('12_Datos_5m'!I56)),'12_Datos_5m'!I57-'12_Datos_5m'!I56,0)</f>
        <v>0</v>
      </c>
      <c r="E57" s="151" t="n">
        <f aca="false">MAX(0,D57)</f>
        <v>0</v>
      </c>
      <c r="F57" s="151" t="n">
        <f aca="false">IF(AND(ISNUMBER('12_Datos_5m'!G57),N('12_Datos_5m'!G57)&gt;0),'12_Datos_5m'!H57/'12_Datos_5m'!G57,0.5)</f>
        <v>0.5</v>
      </c>
      <c r="G57" s="151" t="n">
        <f aca="false">IF(ISNUMBER(C57),($C$2-C57)/3600000,0)</f>
        <v>0</v>
      </c>
      <c r="H57" s="151" t="n">
        <f aca="false">EXP(-G57/'13_Mapa_Liq'!$B$7)</f>
        <v>1</v>
      </c>
      <c r="I57" s="151" t="n">
        <f aca="false">E57*F57*H57</f>
        <v>0</v>
      </c>
      <c r="J57" s="151" t="n">
        <f aca="false">E57*(1-F57)*H57</f>
        <v>0</v>
      </c>
      <c r="K57" s="151" t="n">
        <f aca="false">IF(COUNT('12_Datos_5m'!E58:E$504)=0,1000000000000,MIN('12_Datos_5m'!E58:E$504))</f>
        <v>1000000000000</v>
      </c>
      <c r="L57" s="151" t="n">
        <f aca="false">IF(COUNT('12_Datos_5m'!D58:D$504)=0,0,MAX('12_Datos_5m'!D58:D$504))</f>
        <v>0</v>
      </c>
      <c r="M57" s="151" t="str">
        <f aca="false">IF(ISNUMBER(B57),B57*(1-1/'13_Mapa_Liq'!$B$15+'13_Mapa_Liq'!$B$6),"")</f>
        <v/>
      </c>
      <c r="N57" s="151" t="n">
        <f aca="false">IF(ISNUMBER(B57),IF(K57&gt;M57,I57*'13_Mapa_Liq'!$C$15,0),0)</f>
        <v>0</v>
      </c>
      <c r="O57" s="151" t="str">
        <f aca="false">IF(ISNUMBER(B57),B57*(1+1/'13_Mapa_Liq'!$B$15-'13_Mapa_Liq'!$B$6),"")</f>
        <v/>
      </c>
      <c r="P57" s="151" t="n">
        <f aca="false">IF(ISNUMBER(B57),IF(L57&lt;O57,J57*'13_Mapa_Liq'!$C$15,0),0)</f>
        <v>0</v>
      </c>
      <c r="Q57" s="151" t="str">
        <f aca="false">IF(ISNUMBER(B57),B57*(1-1/'13_Mapa_Liq'!$B$16+'13_Mapa_Liq'!$B$6),"")</f>
        <v/>
      </c>
      <c r="R57" s="151" t="n">
        <f aca="false">IF(ISNUMBER(B57),IF(K57&gt;Q57,I57*'13_Mapa_Liq'!$C$16,0),0)</f>
        <v>0</v>
      </c>
      <c r="S57" s="151" t="str">
        <f aca="false">IF(ISNUMBER(B57),B57*(1+1/'13_Mapa_Liq'!$B$16-'13_Mapa_Liq'!$B$6),"")</f>
        <v/>
      </c>
      <c r="T57" s="151" t="n">
        <f aca="false">IF(ISNUMBER(B57),IF(L57&lt;S57,J57*'13_Mapa_Liq'!$C$16,0),0)</f>
        <v>0</v>
      </c>
      <c r="U57" s="151" t="str">
        <f aca="false">IF(ISNUMBER(B57),B57*(1-1/'13_Mapa_Liq'!$B$17+'13_Mapa_Liq'!$B$6),"")</f>
        <v/>
      </c>
      <c r="V57" s="151" t="n">
        <f aca="false">IF(ISNUMBER(B57),IF(K57&gt;U57,I57*'13_Mapa_Liq'!$C$17,0),0)</f>
        <v>0</v>
      </c>
      <c r="W57" s="151" t="str">
        <f aca="false">IF(ISNUMBER(B57),B57*(1+1/'13_Mapa_Liq'!$B$17-'13_Mapa_Liq'!$B$6),"")</f>
        <v/>
      </c>
      <c r="X57" s="151" t="n">
        <f aca="false">IF(ISNUMBER(B57),IF(L57&lt;W57,J57*'13_Mapa_Liq'!$C$17,0),0)</f>
        <v>0</v>
      </c>
      <c r="Y57" s="151" t="str">
        <f aca="false">IF(ISNUMBER(B57),B57*(1-1/'13_Mapa_Liq'!$B$18+'13_Mapa_Liq'!$B$6),"")</f>
        <v/>
      </c>
      <c r="Z57" s="151" t="n">
        <f aca="false">IF(ISNUMBER(B57),IF(K57&gt;Y57,I57*'13_Mapa_Liq'!$C$18,0),0)</f>
        <v>0</v>
      </c>
      <c r="AA57" s="151" t="str">
        <f aca="false">IF(ISNUMBER(B57),B57*(1+1/'13_Mapa_Liq'!$B$18-'13_Mapa_Liq'!$B$6),"")</f>
        <v/>
      </c>
      <c r="AB57" s="151" t="n">
        <f aca="false">IF(ISNUMBER(B57),IF(L57&lt;AA57,J57*'13_Mapa_Liq'!$C$18,0),0)</f>
        <v>0</v>
      </c>
      <c r="AC57" s="151" t="str">
        <f aca="false">IF(ISNUMBER(B57),B57*(1-1/'13_Mapa_Liq'!$B$19+'13_Mapa_Liq'!$B$6),"")</f>
        <v/>
      </c>
      <c r="AD57" s="151" t="n">
        <f aca="false">IF(ISNUMBER(B57),IF(K57&gt;AC57,I57*'13_Mapa_Liq'!$C$19,0),0)</f>
        <v>0</v>
      </c>
      <c r="AE57" s="151" t="str">
        <f aca="false">IF(ISNUMBER(B57),B57*(1+1/'13_Mapa_Liq'!$B$19-'13_Mapa_Liq'!$B$6),"")</f>
        <v/>
      </c>
      <c r="AF57" s="151" t="n">
        <f aca="false">IF(ISNUMBER(B57),IF(L57&lt;AE57,J57*'13_Mapa_Liq'!$C$19,0),0)</f>
        <v>0</v>
      </c>
      <c r="AG57" s="151"/>
      <c r="AH57" s="151" t="n">
        <f aca="false">IF(ISNUMBER(B57),E57*F57*((K57&lt;=M57)*'13_Mapa_Liq'!$C$15+(K57&lt;=Q57)*'13_Mapa_Liq'!$C$16+(K57&lt;=U57)*'13_Mapa_Liq'!$C$17+(K57&lt;=Y57)*'13_Mapa_Liq'!$C$18+(K57&lt;=AC57)*'13_Mapa_Liq'!$C$19),0)</f>
        <v>0</v>
      </c>
      <c r="AI57" s="151" t="n">
        <f aca="false">IF(ISNUMBER(B57),E57*(1-F57)*((L57&gt;=O57)*'13_Mapa_Liq'!$C$15+(L57&gt;=S57)*'13_Mapa_Liq'!$C$16+(L57&gt;=W57)*'13_Mapa_Liq'!$C$17+(L57&gt;=AA57)*'13_Mapa_Liq'!$C$18+(L57&gt;=AE57)*'13_Mapa_Liq'!$C$19),0)</f>
        <v>0</v>
      </c>
    </row>
    <row r="58" customFormat="false" ht="15" hidden="false" customHeight="false" outlineLevel="0" collapsed="false">
      <c r="A58" s="151" t="str">
        <f aca="false">IF(ISNUMBER('12_Datos_5m'!F58),ROW()-4,"")</f>
        <v/>
      </c>
      <c r="B58" s="151" t="str">
        <f aca="false">IF(ISNUMBER('12_Datos_5m'!F58),'12_Datos_5m'!F58,"")</f>
        <v/>
      </c>
      <c r="C58" s="151" t="str">
        <f aca="false">IF(ISNUMBER('12_Datos_5m'!A58),'12_Datos_5m'!A58,"")</f>
        <v/>
      </c>
      <c r="D58" s="151" t="n">
        <f aca="false">IF(AND(ISNUMBER('12_Datos_5m'!I58),ISNUMBER('12_Datos_5m'!I57)),'12_Datos_5m'!I58-'12_Datos_5m'!I57,0)</f>
        <v>0</v>
      </c>
      <c r="E58" s="151" t="n">
        <f aca="false">MAX(0,D58)</f>
        <v>0</v>
      </c>
      <c r="F58" s="151" t="n">
        <f aca="false">IF(AND(ISNUMBER('12_Datos_5m'!G58),N('12_Datos_5m'!G58)&gt;0),'12_Datos_5m'!H58/'12_Datos_5m'!G58,0.5)</f>
        <v>0.5</v>
      </c>
      <c r="G58" s="151" t="n">
        <f aca="false">IF(ISNUMBER(C58),($C$2-C58)/3600000,0)</f>
        <v>0</v>
      </c>
      <c r="H58" s="151" t="n">
        <f aca="false">EXP(-G58/'13_Mapa_Liq'!$B$7)</f>
        <v>1</v>
      </c>
      <c r="I58" s="151" t="n">
        <f aca="false">E58*F58*H58</f>
        <v>0</v>
      </c>
      <c r="J58" s="151" t="n">
        <f aca="false">E58*(1-F58)*H58</f>
        <v>0</v>
      </c>
      <c r="K58" s="151" t="n">
        <f aca="false">IF(COUNT('12_Datos_5m'!E59:E$504)=0,1000000000000,MIN('12_Datos_5m'!E59:E$504))</f>
        <v>1000000000000</v>
      </c>
      <c r="L58" s="151" t="n">
        <f aca="false">IF(COUNT('12_Datos_5m'!D59:D$504)=0,0,MAX('12_Datos_5m'!D59:D$504))</f>
        <v>0</v>
      </c>
      <c r="M58" s="151" t="str">
        <f aca="false">IF(ISNUMBER(B58),B58*(1-1/'13_Mapa_Liq'!$B$15+'13_Mapa_Liq'!$B$6),"")</f>
        <v/>
      </c>
      <c r="N58" s="151" t="n">
        <f aca="false">IF(ISNUMBER(B58),IF(K58&gt;M58,I58*'13_Mapa_Liq'!$C$15,0),0)</f>
        <v>0</v>
      </c>
      <c r="O58" s="151" t="str">
        <f aca="false">IF(ISNUMBER(B58),B58*(1+1/'13_Mapa_Liq'!$B$15-'13_Mapa_Liq'!$B$6),"")</f>
        <v/>
      </c>
      <c r="P58" s="151" t="n">
        <f aca="false">IF(ISNUMBER(B58),IF(L58&lt;O58,J58*'13_Mapa_Liq'!$C$15,0),0)</f>
        <v>0</v>
      </c>
      <c r="Q58" s="151" t="str">
        <f aca="false">IF(ISNUMBER(B58),B58*(1-1/'13_Mapa_Liq'!$B$16+'13_Mapa_Liq'!$B$6),"")</f>
        <v/>
      </c>
      <c r="R58" s="151" t="n">
        <f aca="false">IF(ISNUMBER(B58),IF(K58&gt;Q58,I58*'13_Mapa_Liq'!$C$16,0),0)</f>
        <v>0</v>
      </c>
      <c r="S58" s="151" t="str">
        <f aca="false">IF(ISNUMBER(B58),B58*(1+1/'13_Mapa_Liq'!$B$16-'13_Mapa_Liq'!$B$6),"")</f>
        <v/>
      </c>
      <c r="T58" s="151" t="n">
        <f aca="false">IF(ISNUMBER(B58),IF(L58&lt;S58,J58*'13_Mapa_Liq'!$C$16,0),0)</f>
        <v>0</v>
      </c>
      <c r="U58" s="151" t="str">
        <f aca="false">IF(ISNUMBER(B58),B58*(1-1/'13_Mapa_Liq'!$B$17+'13_Mapa_Liq'!$B$6),"")</f>
        <v/>
      </c>
      <c r="V58" s="151" t="n">
        <f aca="false">IF(ISNUMBER(B58),IF(K58&gt;U58,I58*'13_Mapa_Liq'!$C$17,0),0)</f>
        <v>0</v>
      </c>
      <c r="W58" s="151" t="str">
        <f aca="false">IF(ISNUMBER(B58),B58*(1+1/'13_Mapa_Liq'!$B$17-'13_Mapa_Liq'!$B$6),"")</f>
        <v/>
      </c>
      <c r="X58" s="151" t="n">
        <f aca="false">IF(ISNUMBER(B58),IF(L58&lt;W58,J58*'13_Mapa_Liq'!$C$17,0),0)</f>
        <v>0</v>
      </c>
      <c r="Y58" s="151" t="str">
        <f aca="false">IF(ISNUMBER(B58),B58*(1-1/'13_Mapa_Liq'!$B$18+'13_Mapa_Liq'!$B$6),"")</f>
        <v/>
      </c>
      <c r="Z58" s="151" t="n">
        <f aca="false">IF(ISNUMBER(B58),IF(K58&gt;Y58,I58*'13_Mapa_Liq'!$C$18,0),0)</f>
        <v>0</v>
      </c>
      <c r="AA58" s="151" t="str">
        <f aca="false">IF(ISNUMBER(B58),B58*(1+1/'13_Mapa_Liq'!$B$18-'13_Mapa_Liq'!$B$6),"")</f>
        <v/>
      </c>
      <c r="AB58" s="151" t="n">
        <f aca="false">IF(ISNUMBER(B58),IF(L58&lt;AA58,J58*'13_Mapa_Liq'!$C$18,0),0)</f>
        <v>0</v>
      </c>
      <c r="AC58" s="151" t="str">
        <f aca="false">IF(ISNUMBER(B58),B58*(1-1/'13_Mapa_Liq'!$B$19+'13_Mapa_Liq'!$B$6),"")</f>
        <v/>
      </c>
      <c r="AD58" s="151" t="n">
        <f aca="false">IF(ISNUMBER(B58),IF(K58&gt;AC58,I58*'13_Mapa_Liq'!$C$19,0),0)</f>
        <v>0</v>
      </c>
      <c r="AE58" s="151" t="str">
        <f aca="false">IF(ISNUMBER(B58),B58*(1+1/'13_Mapa_Liq'!$B$19-'13_Mapa_Liq'!$B$6),"")</f>
        <v/>
      </c>
      <c r="AF58" s="151" t="n">
        <f aca="false">IF(ISNUMBER(B58),IF(L58&lt;AE58,J58*'13_Mapa_Liq'!$C$19,0),0)</f>
        <v>0</v>
      </c>
      <c r="AG58" s="151"/>
      <c r="AH58" s="151" t="n">
        <f aca="false">IF(ISNUMBER(B58),E58*F58*((K58&lt;=M58)*'13_Mapa_Liq'!$C$15+(K58&lt;=Q58)*'13_Mapa_Liq'!$C$16+(K58&lt;=U58)*'13_Mapa_Liq'!$C$17+(K58&lt;=Y58)*'13_Mapa_Liq'!$C$18+(K58&lt;=AC58)*'13_Mapa_Liq'!$C$19),0)</f>
        <v>0</v>
      </c>
      <c r="AI58" s="151" t="n">
        <f aca="false">IF(ISNUMBER(B58),E58*(1-F58)*((L58&gt;=O58)*'13_Mapa_Liq'!$C$15+(L58&gt;=S58)*'13_Mapa_Liq'!$C$16+(L58&gt;=W58)*'13_Mapa_Liq'!$C$17+(L58&gt;=AA58)*'13_Mapa_Liq'!$C$18+(L58&gt;=AE58)*'13_Mapa_Liq'!$C$19),0)</f>
        <v>0</v>
      </c>
    </row>
    <row r="59" customFormat="false" ht="15" hidden="false" customHeight="false" outlineLevel="0" collapsed="false">
      <c r="A59" s="151" t="str">
        <f aca="false">IF(ISNUMBER('12_Datos_5m'!F59),ROW()-4,"")</f>
        <v/>
      </c>
      <c r="B59" s="151" t="str">
        <f aca="false">IF(ISNUMBER('12_Datos_5m'!F59),'12_Datos_5m'!F59,"")</f>
        <v/>
      </c>
      <c r="C59" s="151" t="str">
        <f aca="false">IF(ISNUMBER('12_Datos_5m'!A59),'12_Datos_5m'!A59,"")</f>
        <v/>
      </c>
      <c r="D59" s="151" t="n">
        <f aca="false">IF(AND(ISNUMBER('12_Datos_5m'!I59),ISNUMBER('12_Datos_5m'!I58)),'12_Datos_5m'!I59-'12_Datos_5m'!I58,0)</f>
        <v>0</v>
      </c>
      <c r="E59" s="151" t="n">
        <f aca="false">MAX(0,D59)</f>
        <v>0</v>
      </c>
      <c r="F59" s="151" t="n">
        <f aca="false">IF(AND(ISNUMBER('12_Datos_5m'!G59),N('12_Datos_5m'!G59)&gt;0),'12_Datos_5m'!H59/'12_Datos_5m'!G59,0.5)</f>
        <v>0.5</v>
      </c>
      <c r="G59" s="151" t="n">
        <f aca="false">IF(ISNUMBER(C59),($C$2-C59)/3600000,0)</f>
        <v>0</v>
      </c>
      <c r="H59" s="151" t="n">
        <f aca="false">EXP(-G59/'13_Mapa_Liq'!$B$7)</f>
        <v>1</v>
      </c>
      <c r="I59" s="151" t="n">
        <f aca="false">E59*F59*H59</f>
        <v>0</v>
      </c>
      <c r="J59" s="151" t="n">
        <f aca="false">E59*(1-F59)*H59</f>
        <v>0</v>
      </c>
      <c r="K59" s="151" t="n">
        <f aca="false">IF(COUNT('12_Datos_5m'!E60:E$504)=0,1000000000000,MIN('12_Datos_5m'!E60:E$504))</f>
        <v>1000000000000</v>
      </c>
      <c r="L59" s="151" t="n">
        <f aca="false">IF(COUNT('12_Datos_5m'!D60:D$504)=0,0,MAX('12_Datos_5m'!D60:D$504))</f>
        <v>0</v>
      </c>
      <c r="M59" s="151" t="str">
        <f aca="false">IF(ISNUMBER(B59),B59*(1-1/'13_Mapa_Liq'!$B$15+'13_Mapa_Liq'!$B$6),"")</f>
        <v/>
      </c>
      <c r="N59" s="151" t="n">
        <f aca="false">IF(ISNUMBER(B59),IF(K59&gt;M59,I59*'13_Mapa_Liq'!$C$15,0),0)</f>
        <v>0</v>
      </c>
      <c r="O59" s="151" t="str">
        <f aca="false">IF(ISNUMBER(B59),B59*(1+1/'13_Mapa_Liq'!$B$15-'13_Mapa_Liq'!$B$6),"")</f>
        <v/>
      </c>
      <c r="P59" s="151" t="n">
        <f aca="false">IF(ISNUMBER(B59),IF(L59&lt;O59,J59*'13_Mapa_Liq'!$C$15,0),0)</f>
        <v>0</v>
      </c>
      <c r="Q59" s="151" t="str">
        <f aca="false">IF(ISNUMBER(B59),B59*(1-1/'13_Mapa_Liq'!$B$16+'13_Mapa_Liq'!$B$6),"")</f>
        <v/>
      </c>
      <c r="R59" s="151" t="n">
        <f aca="false">IF(ISNUMBER(B59),IF(K59&gt;Q59,I59*'13_Mapa_Liq'!$C$16,0),0)</f>
        <v>0</v>
      </c>
      <c r="S59" s="151" t="str">
        <f aca="false">IF(ISNUMBER(B59),B59*(1+1/'13_Mapa_Liq'!$B$16-'13_Mapa_Liq'!$B$6),"")</f>
        <v/>
      </c>
      <c r="T59" s="151" t="n">
        <f aca="false">IF(ISNUMBER(B59),IF(L59&lt;S59,J59*'13_Mapa_Liq'!$C$16,0),0)</f>
        <v>0</v>
      </c>
      <c r="U59" s="151" t="str">
        <f aca="false">IF(ISNUMBER(B59),B59*(1-1/'13_Mapa_Liq'!$B$17+'13_Mapa_Liq'!$B$6),"")</f>
        <v/>
      </c>
      <c r="V59" s="151" t="n">
        <f aca="false">IF(ISNUMBER(B59),IF(K59&gt;U59,I59*'13_Mapa_Liq'!$C$17,0),0)</f>
        <v>0</v>
      </c>
      <c r="W59" s="151" t="str">
        <f aca="false">IF(ISNUMBER(B59),B59*(1+1/'13_Mapa_Liq'!$B$17-'13_Mapa_Liq'!$B$6),"")</f>
        <v/>
      </c>
      <c r="X59" s="151" t="n">
        <f aca="false">IF(ISNUMBER(B59),IF(L59&lt;W59,J59*'13_Mapa_Liq'!$C$17,0),0)</f>
        <v>0</v>
      </c>
      <c r="Y59" s="151" t="str">
        <f aca="false">IF(ISNUMBER(B59),B59*(1-1/'13_Mapa_Liq'!$B$18+'13_Mapa_Liq'!$B$6),"")</f>
        <v/>
      </c>
      <c r="Z59" s="151" t="n">
        <f aca="false">IF(ISNUMBER(B59),IF(K59&gt;Y59,I59*'13_Mapa_Liq'!$C$18,0),0)</f>
        <v>0</v>
      </c>
      <c r="AA59" s="151" t="str">
        <f aca="false">IF(ISNUMBER(B59),B59*(1+1/'13_Mapa_Liq'!$B$18-'13_Mapa_Liq'!$B$6),"")</f>
        <v/>
      </c>
      <c r="AB59" s="151" t="n">
        <f aca="false">IF(ISNUMBER(B59),IF(L59&lt;AA59,J59*'13_Mapa_Liq'!$C$18,0),0)</f>
        <v>0</v>
      </c>
      <c r="AC59" s="151" t="str">
        <f aca="false">IF(ISNUMBER(B59),B59*(1-1/'13_Mapa_Liq'!$B$19+'13_Mapa_Liq'!$B$6),"")</f>
        <v/>
      </c>
      <c r="AD59" s="151" t="n">
        <f aca="false">IF(ISNUMBER(B59),IF(K59&gt;AC59,I59*'13_Mapa_Liq'!$C$19,0),0)</f>
        <v>0</v>
      </c>
      <c r="AE59" s="151" t="str">
        <f aca="false">IF(ISNUMBER(B59),B59*(1+1/'13_Mapa_Liq'!$B$19-'13_Mapa_Liq'!$B$6),"")</f>
        <v/>
      </c>
      <c r="AF59" s="151" t="n">
        <f aca="false">IF(ISNUMBER(B59),IF(L59&lt;AE59,J59*'13_Mapa_Liq'!$C$19,0),0)</f>
        <v>0</v>
      </c>
      <c r="AG59" s="151"/>
      <c r="AH59" s="151" t="n">
        <f aca="false">IF(ISNUMBER(B59),E59*F59*((K59&lt;=M59)*'13_Mapa_Liq'!$C$15+(K59&lt;=Q59)*'13_Mapa_Liq'!$C$16+(K59&lt;=U59)*'13_Mapa_Liq'!$C$17+(K59&lt;=Y59)*'13_Mapa_Liq'!$C$18+(K59&lt;=AC59)*'13_Mapa_Liq'!$C$19),0)</f>
        <v>0</v>
      </c>
      <c r="AI59" s="151" t="n">
        <f aca="false">IF(ISNUMBER(B59),E59*(1-F59)*((L59&gt;=O59)*'13_Mapa_Liq'!$C$15+(L59&gt;=S59)*'13_Mapa_Liq'!$C$16+(L59&gt;=W59)*'13_Mapa_Liq'!$C$17+(L59&gt;=AA59)*'13_Mapa_Liq'!$C$18+(L59&gt;=AE59)*'13_Mapa_Liq'!$C$19),0)</f>
        <v>0</v>
      </c>
    </row>
    <row r="60" customFormat="false" ht="15" hidden="false" customHeight="false" outlineLevel="0" collapsed="false">
      <c r="A60" s="151" t="str">
        <f aca="false">IF(ISNUMBER('12_Datos_5m'!F60),ROW()-4,"")</f>
        <v/>
      </c>
      <c r="B60" s="151" t="str">
        <f aca="false">IF(ISNUMBER('12_Datos_5m'!F60),'12_Datos_5m'!F60,"")</f>
        <v/>
      </c>
      <c r="C60" s="151" t="str">
        <f aca="false">IF(ISNUMBER('12_Datos_5m'!A60),'12_Datos_5m'!A60,"")</f>
        <v/>
      </c>
      <c r="D60" s="151" t="n">
        <f aca="false">IF(AND(ISNUMBER('12_Datos_5m'!I60),ISNUMBER('12_Datos_5m'!I59)),'12_Datos_5m'!I60-'12_Datos_5m'!I59,0)</f>
        <v>0</v>
      </c>
      <c r="E60" s="151" t="n">
        <f aca="false">MAX(0,D60)</f>
        <v>0</v>
      </c>
      <c r="F60" s="151" t="n">
        <f aca="false">IF(AND(ISNUMBER('12_Datos_5m'!G60),N('12_Datos_5m'!G60)&gt;0),'12_Datos_5m'!H60/'12_Datos_5m'!G60,0.5)</f>
        <v>0.5</v>
      </c>
      <c r="G60" s="151" t="n">
        <f aca="false">IF(ISNUMBER(C60),($C$2-C60)/3600000,0)</f>
        <v>0</v>
      </c>
      <c r="H60" s="151" t="n">
        <f aca="false">EXP(-G60/'13_Mapa_Liq'!$B$7)</f>
        <v>1</v>
      </c>
      <c r="I60" s="151" t="n">
        <f aca="false">E60*F60*H60</f>
        <v>0</v>
      </c>
      <c r="J60" s="151" t="n">
        <f aca="false">E60*(1-F60)*H60</f>
        <v>0</v>
      </c>
      <c r="K60" s="151" t="n">
        <f aca="false">IF(COUNT('12_Datos_5m'!E61:E$504)=0,1000000000000,MIN('12_Datos_5m'!E61:E$504))</f>
        <v>1000000000000</v>
      </c>
      <c r="L60" s="151" t="n">
        <f aca="false">IF(COUNT('12_Datos_5m'!D61:D$504)=0,0,MAX('12_Datos_5m'!D61:D$504))</f>
        <v>0</v>
      </c>
      <c r="M60" s="151" t="str">
        <f aca="false">IF(ISNUMBER(B60),B60*(1-1/'13_Mapa_Liq'!$B$15+'13_Mapa_Liq'!$B$6),"")</f>
        <v/>
      </c>
      <c r="N60" s="151" t="n">
        <f aca="false">IF(ISNUMBER(B60),IF(K60&gt;M60,I60*'13_Mapa_Liq'!$C$15,0),0)</f>
        <v>0</v>
      </c>
      <c r="O60" s="151" t="str">
        <f aca="false">IF(ISNUMBER(B60),B60*(1+1/'13_Mapa_Liq'!$B$15-'13_Mapa_Liq'!$B$6),"")</f>
        <v/>
      </c>
      <c r="P60" s="151" t="n">
        <f aca="false">IF(ISNUMBER(B60),IF(L60&lt;O60,J60*'13_Mapa_Liq'!$C$15,0),0)</f>
        <v>0</v>
      </c>
      <c r="Q60" s="151" t="str">
        <f aca="false">IF(ISNUMBER(B60),B60*(1-1/'13_Mapa_Liq'!$B$16+'13_Mapa_Liq'!$B$6),"")</f>
        <v/>
      </c>
      <c r="R60" s="151" t="n">
        <f aca="false">IF(ISNUMBER(B60),IF(K60&gt;Q60,I60*'13_Mapa_Liq'!$C$16,0),0)</f>
        <v>0</v>
      </c>
      <c r="S60" s="151" t="str">
        <f aca="false">IF(ISNUMBER(B60),B60*(1+1/'13_Mapa_Liq'!$B$16-'13_Mapa_Liq'!$B$6),"")</f>
        <v/>
      </c>
      <c r="T60" s="151" t="n">
        <f aca="false">IF(ISNUMBER(B60),IF(L60&lt;S60,J60*'13_Mapa_Liq'!$C$16,0),0)</f>
        <v>0</v>
      </c>
      <c r="U60" s="151" t="str">
        <f aca="false">IF(ISNUMBER(B60),B60*(1-1/'13_Mapa_Liq'!$B$17+'13_Mapa_Liq'!$B$6),"")</f>
        <v/>
      </c>
      <c r="V60" s="151" t="n">
        <f aca="false">IF(ISNUMBER(B60),IF(K60&gt;U60,I60*'13_Mapa_Liq'!$C$17,0),0)</f>
        <v>0</v>
      </c>
      <c r="W60" s="151" t="str">
        <f aca="false">IF(ISNUMBER(B60),B60*(1+1/'13_Mapa_Liq'!$B$17-'13_Mapa_Liq'!$B$6),"")</f>
        <v/>
      </c>
      <c r="X60" s="151" t="n">
        <f aca="false">IF(ISNUMBER(B60),IF(L60&lt;W60,J60*'13_Mapa_Liq'!$C$17,0),0)</f>
        <v>0</v>
      </c>
      <c r="Y60" s="151" t="str">
        <f aca="false">IF(ISNUMBER(B60),B60*(1-1/'13_Mapa_Liq'!$B$18+'13_Mapa_Liq'!$B$6),"")</f>
        <v/>
      </c>
      <c r="Z60" s="151" t="n">
        <f aca="false">IF(ISNUMBER(B60),IF(K60&gt;Y60,I60*'13_Mapa_Liq'!$C$18,0),0)</f>
        <v>0</v>
      </c>
      <c r="AA60" s="151" t="str">
        <f aca="false">IF(ISNUMBER(B60),B60*(1+1/'13_Mapa_Liq'!$B$18-'13_Mapa_Liq'!$B$6),"")</f>
        <v/>
      </c>
      <c r="AB60" s="151" t="n">
        <f aca="false">IF(ISNUMBER(B60),IF(L60&lt;AA60,J60*'13_Mapa_Liq'!$C$18,0),0)</f>
        <v>0</v>
      </c>
      <c r="AC60" s="151" t="str">
        <f aca="false">IF(ISNUMBER(B60),B60*(1-1/'13_Mapa_Liq'!$B$19+'13_Mapa_Liq'!$B$6),"")</f>
        <v/>
      </c>
      <c r="AD60" s="151" t="n">
        <f aca="false">IF(ISNUMBER(B60),IF(K60&gt;AC60,I60*'13_Mapa_Liq'!$C$19,0),0)</f>
        <v>0</v>
      </c>
      <c r="AE60" s="151" t="str">
        <f aca="false">IF(ISNUMBER(B60),B60*(1+1/'13_Mapa_Liq'!$B$19-'13_Mapa_Liq'!$B$6),"")</f>
        <v/>
      </c>
      <c r="AF60" s="151" t="n">
        <f aca="false">IF(ISNUMBER(B60),IF(L60&lt;AE60,J60*'13_Mapa_Liq'!$C$19,0),0)</f>
        <v>0</v>
      </c>
      <c r="AG60" s="151"/>
      <c r="AH60" s="151" t="n">
        <f aca="false">IF(ISNUMBER(B60),E60*F60*((K60&lt;=M60)*'13_Mapa_Liq'!$C$15+(K60&lt;=Q60)*'13_Mapa_Liq'!$C$16+(K60&lt;=U60)*'13_Mapa_Liq'!$C$17+(K60&lt;=Y60)*'13_Mapa_Liq'!$C$18+(K60&lt;=AC60)*'13_Mapa_Liq'!$C$19),0)</f>
        <v>0</v>
      </c>
      <c r="AI60" s="151" t="n">
        <f aca="false">IF(ISNUMBER(B60),E60*(1-F60)*((L60&gt;=O60)*'13_Mapa_Liq'!$C$15+(L60&gt;=S60)*'13_Mapa_Liq'!$C$16+(L60&gt;=W60)*'13_Mapa_Liq'!$C$17+(L60&gt;=AA60)*'13_Mapa_Liq'!$C$18+(L60&gt;=AE60)*'13_Mapa_Liq'!$C$19),0)</f>
        <v>0</v>
      </c>
    </row>
    <row r="61" customFormat="false" ht="15" hidden="false" customHeight="false" outlineLevel="0" collapsed="false">
      <c r="A61" s="151" t="str">
        <f aca="false">IF(ISNUMBER('12_Datos_5m'!F61),ROW()-4,"")</f>
        <v/>
      </c>
      <c r="B61" s="151" t="str">
        <f aca="false">IF(ISNUMBER('12_Datos_5m'!F61),'12_Datos_5m'!F61,"")</f>
        <v/>
      </c>
      <c r="C61" s="151" t="str">
        <f aca="false">IF(ISNUMBER('12_Datos_5m'!A61),'12_Datos_5m'!A61,"")</f>
        <v/>
      </c>
      <c r="D61" s="151" t="n">
        <f aca="false">IF(AND(ISNUMBER('12_Datos_5m'!I61),ISNUMBER('12_Datos_5m'!I60)),'12_Datos_5m'!I61-'12_Datos_5m'!I60,0)</f>
        <v>0</v>
      </c>
      <c r="E61" s="151" t="n">
        <f aca="false">MAX(0,D61)</f>
        <v>0</v>
      </c>
      <c r="F61" s="151" t="n">
        <f aca="false">IF(AND(ISNUMBER('12_Datos_5m'!G61),N('12_Datos_5m'!G61)&gt;0),'12_Datos_5m'!H61/'12_Datos_5m'!G61,0.5)</f>
        <v>0.5</v>
      </c>
      <c r="G61" s="151" t="n">
        <f aca="false">IF(ISNUMBER(C61),($C$2-C61)/3600000,0)</f>
        <v>0</v>
      </c>
      <c r="H61" s="151" t="n">
        <f aca="false">EXP(-G61/'13_Mapa_Liq'!$B$7)</f>
        <v>1</v>
      </c>
      <c r="I61" s="151" t="n">
        <f aca="false">E61*F61*H61</f>
        <v>0</v>
      </c>
      <c r="J61" s="151" t="n">
        <f aca="false">E61*(1-F61)*H61</f>
        <v>0</v>
      </c>
      <c r="K61" s="151" t="n">
        <f aca="false">IF(COUNT('12_Datos_5m'!E62:E$504)=0,1000000000000,MIN('12_Datos_5m'!E62:E$504))</f>
        <v>1000000000000</v>
      </c>
      <c r="L61" s="151" t="n">
        <f aca="false">IF(COUNT('12_Datos_5m'!D62:D$504)=0,0,MAX('12_Datos_5m'!D62:D$504))</f>
        <v>0</v>
      </c>
      <c r="M61" s="151" t="str">
        <f aca="false">IF(ISNUMBER(B61),B61*(1-1/'13_Mapa_Liq'!$B$15+'13_Mapa_Liq'!$B$6),"")</f>
        <v/>
      </c>
      <c r="N61" s="151" t="n">
        <f aca="false">IF(ISNUMBER(B61),IF(K61&gt;M61,I61*'13_Mapa_Liq'!$C$15,0),0)</f>
        <v>0</v>
      </c>
      <c r="O61" s="151" t="str">
        <f aca="false">IF(ISNUMBER(B61),B61*(1+1/'13_Mapa_Liq'!$B$15-'13_Mapa_Liq'!$B$6),"")</f>
        <v/>
      </c>
      <c r="P61" s="151" t="n">
        <f aca="false">IF(ISNUMBER(B61),IF(L61&lt;O61,J61*'13_Mapa_Liq'!$C$15,0),0)</f>
        <v>0</v>
      </c>
      <c r="Q61" s="151" t="str">
        <f aca="false">IF(ISNUMBER(B61),B61*(1-1/'13_Mapa_Liq'!$B$16+'13_Mapa_Liq'!$B$6),"")</f>
        <v/>
      </c>
      <c r="R61" s="151" t="n">
        <f aca="false">IF(ISNUMBER(B61),IF(K61&gt;Q61,I61*'13_Mapa_Liq'!$C$16,0),0)</f>
        <v>0</v>
      </c>
      <c r="S61" s="151" t="str">
        <f aca="false">IF(ISNUMBER(B61),B61*(1+1/'13_Mapa_Liq'!$B$16-'13_Mapa_Liq'!$B$6),"")</f>
        <v/>
      </c>
      <c r="T61" s="151" t="n">
        <f aca="false">IF(ISNUMBER(B61),IF(L61&lt;S61,J61*'13_Mapa_Liq'!$C$16,0),0)</f>
        <v>0</v>
      </c>
      <c r="U61" s="151" t="str">
        <f aca="false">IF(ISNUMBER(B61),B61*(1-1/'13_Mapa_Liq'!$B$17+'13_Mapa_Liq'!$B$6),"")</f>
        <v/>
      </c>
      <c r="V61" s="151" t="n">
        <f aca="false">IF(ISNUMBER(B61),IF(K61&gt;U61,I61*'13_Mapa_Liq'!$C$17,0),0)</f>
        <v>0</v>
      </c>
      <c r="W61" s="151" t="str">
        <f aca="false">IF(ISNUMBER(B61),B61*(1+1/'13_Mapa_Liq'!$B$17-'13_Mapa_Liq'!$B$6),"")</f>
        <v/>
      </c>
      <c r="X61" s="151" t="n">
        <f aca="false">IF(ISNUMBER(B61),IF(L61&lt;W61,J61*'13_Mapa_Liq'!$C$17,0),0)</f>
        <v>0</v>
      </c>
      <c r="Y61" s="151" t="str">
        <f aca="false">IF(ISNUMBER(B61),B61*(1-1/'13_Mapa_Liq'!$B$18+'13_Mapa_Liq'!$B$6),"")</f>
        <v/>
      </c>
      <c r="Z61" s="151" t="n">
        <f aca="false">IF(ISNUMBER(B61),IF(K61&gt;Y61,I61*'13_Mapa_Liq'!$C$18,0),0)</f>
        <v>0</v>
      </c>
      <c r="AA61" s="151" t="str">
        <f aca="false">IF(ISNUMBER(B61),B61*(1+1/'13_Mapa_Liq'!$B$18-'13_Mapa_Liq'!$B$6),"")</f>
        <v/>
      </c>
      <c r="AB61" s="151" t="n">
        <f aca="false">IF(ISNUMBER(B61),IF(L61&lt;AA61,J61*'13_Mapa_Liq'!$C$18,0),0)</f>
        <v>0</v>
      </c>
      <c r="AC61" s="151" t="str">
        <f aca="false">IF(ISNUMBER(B61),B61*(1-1/'13_Mapa_Liq'!$B$19+'13_Mapa_Liq'!$B$6),"")</f>
        <v/>
      </c>
      <c r="AD61" s="151" t="n">
        <f aca="false">IF(ISNUMBER(B61),IF(K61&gt;AC61,I61*'13_Mapa_Liq'!$C$19,0),0)</f>
        <v>0</v>
      </c>
      <c r="AE61" s="151" t="str">
        <f aca="false">IF(ISNUMBER(B61),B61*(1+1/'13_Mapa_Liq'!$B$19-'13_Mapa_Liq'!$B$6),"")</f>
        <v/>
      </c>
      <c r="AF61" s="151" t="n">
        <f aca="false">IF(ISNUMBER(B61),IF(L61&lt;AE61,J61*'13_Mapa_Liq'!$C$19,0),0)</f>
        <v>0</v>
      </c>
      <c r="AG61" s="151"/>
      <c r="AH61" s="151" t="n">
        <f aca="false">IF(ISNUMBER(B61),E61*F61*((K61&lt;=M61)*'13_Mapa_Liq'!$C$15+(K61&lt;=Q61)*'13_Mapa_Liq'!$C$16+(K61&lt;=U61)*'13_Mapa_Liq'!$C$17+(K61&lt;=Y61)*'13_Mapa_Liq'!$C$18+(K61&lt;=AC61)*'13_Mapa_Liq'!$C$19),0)</f>
        <v>0</v>
      </c>
      <c r="AI61" s="151" t="n">
        <f aca="false">IF(ISNUMBER(B61),E61*(1-F61)*((L61&gt;=O61)*'13_Mapa_Liq'!$C$15+(L61&gt;=S61)*'13_Mapa_Liq'!$C$16+(L61&gt;=W61)*'13_Mapa_Liq'!$C$17+(L61&gt;=AA61)*'13_Mapa_Liq'!$C$18+(L61&gt;=AE61)*'13_Mapa_Liq'!$C$19),0)</f>
        <v>0</v>
      </c>
    </row>
    <row r="62" customFormat="false" ht="15" hidden="false" customHeight="false" outlineLevel="0" collapsed="false">
      <c r="A62" s="151" t="str">
        <f aca="false">IF(ISNUMBER('12_Datos_5m'!F62),ROW()-4,"")</f>
        <v/>
      </c>
      <c r="B62" s="151" t="str">
        <f aca="false">IF(ISNUMBER('12_Datos_5m'!F62),'12_Datos_5m'!F62,"")</f>
        <v/>
      </c>
      <c r="C62" s="151" t="str">
        <f aca="false">IF(ISNUMBER('12_Datos_5m'!A62),'12_Datos_5m'!A62,"")</f>
        <v/>
      </c>
      <c r="D62" s="151" t="n">
        <f aca="false">IF(AND(ISNUMBER('12_Datos_5m'!I62),ISNUMBER('12_Datos_5m'!I61)),'12_Datos_5m'!I62-'12_Datos_5m'!I61,0)</f>
        <v>0</v>
      </c>
      <c r="E62" s="151" t="n">
        <f aca="false">MAX(0,D62)</f>
        <v>0</v>
      </c>
      <c r="F62" s="151" t="n">
        <f aca="false">IF(AND(ISNUMBER('12_Datos_5m'!G62),N('12_Datos_5m'!G62)&gt;0),'12_Datos_5m'!H62/'12_Datos_5m'!G62,0.5)</f>
        <v>0.5</v>
      </c>
      <c r="G62" s="151" t="n">
        <f aca="false">IF(ISNUMBER(C62),($C$2-C62)/3600000,0)</f>
        <v>0</v>
      </c>
      <c r="H62" s="151" t="n">
        <f aca="false">EXP(-G62/'13_Mapa_Liq'!$B$7)</f>
        <v>1</v>
      </c>
      <c r="I62" s="151" t="n">
        <f aca="false">E62*F62*H62</f>
        <v>0</v>
      </c>
      <c r="J62" s="151" t="n">
        <f aca="false">E62*(1-F62)*H62</f>
        <v>0</v>
      </c>
      <c r="K62" s="151" t="n">
        <f aca="false">IF(COUNT('12_Datos_5m'!E63:E$504)=0,1000000000000,MIN('12_Datos_5m'!E63:E$504))</f>
        <v>1000000000000</v>
      </c>
      <c r="L62" s="151" t="n">
        <f aca="false">IF(COUNT('12_Datos_5m'!D63:D$504)=0,0,MAX('12_Datos_5m'!D63:D$504))</f>
        <v>0</v>
      </c>
      <c r="M62" s="151" t="str">
        <f aca="false">IF(ISNUMBER(B62),B62*(1-1/'13_Mapa_Liq'!$B$15+'13_Mapa_Liq'!$B$6),"")</f>
        <v/>
      </c>
      <c r="N62" s="151" t="n">
        <f aca="false">IF(ISNUMBER(B62),IF(K62&gt;M62,I62*'13_Mapa_Liq'!$C$15,0),0)</f>
        <v>0</v>
      </c>
      <c r="O62" s="151" t="str">
        <f aca="false">IF(ISNUMBER(B62),B62*(1+1/'13_Mapa_Liq'!$B$15-'13_Mapa_Liq'!$B$6),"")</f>
        <v/>
      </c>
      <c r="P62" s="151" t="n">
        <f aca="false">IF(ISNUMBER(B62),IF(L62&lt;O62,J62*'13_Mapa_Liq'!$C$15,0),0)</f>
        <v>0</v>
      </c>
      <c r="Q62" s="151" t="str">
        <f aca="false">IF(ISNUMBER(B62),B62*(1-1/'13_Mapa_Liq'!$B$16+'13_Mapa_Liq'!$B$6),"")</f>
        <v/>
      </c>
      <c r="R62" s="151" t="n">
        <f aca="false">IF(ISNUMBER(B62),IF(K62&gt;Q62,I62*'13_Mapa_Liq'!$C$16,0),0)</f>
        <v>0</v>
      </c>
      <c r="S62" s="151" t="str">
        <f aca="false">IF(ISNUMBER(B62),B62*(1+1/'13_Mapa_Liq'!$B$16-'13_Mapa_Liq'!$B$6),"")</f>
        <v/>
      </c>
      <c r="T62" s="151" t="n">
        <f aca="false">IF(ISNUMBER(B62),IF(L62&lt;S62,J62*'13_Mapa_Liq'!$C$16,0),0)</f>
        <v>0</v>
      </c>
      <c r="U62" s="151" t="str">
        <f aca="false">IF(ISNUMBER(B62),B62*(1-1/'13_Mapa_Liq'!$B$17+'13_Mapa_Liq'!$B$6),"")</f>
        <v/>
      </c>
      <c r="V62" s="151" t="n">
        <f aca="false">IF(ISNUMBER(B62),IF(K62&gt;U62,I62*'13_Mapa_Liq'!$C$17,0),0)</f>
        <v>0</v>
      </c>
      <c r="W62" s="151" t="str">
        <f aca="false">IF(ISNUMBER(B62),B62*(1+1/'13_Mapa_Liq'!$B$17-'13_Mapa_Liq'!$B$6),"")</f>
        <v/>
      </c>
      <c r="X62" s="151" t="n">
        <f aca="false">IF(ISNUMBER(B62),IF(L62&lt;W62,J62*'13_Mapa_Liq'!$C$17,0),0)</f>
        <v>0</v>
      </c>
      <c r="Y62" s="151" t="str">
        <f aca="false">IF(ISNUMBER(B62),B62*(1-1/'13_Mapa_Liq'!$B$18+'13_Mapa_Liq'!$B$6),"")</f>
        <v/>
      </c>
      <c r="Z62" s="151" t="n">
        <f aca="false">IF(ISNUMBER(B62),IF(K62&gt;Y62,I62*'13_Mapa_Liq'!$C$18,0),0)</f>
        <v>0</v>
      </c>
      <c r="AA62" s="151" t="str">
        <f aca="false">IF(ISNUMBER(B62),B62*(1+1/'13_Mapa_Liq'!$B$18-'13_Mapa_Liq'!$B$6),"")</f>
        <v/>
      </c>
      <c r="AB62" s="151" t="n">
        <f aca="false">IF(ISNUMBER(B62),IF(L62&lt;AA62,J62*'13_Mapa_Liq'!$C$18,0),0)</f>
        <v>0</v>
      </c>
      <c r="AC62" s="151" t="str">
        <f aca="false">IF(ISNUMBER(B62),B62*(1-1/'13_Mapa_Liq'!$B$19+'13_Mapa_Liq'!$B$6),"")</f>
        <v/>
      </c>
      <c r="AD62" s="151" t="n">
        <f aca="false">IF(ISNUMBER(B62),IF(K62&gt;AC62,I62*'13_Mapa_Liq'!$C$19,0),0)</f>
        <v>0</v>
      </c>
      <c r="AE62" s="151" t="str">
        <f aca="false">IF(ISNUMBER(B62),B62*(1+1/'13_Mapa_Liq'!$B$19-'13_Mapa_Liq'!$B$6),"")</f>
        <v/>
      </c>
      <c r="AF62" s="151" t="n">
        <f aca="false">IF(ISNUMBER(B62),IF(L62&lt;AE62,J62*'13_Mapa_Liq'!$C$19,0),0)</f>
        <v>0</v>
      </c>
      <c r="AG62" s="151"/>
      <c r="AH62" s="151" t="n">
        <f aca="false">IF(ISNUMBER(B62),E62*F62*((K62&lt;=M62)*'13_Mapa_Liq'!$C$15+(K62&lt;=Q62)*'13_Mapa_Liq'!$C$16+(K62&lt;=U62)*'13_Mapa_Liq'!$C$17+(K62&lt;=Y62)*'13_Mapa_Liq'!$C$18+(K62&lt;=AC62)*'13_Mapa_Liq'!$C$19),0)</f>
        <v>0</v>
      </c>
      <c r="AI62" s="151" t="n">
        <f aca="false">IF(ISNUMBER(B62),E62*(1-F62)*((L62&gt;=O62)*'13_Mapa_Liq'!$C$15+(L62&gt;=S62)*'13_Mapa_Liq'!$C$16+(L62&gt;=W62)*'13_Mapa_Liq'!$C$17+(L62&gt;=AA62)*'13_Mapa_Liq'!$C$18+(L62&gt;=AE62)*'13_Mapa_Liq'!$C$19),0)</f>
        <v>0</v>
      </c>
    </row>
    <row r="63" customFormat="false" ht="15" hidden="false" customHeight="false" outlineLevel="0" collapsed="false">
      <c r="A63" s="151" t="str">
        <f aca="false">IF(ISNUMBER('12_Datos_5m'!F63),ROW()-4,"")</f>
        <v/>
      </c>
      <c r="B63" s="151" t="str">
        <f aca="false">IF(ISNUMBER('12_Datos_5m'!F63),'12_Datos_5m'!F63,"")</f>
        <v/>
      </c>
      <c r="C63" s="151" t="str">
        <f aca="false">IF(ISNUMBER('12_Datos_5m'!A63),'12_Datos_5m'!A63,"")</f>
        <v/>
      </c>
      <c r="D63" s="151" t="n">
        <f aca="false">IF(AND(ISNUMBER('12_Datos_5m'!I63),ISNUMBER('12_Datos_5m'!I62)),'12_Datos_5m'!I63-'12_Datos_5m'!I62,0)</f>
        <v>0</v>
      </c>
      <c r="E63" s="151" t="n">
        <f aca="false">MAX(0,D63)</f>
        <v>0</v>
      </c>
      <c r="F63" s="151" t="n">
        <f aca="false">IF(AND(ISNUMBER('12_Datos_5m'!G63),N('12_Datos_5m'!G63)&gt;0),'12_Datos_5m'!H63/'12_Datos_5m'!G63,0.5)</f>
        <v>0.5</v>
      </c>
      <c r="G63" s="151" t="n">
        <f aca="false">IF(ISNUMBER(C63),($C$2-C63)/3600000,0)</f>
        <v>0</v>
      </c>
      <c r="H63" s="151" t="n">
        <f aca="false">EXP(-G63/'13_Mapa_Liq'!$B$7)</f>
        <v>1</v>
      </c>
      <c r="I63" s="151" t="n">
        <f aca="false">E63*F63*H63</f>
        <v>0</v>
      </c>
      <c r="J63" s="151" t="n">
        <f aca="false">E63*(1-F63)*H63</f>
        <v>0</v>
      </c>
      <c r="K63" s="151" t="n">
        <f aca="false">IF(COUNT('12_Datos_5m'!E64:E$504)=0,1000000000000,MIN('12_Datos_5m'!E64:E$504))</f>
        <v>1000000000000</v>
      </c>
      <c r="L63" s="151" t="n">
        <f aca="false">IF(COUNT('12_Datos_5m'!D64:D$504)=0,0,MAX('12_Datos_5m'!D64:D$504))</f>
        <v>0</v>
      </c>
      <c r="M63" s="151" t="str">
        <f aca="false">IF(ISNUMBER(B63),B63*(1-1/'13_Mapa_Liq'!$B$15+'13_Mapa_Liq'!$B$6),"")</f>
        <v/>
      </c>
      <c r="N63" s="151" t="n">
        <f aca="false">IF(ISNUMBER(B63),IF(K63&gt;M63,I63*'13_Mapa_Liq'!$C$15,0),0)</f>
        <v>0</v>
      </c>
      <c r="O63" s="151" t="str">
        <f aca="false">IF(ISNUMBER(B63),B63*(1+1/'13_Mapa_Liq'!$B$15-'13_Mapa_Liq'!$B$6),"")</f>
        <v/>
      </c>
      <c r="P63" s="151" t="n">
        <f aca="false">IF(ISNUMBER(B63),IF(L63&lt;O63,J63*'13_Mapa_Liq'!$C$15,0),0)</f>
        <v>0</v>
      </c>
      <c r="Q63" s="151" t="str">
        <f aca="false">IF(ISNUMBER(B63),B63*(1-1/'13_Mapa_Liq'!$B$16+'13_Mapa_Liq'!$B$6),"")</f>
        <v/>
      </c>
      <c r="R63" s="151" t="n">
        <f aca="false">IF(ISNUMBER(B63),IF(K63&gt;Q63,I63*'13_Mapa_Liq'!$C$16,0),0)</f>
        <v>0</v>
      </c>
      <c r="S63" s="151" t="str">
        <f aca="false">IF(ISNUMBER(B63),B63*(1+1/'13_Mapa_Liq'!$B$16-'13_Mapa_Liq'!$B$6),"")</f>
        <v/>
      </c>
      <c r="T63" s="151" t="n">
        <f aca="false">IF(ISNUMBER(B63),IF(L63&lt;S63,J63*'13_Mapa_Liq'!$C$16,0),0)</f>
        <v>0</v>
      </c>
      <c r="U63" s="151" t="str">
        <f aca="false">IF(ISNUMBER(B63),B63*(1-1/'13_Mapa_Liq'!$B$17+'13_Mapa_Liq'!$B$6),"")</f>
        <v/>
      </c>
      <c r="V63" s="151" t="n">
        <f aca="false">IF(ISNUMBER(B63),IF(K63&gt;U63,I63*'13_Mapa_Liq'!$C$17,0),0)</f>
        <v>0</v>
      </c>
      <c r="W63" s="151" t="str">
        <f aca="false">IF(ISNUMBER(B63),B63*(1+1/'13_Mapa_Liq'!$B$17-'13_Mapa_Liq'!$B$6),"")</f>
        <v/>
      </c>
      <c r="X63" s="151" t="n">
        <f aca="false">IF(ISNUMBER(B63),IF(L63&lt;W63,J63*'13_Mapa_Liq'!$C$17,0),0)</f>
        <v>0</v>
      </c>
      <c r="Y63" s="151" t="str">
        <f aca="false">IF(ISNUMBER(B63),B63*(1-1/'13_Mapa_Liq'!$B$18+'13_Mapa_Liq'!$B$6),"")</f>
        <v/>
      </c>
      <c r="Z63" s="151" t="n">
        <f aca="false">IF(ISNUMBER(B63),IF(K63&gt;Y63,I63*'13_Mapa_Liq'!$C$18,0),0)</f>
        <v>0</v>
      </c>
      <c r="AA63" s="151" t="str">
        <f aca="false">IF(ISNUMBER(B63),B63*(1+1/'13_Mapa_Liq'!$B$18-'13_Mapa_Liq'!$B$6),"")</f>
        <v/>
      </c>
      <c r="AB63" s="151" t="n">
        <f aca="false">IF(ISNUMBER(B63),IF(L63&lt;AA63,J63*'13_Mapa_Liq'!$C$18,0),0)</f>
        <v>0</v>
      </c>
      <c r="AC63" s="151" t="str">
        <f aca="false">IF(ISNUMBER(B63),B63*(1-1/'13_Mapa_Liq'!$B$19+'13_Mapa_Liq'!$B$6),"")</f>
        <v/>
      </c>
      <c r="AD63" s="151" t="n">
        <f aca="false">IF(ISNUMBER(B63),IF(K63&gt;AC63,I63*'13_Mapa_Liq'!$C$19,0),0)</f>
        <v>0</v>
      </c>
      <c r="AE63" s="151" t="str">
        <f aca="false">IF(ISNUMBER(B63),B63*(1+1/'13_Mapa_Liq'!$B$19-'13_Mapa_Liq'!$B$6),"")</f>
        <v/>
      </c>
      <c r="AF63" s="151" t="n">
        <f aca="false">IF(ISNUMBER(B63),IF(L63&lt;AE63,J63*'13_Mapa_Liq'!$C$19,0),0)</f>
        <v>0</v>
      </c>
      <c r="AG63" s="151"/>
      <c r="AH63" s="151" t="n">
        <f aca="false">IF(ISNUMBER(B63),E63*F63*((K63&lt;=M63)*'13_Mapa_Liq'!$C$15+(K63&lt;=Q63)*'13_Mapa_Liq'!$C$16+(K63&lt;=U63)*'13_Mapa_Liq'!$C$17+(K63&lt;=Y63)*'13_Mapa_Liq'!$C$18+(K63&lt;=AC63)*'13_Mapa_Liq'!$C$19),0)</f>
        <v>0</v>
      </c>
      <c r="AI63" s="151" t="n">
        <f aca="false">IF(ISNUMBER(B63),E63*(1-F63)*((L63&gt;=O63)*'13_Mapa_Liq'!$C$15+(L63&gt;=S63)*'13_Mapa_Liq'!$C$16+(L63&gt;=W63)*'13_Mapa_Liq'!$C$17+(L63&gt;=AA63)*'13_Mapa_Liq'!$C$18+(L63&gt;=AE63)*'13_Mapa_Liq'!$C$19),0)</f>
        <v>0</v>
      </c>
    </row>
    <row r="64" customFormat="false" ht="15" hidden="false" customHeight="false" outlineLevel="0" collapsed="false">
      <c r="A64" s="151" t="str">
        <f aca="false">IF(ISNUMBER('12_Datos_5m'!F64),ROW()-4,"")</f>
        <v/>
      </c>
      <c r="B64" s="151" t="str">
        <f aca="false">IF(ISNUMBER('12_Datos_5m'!F64),'12_Datos_5m'!F64,"")</f>
        <v/>
      </c>
      <c r="C64" s="151" t="str">
        <f aca="false">IF(ISNUMBER('12_Datos_5m'!A64),'12_Datos_5m'!A64,"")</f>
        <v/>
      </c>
      <c r="D64" s="151" t="n">
        <f aca="false">IF(AND(ISNUMBER('12_Datos_5m'!I64),ISNUMBER('12_Datos_5m'!I63)),'12_Datos_5m'!I64-'12_Datos_5m'!I63,0)</f>
        <v>0</v>
      </c>
      <c r="E64" s="151" t="n">
        <f aca="false">MAX(0,D64)</f>
        <v>0</v>
      </c>
      <c r="F64" s="151" t="n">
        <f aca="false">IF(AND(ISNUMBER('12_Datos_5m'!G64),N('12_Datos_5m'!G64)&gt;0),'12_Datos_5m'!H64/'12_Datos_5m'!G64,0.5)</f>
        <v>0.5</v>
      </c>
      <c r="G64" s="151" t="n">
        <f aca="false">IF(ISNUMBER(C64),($C$2-C64)/3600000,0)</f>
        <v>0</v>
      </c>
      <c r="H64" s="151" t="n">
        <f aca="false">EXP(-G64/'13_Mapa_Liq'!$B$7)</f>
        <v>1</v>
      </c>
      <c r="I64" s="151" t="n">
        <f aca="false">E64*F64*H64</f>
        <v>0</v>
      </c>
      <c r="J64" s="151" t="n">
        <f aca="false">E64*(1-F64)*H64</f>
        <v>0</v>
      </c>
      <c r="K64" s="151" t="n">
        <f aca="false">IF(COUNT('12_Datos_5m'!E65:E$504)=0,1000000000000,MIN('12_Datos_5m'!E65:E$504))</f>
        <v>1000000000000</v>
      </c>
      <c r="L64" s="151" t="n">
        <f aca="false">IF(COUNT('12_Datos_5m'!D65:D$504)=0,0,MAX('12_Datos_5m'!D65:D$504))</f>
        <v>0</v>
      </c>
      <c r="M64" s="151" t="str">
        <f aca="false">IF(ISNUMBER(B64),B64*(1-1/'13_Mapa_Liq'!$B$15+'13_Mapa_Liq'!$B$6),"")</f>
        <v/>
      </c>
      <c r="N64" s="151" t="n">
        <f aca="false">IF(ISNUMBER(B64),IF(K64&gt;M64,I64*'13_Mapa_Liq'!$C$15,0),0)</f>
        <v>0</v>
      </c>
      <c r="O64" s="151" t="str">
        <f aca="false">IF(ISNUMBER(B64),B64*(1+1/'13_Mapa_Liq'!$B$15-'13_Mapa_Liq'!$B$6),"")</f>
        <v/>
      </c>
      <c r="P64" s="151" t="n">
        <f aca="false">IF(ISNUMBER(B64),IF(L64&lt;O64,J64*'13_Mapa_Liq'!$C$15,0),0)</f>
        <v>0</v>
      </c>
      <c r="Q64" s="151" t="str">
        <f aca="false">IF(ISNUMBER(B64),B64*(1-1/'13_Mapa_Liq'!$B$16+'13_Mapa_Liq'!$B$6),"")</f>
        <v/>
      </c>
      <c r="R64" s="151" t="n">
        <f aca="false">IF(ISNUMBER(B64),IF(K64&gt;Q64,I64*'13_Mapa_Liq'!$C$16,0),0)</f>
        <v>0</v>
      </c>
      <c r="S64" s="151" t="str">
        <f aca="false">IF(ISNUMBER(B64),B64*(1+1/'13_Mapa_Liq'!$B$16-'13_Mapa_Liq'!$B$6),"")</f>
        <v/>
      </c>
      <c r="T64" s="151" t="n">
        <f aca="false">IF(ISNUMBER(B64),IF(L64&lt;S64,J64*'13_Mapa_Liq'!$C$16,0),0)</f>
        <v>0</v>
      </c>
      <c r="U64" s="151" t="str">
        <f aca="false">IF(ISNUMBER(B64),B64*(1-1/'13_Mapa_Liq'!$B$17+'13_Mapa_Liq'!$B$6),"")</f>
        <v/>
      </c>
      <c r="V64" s="151" t="n">
        <f aca="false">IF(ISNUMBER(B64),IF(K64&gt;U64,I64*'13_Mapa_Liq'!$C$17,0),0)</f>
        <v>0</v>
      </c>
      <c r="W64" s="151" t="str">
        <f aca="false">IF(ISNUMBER(B64),B64*(1+1/'13_Mapa_Liq'!$B$17-'13_Mapa_Liq'!$B$6),"")</f>
        <v/>
      </c>
      <c r="X64" s="151" t="n">
        <f aca="false">IF(ISNUMBER(B64),IF(L64&lt;W64,J64*'13_Mapa_Liq'!$C$17,0),0)</f>
        <v>0</v>
      </c>
      <c r="Y64" s="151" t="str">
        <f aca="false">IF(ISNUMBER(B64),B64*(1-1/'13_Mapa_Liq'!$B$18+'13_Mapa_Liq'!$B$6),"")</f>
        <v/>
      </c>
      <c r="Z64" s="151" t="n">
        <f aca="false">IF(ISNUMBER(B64),IF(K64&gt;Y64,I64*'13_Mapa_Liq'!$C$18,0),0)</f>
        <v>0</v>
      </c>
      <c r="AA64" s="151" t="str">
        <f aca="false">IF(ISNUMBER(B64),B64*(1+1/'13_Mapa_Liq'!$B$18-'13_Mapa_Liq'!$B$6),"")</f>
        <v/>
      </c>
      <c r="AB64" s="151" t="n">
        <f aca="false">IF(ISNUMBER(B64),IF(L64&lt;AA64,J64*'13_Mapa_Liq'!$C$18,0),0)</f>
        <v>0</v>
      </c>
      <c r="AC64" s="151" t="str">
        <f aca="false">IF(ISNUMBER(B64),B64*(1-1/'13_Mapa_Liq'!$B$19+'13_Mapa_Liq'!$B$6),"")</f>
        <v/>
      </c>
      <c r="AD64" s="151" t="n">
        <f aca="false">IF(ISNUMBER(B64),IF(K64&gt;AC64,I64*'13_Mapa_Liq'!$C$19,0),0)</f>
        <v>0</v>
      </c>
      <c r="AE64" s="151" t="str">
        <f aca="false">IF(ISNUMBER(B64),B64*(1+1/'13_Mapa_Liq'!$B$19-'13_Mapa_Liq'!$B$6),"")</f>
        <v/>
      </c>
      <c r="AF64" s="151" t="n">
        <f aca="false">IF(ISNUMBER(B64),IF(L64&lt;AE64,J64*'13_Mapa_Liq'!$C$19,0),0)</f>
        <v>0</v>
      </c>
      <c r="AG64" s="151"/>
      <c r="AH64" s="151" t="n">
        <f aca="false">IF(ISNUMBER(B64),E64*F64*((K64&lt;=M64)*'13_Mapa_Liq'!$C$15+(K64&lt;=Q64)*'13_Mapa_Liq'!$C$16+(K64&lt;=U64)*'13_Mapa_Liq'!$C$17+(K64&lt;=Y64)*'13_Mapa_Liq'!$C$18+(K64&lt;=AC64)*'13_Mapa_Liq'!$C$19),0)</f>
        <v>0</v>
      </c>
      <c r="AI64" s="151" t="n">
        <f aca="false">IF(ISNUMBER(B64),E64*(1-F64)*((L64&gt;=O64)*'13_Mapa_Liq'!$C$15+(L64&gt;=S64)*'13_Mapa_Liq'!$C$16+(L64&gt;=W64)*'13_Mapa_Liq'!$C$17+(L64&gt;=AA64)*'13_Mapa_Liq'!$C$18+(L64&gt;=AE64)*'13_Mapa_Liq'!$C$19),0)</f>
        <v>0</v>
      </c>
    </row>
    <row r="65" customFormat="false" ht="15" hidden="false" customHeight="false" outlineLevel="0" collapsed="false">
      <c r="A65" s="151" t="str">
        <f aca="false">IF(ISNUMBER('12_Datos_5m'!F65),ROW()-4,"")</f>
        <v/>
      </c>
      <c r="B65" s="151" t="str">
        <f aca="false">IF(ISNUMBER('12_Datos_5m'!F65),'12_Datos_5m'!F65,"")</f>
        <v/>
      </c>
      <c r="C65" s="151" t="str">
        <f aca="false">IF(ISNUMBER('12_Datos_5m'!A65),'12_Datos_5m'!A65,"")</f>
        <v/>
      </c>
      <c r="D65" s="151" t="n">
        <f aca="false">IF(AND(ISNUMBER('12_Datos_5m'!I65),ISNUMBER('12_Datos_5m'!I64)),'12_Datos_5m'!I65-'12_Datos_5m'!I64,0)</f>
        <v>0</v>
      </c>
      <c r="E65" s="151" t="n">
        <f aca="false">MAX(0,D65)</f>
        <v>0</v>
      </c>
      <c r="F65" s="151" t="n">
        <f aca="false">IF(AND(ISNUMBER('12_Datos_5m'!G65),N('12_Datos_5m'!G65)&gt;0),'12_Datos_5m'!H65/'12_Datos_5m'!G65,0.5)</f>
        <v>0.5</v>
      </c>
      <c r="G65" s="151" t="n">
        <f aca="false">IF(ISNUMBER(C65),($C$2-C65)/3600000,0)</f>
        <v>0</v>
      </c>
      <c r="H65" s="151" t="n">
        <f aca="false">EXP(-G65/'13_Mapa_Liq'!$B$7)</f>
        <v>1</v>
      </c>
      <c r="I65" s="151" t="n">
        <f aca="false">E65*F65*H65</f>
        <v>0</v>
      </c>
      <c r="J65" s="151" t="n">
        <f aca="false">E65*(1-F65)*H65</f>
        <v>0</v>
      </c>
      <c r="K65" s="151" t="n">
        <f aca="false">IF(COUNT('12_Datos_5m'!E66:E$504)=0,1000000000000,MIN('12_Datos_5m'!E66:E$504))</f>
        <v>1000000000000</v>
      </c>
      <c r="L65" s="151" t="n">
        <f aca="false">IF(COUNT('12_Datos_5m'!D66:D$504)=0,0,MAX('12_Datos_5m'!D66:D$504))</f>
        <v>0</v>
      </c>
      <c r="M65" s="151" t="str">
        <f aca="false">IF(ISNUMBER(B65),B65*(1-1/'13_Mapa_Liq'!$B$15+'13_Mapa_Liq'!$B$6),"")</f>
        <v/>
      </c>
      <c r="N65" s="151" t="n">
        <f aca="false">IF(ISNUMBER(B65),IF(K65&gt;M65,I65*'13_Mapa_Liq'!$C$15,0),0)</f>
        <v>0</v>
      </c>
      <c r="O65" s="151" t="str">
        <f aca="false">IF(ISNUMBER(B65),B65*(1+1/'13_Mapa_Liq'!$B$15-'13_Mapa_Liq'!$B$6),"")</f>
        <v/>
      </c>
      <c r="P65" s="151" t="n">
        <f aca="false">IF(ISNUMBER(B65),IF(L65&lt;O65,J65*'13_Mapa_Liq'!$C$15,0),0)</f>
        <v>0</v>
      </c>
      <c r="Q65" s="151" t="str">
        <f aca="false">IF(ISNUMBER(B65),B65*(1-1/'13_Mapa_Liq'!$B$16+'13_Mapa_Liq'!$B$6),"")</f>
        <v/>
      </c>
      <c r="R65" s="151" t="n">
        <f aca="false">IF(ISNUMBER(B65),IF(K65&gt;Q65,I65*'13_Mapa_Liq'!$C$16,0),0)</f>
        <v>0</v>
      </c>
      <c r="S65" s="151" t="str">
        <f aca="false">IF(ISNUMBER(B65),B65*(1+1/'13_Mapa_Liq'!$B$16-'13_Mapa_Liq'!$B$6),"")</f>
        <v/>
      </c>
      <c r="T65" s="151" t="n">
        <f aca="false">IF(ISNUMBER(B65),IF(L65&lt;S65,J65*'13_Mapa_Liq'!$C$16,0),0)</f>
        <v>0</v>
      </c>
      <c r="U65" s="151" t="str">
        <f aca="false">IF(ISNUMBER(B65),B65*(1-1/'13_Mapa_Liq'!$B$17+'13_Mapa_Liq'!$B$6),"")</f>
        <v/>
      </c>
      <c r="V65" s="151" t="n">
        <f aca="false">IF(ISNUMBER(B65),IF(K65&gt;U65,I65*'13_Mapa_Liq'!$C$17,0),0)</f>
        <v>0</v>
      </c>
      <c r="W65" s="151" t="str">
        <f aca="false">IF(ISNUMBER(B65),B65*(1+1/'13_Mapa_Liq'!$B$17-'13_Mapa_Liq'!$B$6),"")</f>
        <v/>
      </c>
      <c r="X65" s="151" t="n">
        <f aca="false">IF(ISNUMBER(B65),IF(L65&lt;W65,J65*'13_Mapa_Liq'!$C$17,0),0)</f>
        <v>0</v>
      </c>
      <c r="Y65" s="151" t="str">
        <f aca="false">IF(ISNUMBER(B65),B65*(1-1/'13_Mapa_Liq'!$B$18+'13_Mapa_Liq'!$B$6),"")</f>
        <v/>
      </c>
      <c r="Z65" s="151" t="n">
        <f aca="false">IF(ISNUMBER(B65),IF(K65&gt;Y65,I65*'13_Mapa_Liq'!$C$18,0),0)</f>
        <v>0</v>
      </c>
      <c r="AA65" s="151" t="str">
        <f aca="false">IF(ISNUMBER(B65),B65*(1+1/'13_Mapa_Liq'!$B$18-'13_Mapa_Liq'!$B$6),"")</f>
        <v/>
      </c>
      <c r="AB65" s="151" t="n">
        <f aca="false">IF(ISNUMBER(B65),IF(L65&lt;AA65,J65*'13_Mapa_Liq'!$C$18,0),0)</f>
        <v>0</v>
      </c>
      <c r="AC65" s="151" t="str">
        <f aca="false">IF(ISNUMBER(B65),B65*(1-1/'13_Mapa_Liq'!$B$19+'13_Mapa_Liq'!$B$6),"")</f>
        <v/>
      </c>
      <c r="AD65" s="151" t="n">
        <f aca="false">IF(ISNUMBER(B65),IF(K65&gt;AC65,I65*'13_Mapa_Liq'!$C$19,0),0)</f>
        <v>0</v>
      </c>
      <c r="AE65" s="151" t="str">
        <f aca="false">IF(ISNUMBER(B65),B65*(1+1/'13_Mapa_Liq'!$B$19-'13_Mapa_Liq'!$B$6),"")</f>
        <v/>
      </c>
      <c r="AF65" s="151" t="n">
        <f aca="false">IF(ISNUMBER(B65),IF(L65&lt;AE65,J65*'13_Mapa_Liq'!$C$19,0),0)</f>
        <v>0</v>
      </c>
      <c r="AG65" s="151"/>
      <c r="AH65" s="151" t="n">
        <f aca="false">IF(ISNUMBER(B65),E65*F65*((K65&lt;=M65)*'13_Mapa_Liq'!$C$15+(K65&lt;=Q65)*'13_Mapa_Liq'!$C$16+(K65&lt;=U65)*'13_Mapa_Liq'!$C$17+(K65&lt;=Y65)*'13_Mapa_Liq'!$C$18+(K65&lt;=AC65)*'13_Mapa_Liq'!$C$19),0)</f>
        <v>0</v>
      </c>
      <c r="AI65" s="151" t="n">
        <f aca="false">IF(ISNUMBER(B65),E65*(1-F65)*((L65&gt;=O65)*'13_Mapa_Liq'!$C$15+(L65&gt;=S65)*'13_Mapa_Liq'!$C$16+(L65&gt;=W65)*'13_Mapa_Liq'!$C$17+(L65&gt;=AA65)*'13_Mapa_Liq'!$C$18+(L65&gt;=AE65)*'13_Mapa_Liq'!$C$19),0)</f>
        <v>0</v>
      </c>
    </row>
    <row r="66" customFormat="false" ht="15" hidden="false" customHeight="false" outlineLevel="0" collapsed="false">
      <c r="A66" s="151" t="str">
        <f aca="false">IF(ISNUMBER('12_Datos_5m'!F66),ROW()-4,"")</f>
        <v/>
      </c>
      <c r="B66" s="151" t="str">
        <f aca="false">IF(ISNUMBER('12_Datos_5m'!F66),'12_Datos_5m'!F66,"")</f>
        <v/>
      </c>
      <c r="C66" s="151" t="str">
        <f aca="false">IF(ISNUMBER('12_Datos_5m'!A66),'12_Datos_5m'!A66,"")</f>
        <v/>
      </c>
      <c r="D66" s="151" t="n">
        <f aca="false">IF(AND(ISNUMBER('12_Datos_5m'!I66),ISNUMBER('12_Datos_5m'!I65)),'12_Datos_5m'!I66-'12_Datos_5m'!I65,0)</f>
        <v>0</v>
      </c>
      <c r="E66" s="151" t="n">
        <f aca="false">MAX(0,D66)</f>
        <v>0</v>
      </c>
      <c r="F66" s="151" t="n">
        <f aca="false">IF(AND(ISNUMBER('12_Datos_5m'!G66),N('12_Datos_5m'!G66)&gt;0),'12_Datos_5m'!H66/'12_Datos_5m'!G66,0.5)</f>
        <v>0.5</v>
      </c>
      <c r="G66" s="151" t="n">
        <f aca="false">IF(ISNUMBER(C66),($C$2-C66)/3600000,0)</f>
        <v>0</v>
      </c>
      <c r="H66" s="151" t="n">
        <f aca="false">EXP(-G66/'13_Mapa_Liq'!$B$7)</f>
        <v>1</v>
      </c>
      <c r="I66" s="151" t="n">
        <f aca="false">E66*F66*H66</f>
        <v>0</v>
      </c>
      <c r="J66" s="151" t="n">
        <f aca="false">E66*(1-F66)*H66</f>
        <v>0</v>
      </c>
      <c r="K66" s="151" t="n">
        <f aca="false">IF(COUNT('12_Datos_5m'!E67:E$504)=0,1000000000000,MIN('12_Datos_5m'!E67:E$504))</f>
        <v>1000000000000</v>
      </c>
      <c r="L66" s="151" t="n">
        <f aca="false">IF(COUNT('12_Datos_5m'!D67:D$504)=0,0,MAX('12_Datos_5m'!D67:D$504))</f>
        <v>0</v>
      </c>
      <c r="M66" s="151" t="str">
        <f aca="false">IF(ISNUMBER(B66),B66*(1-1/'13_Mapa_Liq'!$B$15+'13_Mapa_Liq'!$B$6),"")</f>
        <v/>
      </c>
      <c r="N66" s="151" t="n">
        <f aca="false">IF(ISNUMBER(B66),IF(K66&gt;M66,I66*'13_Mapa_Liq'!$C$15,0),0)</f>
        <v>0</v>
      </c>
      <c r="O66" s="151" t="str">
        <f aca="false">IF(ISNUMBER(B66),B66*(1+1/'13_Mapa_Liq'!$B$15-'13_Mapa_Liq'!$B$6),"")</f>
        <v/>
      </c>
      <c r="P66" s="151" t="n">
        <f aca="false">IF(ISNUMBER(B66),IF(L66&lt;O66,J66*'13_Mapa_Liq'!$C$15,0),0)</f>
        <v>0</v>
      </c>
      <c r="Q66" s="151" t="str">
        <f aca="false">IF(ISNUMBER(B66),B66*(1-1/'13_Mapa_Liq'!$B$16+'13_Mapa_Liq'!$B$6),"")</f>
        <v/>
      </c>
      <c r="R66" s="151" t="n">
        <f aca="false">IF(ISNUMBER(B66),IF(K66&gt;Q66,I66*'13_Mapa_Liq'!$C$16,0),0)</f>
        <v>0</v>
      </c>
      <c r="S66" s="151" t="str">
        <f aca="false">IF(ISNUMBER(B66),B66*(1+1/'13_Mapa_Liq'!$B$16-'13_Mapa_Liq'!$B$6),"")</f>
        <v/>
      </c>
      <c r="T66" s="151" t="n">
        <f aca="false">IF(ISNUMBER(B66),IF(L66&lt;S66,J66*'13_Mapa_Liq'!$C$16,0),0)</f>
        <v>0</v>
      </c>
      <c r="U66" s="151" t="str">
        <f aca="false">IF(ISNUMBER(B66),B66*(1-1/'13_Mapa_Liq'!$B$17+'13_Mapa_Liq'!$B$6),"")</f>
        <v/>
      </c>
      <c r="V66" s="151" t="n">
        <f aca="false">IF(ISNUMBER(B66),IF(K66&gt;U66,I66*'13_Mapa_Liq'!$C$17,0),0)</f>
        <v>0</v>
      </c>
      <c r="W66" s="151" t="str">
        <f aca="false">IF(ISNUMBER(B66),B66*(1+1/'13_Mapa_Liq'!$B$17-'13_Mapa_Liq'!$B$6),"")</f>
        <v/>
      </c>
      <c r="X66" s="151" t="n">
        <f aca="false">IF(ISNUMBER(B66),IF(L66&lt;W66,J66*'13_Mapa_Liq'!$C$17,0),0)</f>
        <v>0</v>
      </c>
      <c r="Y66" s="151" t="str">
        <f aca="false">IF(ISNUMBER(B66),B66*(1-1/'13_Mapa_Liq'!$B$18+'13_Mapa_Liq'!$B$6),"")</f>
        <v/>
      </c>
      <c r="Z66" s="151" t="n">
        <f aca="false">IF(ISNUMBER(B66),IF(K66&gt;Y66,I66*'13_Mapa_Liq'!$C$18,0),0)</f>
        <v>0</v>
      </c>
      <c r="AA66" s="151" t="str">
        <f aca="false">IF(ISNUMBER(B66),B66*(1+1/'13_Mapa_Liq'!$B$18-'13_Mapa_Liq'!$B$6),"")</f>
        <v/>
      </c>
      <c r="AB66" s="151" t="n">
        <f aca="false">IF(ISNUMBER(B66),IF(L66&lt;AA66,J66*'13_Mapa_Liq'!$C$18,0),0)</f>
        <v>0</v>
      </c>
      <c r="AC66" s="151" t="str">
        <f aca="false">IF(ISNUMBER(B66),B66*(1-1/'13_Mapa_Liq'!$B$19+'13_Mapa_Liq'!$B$6),"")</f>
        <v/>
      </c>
      <c r="AD66" s="151" t="n">
        <f aca="false">IF(ISNUMBER(B66),IF(K66&gt;AC66,I66*'13_Mapa_Liq'!$C$19,0),0)</f>
        <v>0</v>
      </c>
      <c r="AE66" s="151" t="str">
        <f aca="false">IF(ISNUMBER(B66),B66*(1+1/'13_Mapa_Liq'!$B$19-'13_Mapa_Liq'!$B$6),"")</f>
        <v/>
      </c>
      <c r="AF66" s="151" t="n">
        <f aca="false">IF(ISNUMBER(B66),IF(L66&lt;AE66,J66*'13_Mapa_Liq'!$C$19,0),0)</f>
        <v>0</v>
      </c>
      <c r="AG66" s="151"/>
      <c r="AH66" s="151" t="n">
        <f aca="false">IF(ISNUMBER(B66),E66*F66*((K66&lt;=M66)*'13_Mapa_Liq'!$C$15+(K66&lt;=Q66)*'13_Mapa_Liq'!$C$16+(K66&lt;=U66)*'13_Mapa_Liq'!$C$17+(K66&lt;=Y66)*'13_Mapa_Liq'!$C$18+(K66&lt;=AC66)*'13_Mapa_Liq'!$C$19),0)</f>
        <v>0</v>
      </c>
      <c r="AI66" s="151" t="n">
        <f aca="false">IF(ISNUMBER(B66),E66*(1-F66)*((L66&gt;=O66)*'13_Mapa_Liq'!$C$15+(L66&gt;=S66)*'13_Mapa_Liq'!$C$16+(L66&gt;=W66)*'13_Mapa_Liq'!$C$17+(L66&gt;=AA66)*'13_Mapa_Liq'!$C$18+(L66&gt;=AE66)*'13_Mapa_Liq'!$C$19),0)</f>
        <v>0</v>
      </c>
    </row>
    <row r="67" customFormat="false" ht="15" hidden="false" customHeight="false" outlineLevel="0" collapsed="false">
      <c r="A67" s="151" t="str">
        <f aca="false">IF(ISNUMBER('12_Datos_5m'!F67),ROW()-4,"")</f>
        <v/>
      </c>
      <c r="B67" s="151" t="str">
        <f aca="false">IF(ISNUMBER('12_Datos_5m'!F67),'12_Datos_5m'!F67,"")</f>
        <v/>
      </c>
      <c r="C67" s="151" t="str">
        <f aca="false">IF(ISNUMBER('12_Datos_5m'!A67),'12_Datos_5m'!A67,"")</f>
        <v/>
      </c>
      <c r="D67" s="151" t="n">
        <f aca="false">IF(AND(ISNUMBER('12_Datos_5m'!I67),ISNUMBER('12_Datos_5m'!I66)),'12_Datos_5m'!I67-'12_Datos_5m'!I66,0)</f>
        <v>0</v>
      </c>
      <c r="E67" s="151" t="n">
        <f aca="false">MAX(0,D67)</f>
        <v>0</v>
      </c>
      <c r="F67" s="151" t="n">
        <f aca="false">IF(AND(ISNUMBER('12_Datos_5m'!G67),N('12_Datos_5m'!G67)&gt;0),'12_Datos_5m'!H67/'12_Datos_5m'!G67,0.5)</f>
        <v>0.5</v>
      </c>
      <c r="G67" s="151" t="n">
        <f aca="false">IF(ISNUMBER(C67),($C$2-C67)/3600000,0)</f>
        <v>0</v>
      </c>
      <c r="H67" s="151" t="n">
        <f aca="false">EXP(-G67/'13_Mapa_Liq'!$B$7)</f>
        <v>1</v>
      </c>
      <c r="I67" s="151" t="n">
        <f aca="false">E67*F67*H67</f>
        <v>0</v>
      </c>
      <c r="J67" s="151" t="n">
        <f aca="false">E67*(1-F67)*H67</f>
        <v>0</v>
      </c>
      <c r="K67" s="151" t="n">
        <f aca="false">IF(COUNT('12_Datos_5m'!E68:E$504)=0,1000000000000,MIN('12_Datos_5m'!E68:E$504))</f>
        <v>1000000000000</v>
      </c>
      <c r="L67" s="151" t="n">
        <f aca="false">IF(COUNT('12_Datos_5m'!D68:D$504)=0,0,MAX('12_Datos_5m'!D68:D$504))</f>
        <v>0</v>
      </c>
      <c r="M67" s="151" t="str">
        <f aca="false">IF(ISNUMBER(B67),B67*(1-1/'13_Mapa_Liq'!$B$15+'13_Mapa_Liq'!$B$6),"")</f>
        <v/>
      </c>
      <c r="N67" s="151" t="n">
        <f aca="false">IF(ISNUMBER(B67),IF(K67&gt;M67,I67*'13_Mapa_Liq'!$C$15,0),0)</f>
        <v>0</v>
      </c>
      <c r="O67" s="151" t="str">
        <f aca="false">IF(ISNUMBER(B67),B67*(1+1/'13_Mapa_Liq'!$B$15-'13_Mapa_Liq'!$B$6),"")</f>
        <v/>
      </c>
      <c r="P67" s="151" t="n">
        <f aca="false">IF(ISNUMBER(B67),IF(L67&lt;O67,J67*'13_Mapa_Liq'!$C$15,0),0)</f>
        <v>0</v>
      </c>
      <c r="Q67" s="151" t="str">
        <f aca="false">IF(ISNUMBER(B67),B67*(1-1/'13_Mapa_Liq'!$B$16+'13_Mapa_Liq'!$B$6),"")</f>
        <v/>
      </c>
      <c r="R67" s="151" t="n">
        <f aca="false">IF(ISNUMBER(B67),IF(K67&gt;Q67,I67*'13_Mapa_Liq'!$C$16,0),0)</f>
        <v>0</v>
      </c>
      <c r="S67" s="151" t="str">
        <f aca="false">IF(ISNUMBER(B67),B67*(1+1/'13_Mapa_Liq'!$B$16-'13_Mapa_Liq'!$B$6),"")</f>
        <v/>
      </c>
      <c r="T67" s="151" t="n">
        <f aca="false">IF(ISNUMBER(B67),IF(L67&lt;S67,J67*'13_Mapa_Liq'!$C$16,0),0)</f>
        <v>0</v>
      </c>
      <c r="U67" s="151" t="str">
        <f aca="false">IF(ISNUMBER(B67),B67*(1-1/'13_Mapa_Liq'!$B$17+'13_Mapa_Liq'!$B$6),"")</f>
        <v/>
      </c>
      <c r="V67" s="151" t="n">
        <f aca="false">IF(ISNUMBER(B67),IF(K67&gt;U67,I67*'13_Mapa_Liq'!$C$17,0),0)</f>
        <v>0</v>
      </c>
      <c r="W67" s="151" t="str">
        <f aca="false">IF(ISNUMBER(B67),B67*(1+1/'13_Mapa_Liq'!$B$17-'13_Mapa_Liq'!$B$6),"")</f>
        <v/>
      </c>
      <c r="X67" s="151" t="n">
        <f aca="false">IF(ISNUMBER(B67),IF(L67&lt;W67,J67*'13_Mapa_Liq'!$C$17,0),0)</f>
        <v>0</v>
      </c>
      <c r="Y67" s="151" t="str">
        <f aca="false">IF(ISNUMBER(B67),B67*(1-1/'13_Mapa_Liq'!$B$18+'13_Mapa_Liq'!$B$6),"")</f>
        <v/>
      </c>
      <c r="Z67" s="151" t="n">
        <f aca="false">IF(ISNUMBER(B67),IF(K67&gt;Y67,I67*'13_Mapa_Liq'!$C$18,0),0)</f>
        <v>0</v>
      </c>
      <c r="AA67" s="151" t="str">
        <f aca="false">IF(ISNUMBER(B67),B67*(1+1/'13_Mapa_Liq'!$B$18-'13_Mapa_Liq'!$B$6),"")</f>
        <v/>
      </c>
      <c r="AB67" s="151" t="n">
        <f aca="false">IF(ISNUMBER(B67),IF(L67&lt;AA67,J67*'13_Mapa_Liq'!$C$18,0),0)</f>
        <v>0</v>
      </c>
      <c r="AC67" s="151" t="str">
        <f aca="false">IF(ISNUMBER(B67),B67*(1-1/'13_Mapa_Liq'!$B$19+'13_Mapa_Liq'!$B$6),"")</f>
        <v/>
      </c>
      <c r="AD67" s="151" t="n">
        <f aca="false">IF(ISNUMBER(B67),IF(K67&gt;AC67,I67*'13_Mapa_Liq'!$C$19,0),0)</f>
        <v>0</v>
      </c>
      <c r="AE67" s="151" t="str">
        <f aca="false">IF(ISNUMBER(B67),B67*(1+1/'13_Mapa_Liq'!$B$19-'13_Mapa_Liq'!$B$6),"")</f>
        <v/>
      </c>
      <c r="AF67" s="151" t="n">
        <f aca="false">IF(ISNUMBER(B67),IF(L67&lt;AE67,J67*'13_Mapa_Liq'!$C$19,0),0)</f>
        <v>0</v>
      </c>
      <c r="AG67" s="151"/>
      <c r="AH67" s="151" t="n">
        <f aca="false">IF(ISNUMBER(B67),E67*F67*((K67&lt;=M67)*'13_Mapa_Liq'!$C$15+(K67&lt;=Q67)*'13_Mapa_Liq'!$C$16+(K67&lt;=U67)*'13_Mapa_Liq'!$C$17+(K67&lt;=Y67)*'13_Mapa_Liq'!$C$18+(K67&lt;=AC67)*'13_Mapa_Liq'!$C$19),0)</f>
        <v>0</v>
      </c>
      <c r="AI67" s="151" t="n">
        <f aca="false">IF(ISNUMBER(B67),E67*(1-F67)*((L67&gt;=O67)*'13_Mapa_Liq'!$C$15+(L67&gt;=S67)*'13_Mapa_Liq'!$C$16+(L67&gt;=W67)*'13_Mapa_Liq'!$C$17+(L67&gt;=AA67)*'13_Mapa_Liq'!$C$18+(L67&gt;=AE67)*'13_Mapa_Liq'!$C$19),0)</f>
        <v>0</v>
      </c>
    </row>
    <row r="68" customFormat="false" ht="15" hidden="false" customHeight="false" outlineLevel="0" collapsed="false">
      <c r="A68" s="151" t="str">
        <f aca="false">IF(ISNUMBER('12_Datos_5m'!F68),ROW()-4,"")</f>
        <v/>
      </c>
      <c r="B68" s="151" t="str">
        <f aca="false">IF(ISNUMBER('12_Datos_5m'!F68),'12_Datos_5m'!F68,"")</f>
        <v/>
      </c>
      <c r="C68" s="151" t="str">
        <f aca="false">IF(ISNUMBER('12_Datos_5m'!A68),'12_Datos_5m'!A68,"")</f>
        <v/>
      </c>
      <c r="D68" s="151" t="n">
        <f aca="false">IF(AND(ISNUMBER('12_Datos_5m'!I68),ISNUMBER('12_Datos_5m'!I67)),'12_Datos_5m'!I68-'12_Datos_5m'!I67,0)</f>
        <v>0</v>
      </c>
      <c r="E68" s="151" t="n">
        <f aca="false">MAX(0,D68)</f>
        <v>0</v>
      </c>
      <c r="F68" s="151" t="n">
        <f aca="false">IF(AND(ISNUMBER('12_Datos_5m'!G68),N('12_Datos_5m'!G68)&gt;0),'12_Datos_5m'!H68/'12_Datos_5m'!G68,0.5)</f>
        <v>0.5</v>
      </c>
      <c r="G68" s="151" t="n">
        <f aca="false">IF(ISNUMBER(C68),($C$2-C68)/3600000,0)</f>
        <v>0</v>
      </c>
      <c r="H68" s="151" t="n">
        <f aca="false">EXP(-G68/'13_Mapa_Liq'!$B$7)</f>
        <v>1</v>
      </c>
      <c r="I68" s="151" t="n">
        <f aca="false">E68*F68*H68</f>
        <v>0</v>
      </c>
      <c r="J68" s="151" t="n">
        <f aca="false">E68*(1-F68)*H68</f>
        <v>0</v>
      </c>
      <c r="K68" s="151" t="n">
        <f aca="false">IF(COUNT('12_Datos_5m'!E69:E$504)=0,1000000000000,MIN('12_Datos_5m'!E69:E$504))</f>
        <v>1000000000000</v>
      </c>
      <c r="L68" s="151" t="n">
        <f aca="false">IF(COUNT('12_Datos_5m'!D69:D$504)=0,0,MAX('12_Datos_5m'!D69:D$504))</f>
        <v>0</v>
      </c>
      <c r="M68" s="151" t="str">
        <f aca="false">IF(ISNUMBER(B68),B68*(1-1/'13_Mapa_Liq'!$B$15+'13_Mapa_Liq'!$B$6),"")</f>
        <v/>
      </c>
      <c r="N68" s="151" t="n">
        <f aca="false">IF(ISNUMBER(B68),IF(K68&gt;M68,I68*'13_Mapa_Liq'!$C$15,0),0)</f>
        <v>0</v>
      </c>
      <c r="O68" s="151" t="str">
        <f aca="false">IF(ISNUMBER(B68),B68*(1+1/'13_Mapa_Liq'!$B$15-'13_Mapa_Liq'!$B$6),"")</f>
        <v/>
      </c>
      <c r="P68" s="151" t="n">
        <f aca="false">IF(ISNUMBER(B68),IF(L68&lt;O68,J68*'13_Mapa_Liq'!$C$15,0),0)</f>
        <v>0</v>
      </c>
      <c r="Q68" s="151" t="str">
        <f aca="false">IF(ISNUMBER(B68),B68*(1-1/'13_Mapa_Liq'!$B$16+'13_Mapa_Liq'!$B$6),"")</f>
        <v/>
      </c>
      <c r="R68" s="151" t="n">
        <f aca="false">IF(ISNUMBER(B68),IF(K68&gt;Q68,I68*'13_Mapa_Liq'!$C$16,0),0)</f>
        <v>0</v>
      </c>
      <c r="S68" s="151" t="str">
        <f aca="false">IF(ISNUMBER(B68),B68*(1+1/'13_Mapa_Liq'!$B$16-'13_Mapa_Liq'!$B$6),"")</f>
        <v/>
      </c>
      <c r="T68" s="151" t="n">
        <f aca="false">IF(ISNUMBER(B68),IF(L68&lt;S68,J68*'13_Mapa_Liq'!$C$16,0),0)</f>
        <v>0</v>
      </c>
      <c r="U68" s="151" t="str">
        <f aca="false">IF(ISNUMBER(B68),B68*(1-1/'13_Mapa_Liq'!$B$17+'13_Mapa_Liq'!$B$6),"")</f>
        <v/>
      </c>
      <c r="V68" s="151" t="n">
        <f aca="false">IF(ISNUMBER(B68),IF(K68&gt;U68,I68*'13_Mapa_Liq'!$C$17,0),0)</f>
        <v>0</v>
      </c>
      <c r="W68" s="151" t="str">
        <f aca="false">IF(ISNUMBER(B68),B68*(1+1/'13_Mapa_Liq'!$B$17-'13_Mapa_Liq'!$B$6),"")</f>
        <v/>
      </c>
      <c r="X68" s="151" t="n">
        <f aca="false">IF(ISNUMBER(B68),IF(L68&lt;W68,J68*'13_Mapa_Liq'!$C$17,0),0)</f>
        <v>0</v>
      </c>
      <c r="Y68" s="151" t="str">
        <f aca="false">IF(ISNUMBER(B68),B68*(1-1/'13_Mapa_Liq'!$B$18+'13_Mapa_Liq'!$B$6),"")</f>
        <v/>
      </c>
      <c r="Z68" s="151" t="n">
        <f aca="false">IF(ISNUMBER(B68),IF(K68&gt;Y68,I68*'13_Mapa_Liq'!$C$18,0),0)</f>
        <v>0</v>
      </c>
      <c r="AA68" s="151" t="str">
        <f aca="false">IF(ISNUMBER(B68),B68*(1+1/'13_Mapa_Liq'!$B$18-'13_Mapa_Liq'!$B$6),"")</f>
        <v/>
      </c>
      <c r="AB68" s="151" t="n">
        <f aca="false">IF(ISNUMBER(B68),IF(L68&lt;AA68,J68*'13_Mapa_Liq'!$C$18,0),0)</f>
        <v>0</v>
      </c>
      <c r="AC68" s="151" t="str">
        <f aca="false">IF(ISNUMBER(B68),B68*(1-1/'13_Mapa_Liq'!$B$19+'13_Mapa_Liq'!$B$6),"")</f>
        <v/>
      </c>
      <c r="AD68" s="151" t="n">
        <f aca="false">IF(ISNUMBER(B68),IF(K68&gt;AC68,I68*'13_Mapa_Liq'!$C$19,0),0)</f>
        <v>0</v>
      </c>
      <c r="AE68" s="151" t="str">
        <f aca="false">IF(ISNUMBER(B68),B68*(1+1/'13_Mapa_Liq'!$B$19-'13_Mapa_Liq'!$B$6),"")</f>
        <v/>
      </c>
      <c r="AF68" s="151" t="n">
        <f aca="false">IF(ISNUMBER(B68),IF(L68&lt;AE68,J68*'13_Mapa_Liq'!$C$19,0),0)</f>
        <v>0</v>
      </c>
      <c r="AG68" s="151"/>
      <c r="AH68" s="151" t="n">
        <f aca="false">IF(ISNUMBER(B68),E68*F68*((K68&lt;=M68)*'13_Mapa_Liq'!$C$15+(K68&lt;=Q68)*'13_Mapa_Liq'!$C$16+(K68&lt;=U68)*'13_Mapa_Liq'!$C$17+(K68&lt;=Y68)*'13_Mapa_Liq'!$C$18+(K68&lt;=AC68)*'13_Mapa_Liq'!$C$19),0)</f>
        <v>0</v>
      </c>
      <c r="AI68" s="151" t="n">
        <f aca="false">IF(ISNUMBER(B68),E68*(1-F68)*((L68&gt;=O68)*'13_Mapa_Liq'!$C$15+(L68&gt;=S68)*'13_Mapa_Liq'!$C$16+(L68&gt;=W68)*'13_Mapa_Liq'!$C$17+(L68&gt;=AA68)*'13_Mapa_Liq'!$C$18+(L68&gt;=AE68)*'13_Mapa_Liq'!$C$19),0)</f>
        <v>0</v>
      </c>
    </row>
    <row r="69" customFormat="false" ht="15" hidden="false" customHeight="false" outlineLevel="0" collapsed="false">
      <c r="A69" s="151" t="str">
        <f aca="false">IF(ISNUMBER('12_Datos_5m'!F69),ROW()-4,"")</f>
        <v/>
      </c>
      <c r="B69" s="151" t="str">
        <f aca="false">IF(ISNUMBER('12_Datos_5m'!F69),'12_Datos_5m'!F69,"")</f>
        <v/>
      </c>
      <c r="C69" s="151" t="str">
        <f aca="false">IF(ISNUMBER('12_Datos_5m'!A69),'12_Datos_5m'!A69,"")</f>
        <v/>
      </c>
      <c r="D69" s="151" t="n">
        <f aca="false">IF(AND(ISNUMBER('12_Datos_5m'!I69),ISNUMBER('12_Datos_5m'!I68)),'12_Datos_5m'!I69-'12_Datos_5m'!I68,0)</f>
        <v>0</v>
      </c>
      <c r="E69" s="151" t="n">
        <f aca="false">MAX(0,D69)</f>
        <v>0</v>
      </c>
      <c r="F69" s="151" t="n">
        <f aca="false">IF(AND(ISNUMBER('12_Datos_5m'!G69),N('12_Datos_5m'!G69)&gt;0),'12_Datos_5m'!H69/'12_Datos_5m'!G69,0.5)</f>
        <v>0.5</v>
      </c>
      <c r="G69" s="151" t="n">
        <f aca="false">IF(ISNUMBER(C69),($C$2-C69)/3600000,0)</f>
        <v>0</v>
      </c>
      <c r="H69" s="151" t="n">
        <f aca="false">EXP(-G69/'13_Mapa_Liq'!$B$7)</f>
        <v>1</v>
      </c>
      <c r="I69" s="151" t="n">
        <f aca="false">E69*F69*H69</f>
        <v>0</v>
      </c>
      <c r="J69" s="151" t="n">
        <f aca="false">E69*(1-F69)*H69</f>
        <v>0</v>
      </c>
      <c r="K69" s="151" t="n">
        <f aca="false">IF(COUNT('12_Datos_5m'!E70:E$504)=0,1000000000000,MIN('12_Datos_5m'!E70:E$504))</f>
        <v>1000000000000</v>
      </c>
      <c r="L69" s="151" t="n">
        <f aca="false">IF(COUNT('12_Datos_5m'!D70:D$504)=0,0,MAX('12_Datos_5m'!D70:D$504))</f>
        <v>0</v>
      </c>
      <c r="M69" s="151" t="str">
        <f aca="false">IF(ISNUMBER(B69),B69*(1-1/'13_Mapa_Liq'!$B$15+'13_Mapa_Liq'!$B$6),"")</f>
        <v/>
      </c>
      <c r="N69" s="151" t="n">
        <f aca="false">IF(ISNUMBER(B69),IF(K69&gt;M69,I69*'13_Mapa_Liq'!$C$15,0),0)</f>
        <v>0</v>
      </c>
      <c r="O69" s="151" t="str">
        <f aca="false">IF(ISNUMBER(B69),B69*(1+1/'13_Mapa_Liq'!$B$15-'13_Mapa_Liq'!$B$6),"")</f>
        <v/>
      </c>
      <c r="P69" s="151" t="n">
        <f aca="false">IF(ISNUMBER(B69),IF(L69&lt;O69,J69*'13_Mapa_Liq'!$C$15,0),0)</f>
        <v>0</v>
      </c>
      <c r="Q69" s="151" t="str">
        <f aca="false">IF(ISNUMBER(B69),B69*(1-1/'13_Mapa_Liq'!$B$16+'13_Mapa_Liq'!$B$6),"")</f>
        <v/>
      </c>
      <c r="R69" s="151" t="n">
        <f aca="false">IF(ISNUMBER(B69),IF(K69&gt;Q69,I69*'13_Mapa_Liq'!$C$16,0),0)</f>
        <v>0</v>
      </c>
      <c r="S69" s="151" t="str">
        <f aca="false">IF(ISNUMBER(B69),B69*(1+1/'13_Mapa_Liq'!$B$16-'13_Mapa_Liq'!$B$6),"")</f>
        <v/>
      </c>
      <c r="T69" s="151" t="n">
        <f aca="false">IF(ISNUMBER(B69),IF(L69&lt;S69,J69*'13_Mapa_Liq'!$C$16,0),0)</f>
        <v>0</v>
      </c>
      <c r="U69" s="151" t="str">
        <f aca="false">IF(ISNUMBER(B69),B69*(1-1/'13_Mapa_Liq'!$B$17+'13_Mapa_Liq'!$B$6),"")</f>
        <v/>
      </c>
      <c r="V69" s="151" t="n">
        <f aca="false">IF(ISNUMBER(B69),IF(K69&gt;U69,I69*'13_Mapa_Liq'!$C$17,0),0)</f>
        <v>0</v>
      </c>
      <c r="W69" s="151" t="str">
        <f aca="false">IF(ISNUMBER(B69),B69*(1+1/'13_Mapa_Liq'!$B$17-'13_Mapa_Liq'!$B$6),"")</f>
        <v/>
      </c>
      <c r="X69" s="151" t="n">
        <f aca="false">IF(ISNUMBER(B69),IF(L69&lt;W69,J69*'13_Mapa_Liq'!$C$17,0),0)</f>
        <v>0</v>
      </c>
      <c r="Y69" s="151" t="str">
        <f aca="false">IF(ISNUMBER(B69),B69*(1-1/'13_Mapa_Liq'!$B$18+'13_Mapa_Liq'!$B$6),"")</f>
        <v/>
      </c>
      <c r="Z69" s="151" t="n">
        <f aca="false">IF(ISNUMBER(B69),IF(K69&gt;Y69,I69*'13_Mapa_Liq'!$C$18,0),0)</f>
        <v>0</v>
      </c>
      <c r="AA69" s="151" t="str">
        <f aca="false">IF(ISNUMBER(B69),B69*(1+1/'13_Mapa_Liq'!$B$18-'13_Mapa_Liq'!$B$6),"")</f>
        <v/>
      </c>
      <c r="AB69" s="151" t="n">
        <f aca="false">IF(ISNUMBER(B69),IF(L69&lt;AA69,J69*'13_Mapa_Liq'!$C$18,0),0)</f>
        <v>0</v>
      </c>
      <c r="AC69" s="151" t="str">
        <f aca="false">IF(ISNUMBER(B69),B69*(1-1/'13_Mapa_Liq'!$B$19+'13_Mapa_Liq'!$B$6),"")</f>
        <v/>
      </c>
      <c r="AD69" s="151" t="n">
        <f aca="false">IF(ISNUMBER(B69),IF(K69&gt;AC69,I69*'13_Mapa_Liq'!$C$19,0),0)</f>
        <v>0</v>
      </c>
      <c r="AE69" s="151" t="str">
        <f aca="false">IF(ISNUMBER(B69),B69*(1+1/'13_Mapa_Liq'!$B$19-'13_Mapa_Liq'!$B$6),"")</f>
        <v/>
      </c>
      <c r="AF69" s="151" t="n">
        <f aca="false">IF(ISNUMBER(B69),IF(L69&lt;AE69,J69*'13_Mapa_Liq'!$C$19,0),0)</f>
        <v>0</v>
      </c>
      <c r="AG69" s="151"/>
      <c r="AH69" s="151" t="n">
        <f aca="false">IF(ISNUMBER(B69),E69*F69*((K69&lt;=M69)*'13_Mapa_Liq'!$C$15+(K69&lt;=Q69)*'13_Mapa_Liq'!$C$16+(K69&lt;=U69)*'13_Mapa_Liq'!$C$17+(K69&lt;=Y69)*'13_Mapa_Liq'!$C$18+(K69&lt;=AC69)*'13_Mapa_Liq'!$C$19),0)</f>
        <v>0</v>
      </c>
      <c r="AI69" s="151" t="n">
        <f aca="false">IF(ISNUMBER(B69),E69*(1-F69)*((L69&gt;=O69)*'13_Mapa_Liq'!$C$15+(L69&gt;=S69)*'13_Mapa_Liq'!$C$16+(L69&gt;=W69)*'13_Mapa_Liq'!$C$17+(L69&gt;=AA69)*'13_Mapa_Liq'!$C$18+(L69&gt;=AE69)*'13_Mapa_Liq'!$C$19),0)</f>
        <v>0</v>
      </c>
    </row>
    <row r="70" customFormat="false" ht="15" hidden="false" customHeight="false" outlineLevel="0" collapsed="false">
      <c r="A70" s="151" t="str">
        <f aca="false">IF(ISNUMBER('12_Datos_5m'!F70),ROW()-4,"")</f>
        <v/>
      </c>
      <c r="B70" s="151" t="str">
        <f aca="false">IF(ISNUMBER('12_Datos_5m'!F70),'12_Datos_5m'!F70,"")</f>
        <v/>
      </c>
      <c r="C70" s="151" t="str">
        <f aca="false">IF(ISNUMBER('12_Datos_5m'!A70),'12_Datos_5m'!A70,"")</f>
        <v/>
      </c>
      <c r="D70" s="151" t="n">
        <f aca="false">IF(AND(ISNUMBER('12_Datos_5m'!I70),ISNUMBER('12_Datos_5m'!I69)),'12_Datos_5m'!I70-'12_Datos_5m'!I69,0)</f>
        <v>0</v>
      </c>
      <c r="E70" s="151" t="n">
        <f aca="false">MAX(0,D70)</f>
        <v>0</v>
      </c>
      <c r="F70" s="151" t="n">
        <f aca="false">IF(AND(ISNUMBER('12_Datos_5m'!G70),N('12_Datos_5m'!G70)&gt;0),'12_Datos_5m'!H70/'12_Datos_5m'!G70,0.5)</f>
        <v>0.5</v>
      </c>
      <c r="G70" s="151" t="n">
        <f aca="false">IF(ISNUMBER(C70),($C$2-C70)/3600000,0)</f>
        <v>0</v>
      </c>
      <c r="H70" s="151" t="n">
        <f aca="false">EXP(-G70/'13_Mapa_Liq'!$B$7)</f>
        <v>1</v>
      </c>
      <c r="I70" s="151" t="n">
        <f aca="false">E70*F70*H70</f>
        <v>0</v>
      </c>
      <c r="J70" s="151" t="n">
        <f aca="false">E70*(1-F70)*H70</f>
        <v>0</v>
      </c>
      <c r="K70" s="151" t="n">
        <f aca="false">IF(COUNT('12_Datos_5m'!E71:E$504)=0,1000000000000,MIN('12_Datos_5m'!E71:E$504))</f>
        <v>1000000000000</v>
      </c>
      <c r="L70" s="151" t="n">
        <f aca="false">IF(COUNT('12_Datos_5m'!D71:D$504)=0,0,MAX('12_Datos_5m'!D71:D$504))</f>
        <v>0</v>
      </c>
      <c r="M70" s="151" t="str">
        <f aca="false">IF(ISNUMBER(B70),B70*(1-1/'13_Mapa_Liq'!$B$15+'13_Mapa_Liq'!$B$6),"")</f>
        <v/>
      </c>
      <c r="N70" s="151" t="n">
        <f aca="false">IF(ISNUMBER(B70),IF(K70&gt;M70,I70*'13_Mapa_Liq'!$C$15,0),0)</f>
        <v>0</v>
      </c>
      <c r="O70" s="151" t="str">
        <f aca="false">IF(ISNUMBER(B70),B70*(1+1/'13_Mapa_Liq'!$B$15-'13_Mapa_Liq'!$B$6),"")</f>
        <v/>
      </c>
      <c r="P70" s="151" t="n">
        <f aca="false">IF(ISNUMBER(B70),IF(L70&lt;O70,J70*'13_Mapa_Liq'!$C$15,0),0)</f>
        <v>0</v>
      </c>
      <c r="Q70" s="151" t="str">
        <f aca="false">IF(ISNUMBER(B70),B70*(1-1/'13_Mapa_Liq'!$B$16+'13_Mapa_Liq'!$B$6),"")</f>
        <v/>
      </c>
      <c r="R70" s="151" t="n">
        <f aca="false">IF(ISNUMBER(B70),IF(K70&gt;Q70,I70*'13_Mapa_Liq'!$C$16,0),0)</f>
        <v>0</v>
      </c>
      <c r="S70" s="151" t="str">
        <f aca="false">IF(ISNUMBER(B70),B70*(1+1/'13_Mapa_Liq'!$B$16-'13_Mapa_Liq'!$B$6),"")</f>
        <v/>
      </c>
      <c r="T70" s="151" t="n">
        <f aca="false">IF(ISNUMBER(B70),IF(L70&lt;S70,J70*'13_Mapa_Liq'!$C$16,0),0)</f>
        <v>0</v>
      </c>
      <c r="U70" s="151" t="str">
        <f aca="false">IF(ISNUMBER(B70),B70*(1-1/'13_Mapa_Liq'!$B$17+'13_Mapa_Liq'!$B$6),"")</f>
        <v/>
      </c>
      <c r="V70" s="151" t="n">
        <f aca="false">IF(ISNUMBER(B70),IF(K70&gt;U70,I70*'13_Mapa_Liq'!$C$17,0),0)</f>
        <v>0</v>
      </c>
      <c r="W70" s="151" t="str">
        <f aca="false">IF(ISNUMBER(B70),B70*(1+1/'13_Mapa_Liq'!$B$17-'13_Mapa_Liq'!$B$6),"")</f>
        <v/>
      </c>
      <c r="X70" s="151" t="n">
        <f aca="false">IF(ISNUMBER(B70),IF(L70&lt;W70,J70*'13_Mapa_Liq'!$C$17,0),0)</f>
        <v>0</v>
      </c>
      <c r="Y70" s="151" t="str">
        <f aca="false">IF(ISNUMBER(B70),B70*(1-1/'13_Mapa_Liq'!$B$18+'13_Mapa_Liq'!$B$6),"")</f>
        <v/>
      </c>
      <c r="Z70" s="151" t="n">
        <f aca="false">IF(ISNUMBER(B70),IF(K70&gt;Y70,I70*'13_Mapa_Liq'!$C$18,0),0)</f>
        <v>0</v>
      </c>
      <c r="AA70" s="151" t="str">
        <f aca="false">IF(ISNUMBER(B70),B70*(1+1/'13_Mapa_Liq'!$B$18-'13_Mapa_Liq'!$B$6),"")</f>
        <v/>
      </c>
      <c r="AB70" s="151" t="n">
        <f aca="false">IF(ISNUMBER(B70),IF(L70&lt;AA70,J70*'13_Mapa_Liq'!$C$18,0),0)</f>
        <v>0</v>
      </c>
      <c r="AC70" s="151" t="str">
        <f aca="false">IF(ISNUMBER(B70),B70*(1-1/'13_Mapa_Liq'!$B$19+'13_Mapa_Liq'!$B$6),"")</f>
        <v/>
      </c>
      <c r="AD70" s="151" t="n">
        <f aca="false">IF(ISNUMBER(B70),IF(K70&gt;AC70,I70*'13_Mapa_Liq'!$C$19,0),0)</f>
        <v>0</v>
      </c>
      <c r="AE70" s="151" t="str">
        <f aca="false">IF(ISNUMBER(B70),B70*(1+1/'13_Mapa_Liq'!$B$19-'13_Mapa_Liq'!$B$6),"")</f>
        <v/>
      </c>
      <c r="AF70" s="151" t="n">
        <f aca="false">IF(ISNUMBER(B70),IF(L70&lt;AE70,J70*'13_Mapa_Liq'!$C$19,0),0)</f>
        <v>0</v>
      </c>
      <c r="AG70" s="151"/>
      <c r="AH70" s="151" t="n">
        <f aca="false">IF(ISNUMBER(B70),E70*F70*((K70&lt;=M70)*'13_Mapa_Liq'!$C$15+(K70&lt;=Q70)*'13_Mapa_Liq'!$C$16+(K70&lt;=U70)*'13_Mapa_Liq'!$C$17+(K70&lt;=Y70)*'13_Mapa_Liq'!$C$18+(K70&lt;=AC70)*'13_Mapa_Liq'!$C$19),0)</f>
        <v>0</v>
      </c>
      <c r="AI70" s="151" t="n">
        <f aca="false">IF(ISNUMBER(B70),E70*(1-F70)*((L70&gt;=O70)*'13_Mapa_Liq'!$C$15+(L70&gt;=S70)*'13_Mapa_Liq'!$C$16+(L70&gt;=W70)*'13_Mapa_Liq'!$C$17+(L70&gt;=AA70)*'13_Mapa_Liq'!$C$18+(L70&gt;=AE70)*'13_Mapa_Liq'!$C$19),0)</f>
        <v>0</v>
      </c>
    </row>
    <row r="71" customFormat="false" ht="15" hidden="false" customHeight="false" outlineLevel="0" collapsed="false">
      <c r="A71" s="151" t="str">
        <f aca="false">IF(ISNUMBER('12_Datos_5m'!F71),ROW()-4,"")</f>
        <v/>
      </c>
      <c r="B71" s="151" t="str">
        <f aca="false">IF(ISNUMBER('12_Datos_5m'!F71),'12_Datos_5m'!F71,"")</f>
        <v/>
      </c>
      <c r="C71" s="151" t="str">
        <f aca="false">IF(ISNUMBER('12_Datos_5m'!A71),'12_Datos_5m'!A71,"")</f>
        <v/>
      </c>
      <c r="D71" s="151" t="n">
        <f aca="false">IF(AND(ISNUMBER('12_Datos_5m'!I71),ISNUMBER('12_Datos_5m'!I70)),'12_Datos_5m'!I71-'12_Datos_5m'!I70,0)</f>
        <v>0</v>
      </c>
      <c r="E71" s="151" t="n">
        <f aca="false">MAX(0,D71)</f>
        <v>0</v>
      </c>
      <c r="F71" s="151" t="n">
        <f aca="false">IF(AND(ISNUMBER('12_Datos_5m'!G71),N('12_Datos_5m'!G71)&gt;0),'12_Datos_5m'!H71/'12_Datos_5m'!G71,0.5)</f>
        <v>0.5</v>
      </c>
      <c r="G71" s="151" t="n">
        <f aca="false">IF(ISNUMBER(C71),($C$2-C71)/3600000,0)</f>
        <v>0</v>
      </c>
      <c r="H71" s="151" t="n">
        <f aca="false">EXP(-G71/'13_Mapa_Liq'!$B$7)</f>
        <v>1</v>
      </c>
      <c r="I71" s="151" t="n">
        <f aca="false">E71*F71*H71</f>
        <v>0</v>
      </c>
      <c r="J71" s="151" t="n">
        <f aca="false">E71*(1-F71)*H71</f>
        <v>0</v>
      </c>
      <c r="K71" s="151" t="n">
        <f aca="false">IF(COUNT('12_Datos_5m'!E72:E$504)=0,1000000000000,MIN('12_Datos_5m'!E72:E$504))</f>
        <v>1000000000000</v>
      </c>
      <c r="L71" s="151" t="n">
        <f aca="false">IF(COUNT('12_Datos_5m'!D72:D$504)=0,0,MAX('12_Datos_5m'!D72:D$504))</f>
        <v>0</v>
      </c>
      <c r="M71" s="151" t="str">
        <f aca="false">IF(ISNUMBER(B71),B71*(1-1/'13_Mapa_Liq'!$B$15+'13_Mapa_Liq'!$B$6),"")</f>
        <v/>
      </c>
      <c r="N71" s="151" t="n">
        <f aca="false">IF(ISNUMBER(B71),IF(K71&gt;M71,I71*'13_Mapa_Liq'!$C$15,0),0)</f>
        <v>0</v>
      </c>
      <c r="O71" s="151" t="str">
        <f aca="false">IF(ISNUMBER(B71),B71*(1+1/'13_Mapa_Liq'!$B$15-'13_Mapa_Liq'!$B$6),"")</f>
        <v/>
      </c>
      <c r="P71" s="151" t="n">
        <f aca="false">IF(ISNUMBER(B71),IF(L71&lt;O71,J71*'13_Mapa_Liq'!$C$15,0),0)</f>
        <v>0</v>
      </c>
      <c r="Q71" s="151" t="str">
        <f aca="false">IF(ISNUMBER(B71),B71*(1-1/'13_Mapa_Liq'!$B$16+'13_Mapa_Liq'!$B$6),"")</f>
        <v/>
      </c>
      <c r="R71" s="151" t="n">
        <f aca="false">IF(ISNUMBER(B71),IF(K71&gt;Q71,I71*'13_Mapa_Liq'!$C$16,0),0)</f>
        <v>0</v>
      </c>
      <c r="S71" s="151" t="str">
        <f aca="false">IF(ISNUMBER(B71),B71*(1+1/'13_Mapa_Liq'!$B$16-'13_Mapa_Liq'!$B$6),"")</f>
        <v/>
      </c>
      <c r="T71" s="151" t="n">
        <f aca="false">IF(ISNUMBER(B71),IF(L71&lt;S71,J71*'13_Mapa_Liq'!$C$16,0),0)</f>
        <v>0</v>
      </c>
      <c r="U71" s="151" t="str">
        <f aca="false">IF(ISNUMBER(B71),B71*(1-1/'13_Mapa_Liq'!$B$17+'13_Mapa_Liq'!$B$6),"")</f>
        <v/>
      </c>
      <c r="V71" s="151" t="n">
        <f aca="false">IF(ISNUMBER(B71),IF(K71&gt;U71,I71*'13_Mapa_Liq'!$C$17,0),0)</f>
        <v>0</v>
      </c>
      <c r="W71" s="151" t="str">
        <f aca="false">IF(ISNUMBER(B71),B71*(1+1/'13_Mapa_Liq'!$B$17-'13_Mapa_Liq'!$B$6),"")</f>
        <v/>
      </c>
      <c r="X71" s="151" t="n">
        <f aca="false">IF(ISNUMBER(B71),IF(L71&lt;W71,J71*'13_Mapa_Liq'!$C$17,0),0)</f>
        <v>0</v>
      </c>
      <c r="Y71" s="151" t="str">
        <f aca="false">IF(ISNUMBER(B71),B71*(1-1/'13_Mapa_Liq'!$B$18+'13_Mapa_Liq'!$B$6),"")</f>
        <v/>
      </c>
      <c r="Z71" s="151" t="n">
        <f aca="false">IF(ISNUMBER(B71),IF(K71&gt;Y71,I71*'13_Mapa_Liq'!$C$18,0),0)</f>
        <v>0</v>
      </c>
      <c r="AA71" s="151" t="str">
        <f aca="false">IF(ISNUMBER(B71),B71*(1+1/'13_Mapa_Liq'!$B$18-'13_Mapa_Liq'!$B$6),"")</f>
        <v/>
      </c>
      <c r="AB71" s="151" t="n">
        <f aca="false">IF(ISNUMBER(B71),IF(L71&lt;AA71,J71*'13_Mapa_Liq'!$C$18,0),0)</f>
        <v>0</v>
      </c>
      <c r="AC71" s="151" t="str">
        <f aca="false">IF(ISNUMBER(B71),B71*(1-1/'13_Mapa_Liq'!$B$19+'13_Mapa_Liq'!$B$6),"")</f>
        <v/>
      </c>
      <c r="AD71" s="151" t="n">
        <f aca="false">IF(ISNUMBER(B71),IF(K71&gt;AC71,I71*'13_Mapa_Liq'!$C$19,0),0)</f>
        <v>0</v>
      </c>
      <c r="AE71" s="151" t="str">
        <f aca="false">IF(ISNUMBER(B71),B71*(1+1/'13_Mapa_Liq'!$B$19-'13_Mapa_Liq'!$B$6),"")</f>
        <v/>
      </c>
      <c r="AF71" s="151" t="n">
        <f aca="false">IF(ISNUMBER(B71),IF(L71&lt;AE71,J71*'13_Mapa_Liq'!$C$19,0),0)</f>
        <v>0</v>
      </c>
      <c r="AG71" s="151"/>
      <c r="AH71" s="151" t="n">
        <f aca="false">IF(ISNUMBER(B71),E71*F71*((K71&lt;=M71)*'13_Mapa_Liq'!$C$15+(K71&lt;=Q71)*'13_Mapa_Liq'!$C$16+(K71&lt;=U71)*'13_Mapa_Liq'!$C$17+(K71&lt;=Y71)*'13_Mapa_Liq'!$C$18+(K71&lt;=AC71)*'13_Mapa_Liq'!$C$19),0)</f>
        <v>0</v>
      </c>
      <c r="AI71" s="151" t="n">
        <f aca="false">IF(ISNUMBER(B71),E71*(1-F71)*((L71&gt;=O71)*'13_Mapa_Liq'!$C$15+(L71&gt;=S71)*'13_Mapa_Liq'!$C$16+(L71&gt;=W71)*'13_Mapa_Liq'!$C$17+(L71&gt;=AA71)*'13_Mapa_Liq'!$C$18+(L71&gt;=AE71)*'13_Mapa_Liq'!$C$19),0)</f>
        <v>0</v>
      </c>
    </row>
    <row r="72" customFormat="false" ht="15" hidden="false" customHeight="false" outlineLevel="0" collapsed="false">
      <c r="A72" s="151" t="str">
        <f aca="false">IF(ISNUMBER('12_Datos_5m'!F72),ROW()-4,"")</f>
        <v/>
      </c>
      <c r="B72" s="151" t="str">
        <f aca="false">IF(ISNUMBER('12_Datos_5m'!F72),'12_Datos_5m'!F72,"")</f>
        <v/>
      </c>
      <c r="C72" s="151" t="str">
        <f aca="false">IF(ISNUMBER('12_Datos_5m'!A72),'12_Datos_5m'!A72,"")</f>
        <v/>
      </c>
      <c r="D72" s="151" t="n">
        <f aca="false">IF(AND(ISNUMBER('12_Datos_5m'!I72),ISNUMBER('12_Datos_5m'!I71)),'12_Datos_5m'!I72-'12_Datos_5m'!I71,0)</f>
        <v>0</v>
      </c>
      <c r="E72" s="151" t="n">
        <f aca="false">MAX(0,D72)</f>
        <v>0</v>
      </c>
      <c r="F72" s="151" t="n">
        <f aca="false">IF(AND(ISNUMBER('12_Datos_5m'!G72),N('12_Datos_5m'!G72)&gt;0),'12_Datos_5m'!H72/'12_Datos_5m'!G72,0.5)</f>
        <v>0.5</v>
      </c>
      <c r="G72" s="151" t="n">
        <f aca="false">IF(ISNUMBER(C72),($C$2-C72)/3600000,0)</f>
        <v>0</v>
      </c>
      <c r="H72" s="151" t="n">
        <f aca="false">EXP(-G72/'13_Mapa_Liq'!$B$7)</f>
        <v>1</v>
      </c>
      <c r="I72" s="151" t="n">
        <f aca="false">E72*F72*H72</f>
        <v>0</v>
      </c>
      <c r="J72" s="151" t="n">
        <f aca="false">E72*(1-F72)*H72</f>
        <v>0</v>
      </c>
      <c r="K72" s="151" t="n">
        <f aca="false">IF(COUNT('12_Datos_5m'!E73:E$504)=0,1000000000000,MIN('12_Datos_5m'!E73:E$504))</f>
        <v>1000000000000</v>
      </c>
      <c r="L72" s="151" t="n">
        <f aca="false">IF(COUNT('12_Datos_5m'!D73:D$504)=0,0,MAX('12_Datos_5m'!D73:D$504))</f>
        <v>0</v>
      </c>
      <c r="M72" s="151" t="str">
        <f aca="false">IF(ISNUMBER(B72),B72*(1-1/'13_Mapa_Liq'!$B$15+'13_Mapa_Liq'!$B$6),"")</f>
        <v/>
      </c>
      <c r="N72" s="151" t="n">
        <f aca="false">IF(ISNUMBER(B72),IF(K72&gt;M72,I72*'13_Mapa_Liq'!$C$15,0),0)</f>
        <v>0</v>
      </c>
      <c r="O72" s="151" t="str">
        <f aca="false">IF(ISNUMBER(B72),B72*(1+1/'13_Mapa_Liq'!$B$15-'13_Mapa_Liq'!$B$6),"")</f>
        <v/>
      </c>
      <c r="P72" s="151" t="n">
        <f aca="false">IF(ISNUMBER(B72),IF(L72&lt;O72,J72*'13_Mapa_Liq'!$C$15,0),0)</f>
        <v>0</v>
      </c>
      <c r="Q72" s="151" t="str">
        <f aca="false">IF(ISNUMBER(B72),B72*(1-1/'13_Mapa_Liq'!$B$16+'13_Mapa_Liq'!$B$6),"")</f>
        <v/>
      </c>
      <c r="R72" s="151" t="n">
        <f aca="false">IF(ISNUMBER(B72),IF(K72&gt;Q72,I72*'13_Mapa_Liq'!$C$16,0),0)</f>
        <v>0</v>
      </c>
      <c r="S72" s="151" t="str">
        <f aca="false">IF(ISNUMBER(B72),B72*(1+1/'13_Mapa_Liq'!$B$16-'13_Mapa_Liq'!$B$6),"")</f>
        <v/>
      </c>
      <c r="T72" s="151" t="n">
        <f aca="false">IF(ISNUMBER(B72),IF(L72&lt;S72,J72*'13_Mapa_Liq'!$C$16,0),0)</f>
        <v>0</v>
      </c>
      <c r="U72" s="151" t="str">
        <f aca="false">IF(ISNUMBER(B72),B72*(1-1/'13_Mapa_Liq'!$B$17+'13_Mapa_Liq'!$B$6),"")</f>
        <v/>
      </c>
      <c r="V72" s="151" t="n">
        <f aca="false">IF(ISNUMBER(B72),IF(K72&gt;U72,I72*'13_Mapa_Liq'!$C$17,0),0)</f>
        <v>0</v>
      </c>
      <c r="W72" s="151" t="str">
        <f aca="false">IF(ISNUMBER(B72),B72*(1+1/'13_Mapa_Liq'!$B$17-'13_Mapa_Liq'!$B$6),"")</f>
        <v/>
      </c>
      <c r="X72" s="151" t="n">
        <f aca="false">IF(ISNUMBER(B72),IF(L72&lt;W72,J72*'13_Mapa_Liq'!$C$17,0),0)</f>
        <v>0</v>
      </c>
      <c r="Y72" s="151" t="str">
        <f aca="false">IF(ISNUMBER(B72),B72*(1-1/'13_Mapa_Liq'!$B$18+'13_Mapa_Liq'!$B$6),"")</f>
        <v/>
      </c>
      <c r="Z72" s="151" t="n">
        <f aca="false">IF(ISNUMBER(B72),IF(K72&gt;Y72,I72*'13_Mapa_Liq'!$C$18,0),0)</f>
        <v>0</v>
      </c>
      <c r="AA72" s="151" t="str">
        <f aca="false">IF(ISNUMBER(B72),B72*(1+1/'13_Mapa_Liq'!$B$18-'13_Mapa_Liq'!$B$6),"")</f>
        <v/>
      </c>
      <c r="AB72" s="151" t="n">
        <f aca="false">IF(ISNUMBER(B72),IF(L72&lt;AA72,J72*'13_Mapa_Liq'!$C$18,0),0)</f>
        <v>0</v>
      </c>
      <c r="AC72" s="151" t="str">
        <f aca="false">IF(ISNUMBER(B72),B72*(1-1/'13_Mapa_Liq'!$B$19+'13_Mapa_Liq'!$B$6),"")</f>
        <v/>
      </c>
      <c r="AD72" s="151" t="n">
        <f aca="false">IF(ISNUMBER(B72),IF(K72&gt;AC72,I72*'13_Mapa_Liq'!$C$19,0),0)</f>
        <v>0</v>
      </c>
      <c r="AE72" s="151" t="str">
        <f aca="false">IF(ISNUMBER(B72),B72*(1+1/'13_Mapa_Liq'!$B$19-'13_Mapa_Liq'!$B$6),"")</f>
        <v/>
      </c>
      <c r="AF72" s="151" t="n">
        <f aca="false">IF(ISNUMBER(B72),IF(L72&lt;AE72,J72*'13_Mapa_Liq'!$C$19,0),0)</f>
        <v>0</v>
      </c>
      <c r="AG72" s="151"/>
      <c r="AH72" s="151" t="n">
        <f aca="false">IF(ISNUMBER(B72),E72*F72*((K72&lt;=M72)*'13_Mapa_Liq'!$C$15+(K72&lt;=Q72)*'13_Mapa_Liq'!$C$16+(K72&lt;=U72)*'13_Mapa_Liq'!$C$17+(K72&lt;=Y72)*'13_Mapa_Liq'!$C$18+(K72&lt;=AC72)*'13_Mapa_Liq'!$C$19),0)</f>
        <v>0</v>
      </c>
      <c r="AI72" s="151" t="n">
        <f aca="false">IF(ISNUMBER(B72),E72*(1-F72)*((L72&gt;=O72)*'13_Mapa_Liq'!$C$15+(L72&gt;=S72)*'13_Mapa_Liq'!$C$16+(L72&gt;=W72)*'13_Mapa_Liq'!$C$17+(L72&gt;=AA72)*'13_Mapa_Liq'!$C$18+(L72&gt;=AE72)*'13_Mapa_Liq'!$C$19),0)</f>
        <v>0</v>
      </c>
    </row>
    <row r="73" customFormat="false" ht="15" hidden="false" customHeight="false" outlineLevel="0" collapsed="false">
      <c r="A73" s="151" t="str">
        <f aca="false">IF(ISNUMBER('12_Datos_5m'!F73),ROW()-4,"")</f>
        <v/>
      </c>
      <c r="B73" s="151" t="str">
        <f aca="false">IF(ISNUMBER('12_Datos_5m'!F73),'12_Datos_5m'!F73,"")</f>
        <v/>
      </c>
      <c r="C73" s="151" t="str">
        <f aca="false">IF(ISNUMBER('12_Datos_5m'!A73),'12_Datos_5m'!A73,"")</f>
        <v/>
      </c>
      <c r="D73" s="151" t="n">
        <f aca="false">IF(AND(ISNUMBER('12_Datos_5m'!I73),ISNUMBER('12_Datos_5m'!I72)),'12_Datos_5m'!I73-'12_Datos_5m'!I72,0)</f>
        <v>0</v>
      </c>
      <c r="E73" s="151" t="n">
        <f aca="false">MAX(0,D73)</f>
        <v>0</v>
      </c>
      <c r="F73" s="151" t="n">
        <f aca="false">IF(AND(ISNUMBER('12_Datos_5m'!G73),N('12_Datos_5m'!G73)&gt;0),'12_Datos_5m'!H73/'12_Datos_5m'!G73,0.5)</f>
        <v>0.5</v>
      </c>
      <c r="G73" s="151" t="n">
        <f aca="false">IF(ISNUMBER(C73),($C$2-C73)/3600000,0)</f>
        <v>0</v>
      </c>
      <c r="H73" s="151" t="n">
        <f aca="false">EXP(-G73/'13_Mapa_Liq'!$B$7)</f>
        <v>1</v>
      </c>
      <c r="I73" s="151" t="n">
        <f aca="false">E73*F73*H73</f>
        <v>0</v>
      </c>
      <c r="J73" s="151" t="n">
        <f aca="false">E73*(1-F73)*H73</f>
        <v>0</v>
      </c>
      <c r="K73" s="151" t="n">
        <f aca="false">IF(COUNT('12_Datos_5m'!E74:E$504)=0,1000000000000,MIN('12_Datos_5m'!E74:E$504))</f>
        <v>1000000000000</v>
      </c>
      <c r="L73" s="151" t="n">
        <f aca="false">IF(COUNT('12_Datos_5m'!D74:D$504)=0,0,MAX('12_Datos_5m'!D74:D$504))</f>
        <v>0</v>
      </c>
      <c r="M73" s="151" t="str">
        <f aca="false">IF(ISNUMBER(B73),B73*(1-1/'13_Mapa_Liq'!$B$15+'13_Mapa_Liq'!$B$6),"")</f>
        <v/>
      </c>
      <c r="N73" s="151" t="n">
        <f aca="false">IF(ISNUMBER(B73),IF(K73&gt;M73,I73*'13_Mapa_Liq'!$C$15,0),0)</f>
        <v>0</v>
      </c>
      <c r="O73" s="151" t="str">
        <f aca="false">IF(ISNUMBER(B73),B73*(1+1/'13_Mapa_Liq'!$B$15-'13_Mapa_Liq'!$B$6),"")</f>
        <v/>
      </c>
      <c r="P73" s="151" t="n">
        <f aca="false">IF(ISNUMBER(B73),IF(L73&lt;O73,J73*'13_Mapa_Liq'!$C$15,0),0)</f>
        <v>0</v>
      </c>
      <c r="Q73" s="151" t="str">
        <f aca="false">IF(ISNUMBER(B73),B73*(1-1/'13_Mapa_Liq'!$B$16+'13_Mapa_Liq'!$B$6),"")</f>
        <v/>
      </c>
      <c r="R73" s="151" t="n">
        <f aca="false">IF(ISNUMBER(B73),IF(K73&gt;Q73,I73*'13_Mapa_Liq'!$C$16,0),0)</f>
        <v>0</v>
      </c>
      <c r="S73" s="151" t="str">
        <f aca="false">IF(ISNUMBER(B73),B73*(1+1/'13_Mapa_Liq'!$B$16-'13_Mapa_Liq'!$B$6),"")</f>
        <v/>
      </c>
      <c r="T73" s="151" t="n">
        <f aca="false">IF(ISNUMBER(B73),IF(L73&lt;S73,J73*'13_Mapa_Liq'!$C$16,0),0)</f>
        <v>0</v>
      </c>
      <c r="U73" s="151" t="str">
        <f aca="false">IF(ISNUMBER(B73),B73*(1-1/'13_Mapa_Liq'!$B$17+'13_Mapa_Liq'!$B$6),"")</f>
        <v/>
      </c>
      <c r="V73" s="151" t="n">
        <f aca="false">IF(ISNUMBER(B73),IF(K73&gt;U73,I73*'13_Mapa_Liq'!$C$17,0),0)</f>
        <v>0</v>
      </c>
      <c r="W73" s="151" t="str">
        <f aca="false">IF(ISNUMBER(B73),B73*(1+1/'13_Mapa_Liq'!$B$17-'13_Mapa_Liq'!$B$6),"")</f>
        <v/>
      </c>
      <c r="X73" s="151" t="n">
        <f aca="false">IF(ISNUMBER(B73),IF(L73&lt;W73,J73*'13_Mapa_Liq'!$C$17,0),0)</f>
        <v>0</v>
      </c>
      <c r="Y73" s="151" t="str">
        <f aca="false">IF(ISNUMBER(B73),B73*(1-1/'13_Mapa_Liq'!$B$18+'13_Mapa_Liq'!$B$6),"")</f>
        <v/>
      </c>
      <c r="Z73" s="151" t="n">
        <f aca="false">IF(ISNUMBER(B73),IF(K73&gt;Y73,I73*'13_Mapa_Liq'!$C$18,0),0)</f>
        <v>0</v>
      </c>
      <c r="AA73" s="151" t="str">
        <f aca="false">IF(ISNUMBER(B73),B73*(1+1/'13_Mapa_Liq'!$B$18-'13_Mapa_Liq'!$B$6),"")</f>
        <v/>
      </c>
      <c r="AB73" s="151" t="n">
        <f aca="false">IF(ISNUMBER(B73),IF(L73&lt;AA73,J73*'13_Mapa_Liq'!$C$18,0),0)</f>
        <v>0</v>
      </c>
      <c r="AC73" s="151" t="str">
        <f aca="false">IF(ISNUMBER(B73),B73*(1-1/'13_Mapa_Liq'!$B$19+'13_Mapa_Liq'!$B$6),"")</f>
        <v/>
      </c>
      <c r="AD73" s="151" t="n">
        <f aca="false">IF(ISNUMBER(B73),IF(K73&gt;AC73,I73*'13_Mapa_Liq'!$C$19,0),0)</f>
        <v>0</v>
      </c>
      <c r="AE73" s="151" t="str">
        <f aca="false">IF(ISNUMBER(B73),B73*(1+1/'13_Mapa_Liq'!$B$19-'13_Mapa_Liq'!$B$6),"")</f>
        <v/>
      </c>
      <c r="AF73" s="151" t="n">
        <f aca="false">IF(ISNUMBER(B73),IF(L73&lt;AE73,J73*'13_Mapa_Liq'!$C$19,0),0)</f>
        <v>0</v>
      </c>
      <c r="AG73" s="151"/>
      <c r="AH73" s="151" t="n">
        <f aca="false">IF(ISNUMBER(B73),E73*F73*((K73&lt;=M73)*'13_Mapa_Liq'!$C$15+(K73&lt;=Q73)*'13_Mapa_Liq'!$C$16+(K73&lt;=U73)*'13_Mapa_Liq'!$C$17+(K73&lt;=Y73)*'13_Mapa_Liq'!$C$18+(K73&lt;=AC73)*'13_Mapa_Liq'!$C$19),0)</f>
        <v>0</v>
      </c>
      <c r="AI73" s="151" t="n">
        <f aca="false">IF(ISNUMBER(B73),E73*(1-F73)*((L73&gt;=O73)*'13_Mapa_Liq'!$C$15+(L73&gt;=S73)*'13_Mapa_Liq'!$C$16+(L73&gt;=W73)*'13_Mapa_Liq'!$C$17+(L73&gt;=AA73)*'13_Mapa_Liq'!$C$18+(L73&gt;=AE73)*'13_Mapa_Liq'!$C$19),0)</f>
        <v>0</v>
      </c>
    </row>
    <row r="74" customFormat="false" ht="15" hidden="false" customHeight="false" outlineLevel="0" collapsed="false">
      <c r="A74" s="151" t="str">
        <f aca="false">IF(ISNUMBER('12_Datos_5m'!F74),ROW()-4,"")</f>
        <v/>
      </c>
      <c r="B74" s="151" t="str">
        <f aca="false">IF(ISNUMBER('12_Datos_5m'!F74),'12_Datos_5m'!F74,"")</f>
        <v/>
      </c>
      <c r="C74" s="151" t="str">
        <f aca="false">IF(ISNUMBER('12_Datos_5m'!A74),'12_Datos_5m'!A74,"")</f>
        <v/>
      </c>
      <c r="D74" s="151" t="n">
        <f aca="false">IF(AND(ISNUMBER('12_Datos_5m'!I74),ISNUMBER('12_Datos_5m'!I73)),'12_Datos_5m'!I74-'12_Datos_5m'!I73,0)</f>
        <v>0</v>
      </c>
      <c r="E74" s="151" t="n">
        <f aca="false">MAX(0,D74)</f>
        <v>0</v>
      </c>
      <c r="F74" s="151" t="n">
        <f aca="false">IF(AND(ISNUMBER('12_Datos_5m'!G74),N('12_Datos_5m'!G74)&gt;0),'12_Datos_5m'!H74/'12_Datos_5m'!G74,0.5)</f>
        <v>0.5</v>
      </c>
      <c r="G74" s="151" t="n">
        <f aca="false">IF(ISNUMBER(C74),($C$2-C74)/3600000,0)</f>
        <v>0</v>
      </c>
      <c r="H74" s="151" t="n">
        <f aca="false">EXP(-G74/'13_Mapa_Liq'!$B$7)</f>
        <v>1</v>
      </c>
      <c r="I74" s="151" t="n">
        <f aca="false">E74*F74*H74</f>
        <v>0</v>
      </c>
      <c r="J74" s="151" t="n">
        <f aca="false">E74*(1-F74)*H74</f>
        <v>0</v>
      </c>
      <c r="K74" s="151" t="n">
        <f aca="false">IF(COUNT('12_Datos_5m'!E75:E$504)=0,1000000000000,MIN('12_Datos_5m'!E75:E$504))</f>
        <v>1000000000000</v>
      </c>
      <c r="L74" s="151" t="n">
        <f aca="false">IF(COUNT('12_Datos_5m'!D75:D$504)=0,0,MAX('12_Datos_5m'!D75:D$504))</f>
        <v>0</v>
      </c>
      <c r="M74" s="151" t="str">
        <f aca="false">IF(ISNUMBER(B74),B74*(1-1/'13_Mapa_Liq'!$B$15+'13_Mapa_Liq'!$B$6),"")</f>
        <v/>
      </c>
      <c r="N74" s="151" t="n">
        <f aca="false">IF(ISNUMBER(B74),IF(K74&gt;M74,I74*'13_Mapa_Liq'!$C$15,0),0)</f>
        <v>0</v>
      </c>
      <c r="O74" s="151" t="str">
        <f aca="false">IF(ISNUMBER(B74),B74*(1+1/'13_Mapa_Liq'!$B$15-'13_Mapa_Liq'!$B$6),"")</f>
        <v/>
      </c>
      <c r="P74" s="151" t="n">
        <f aca="false">IF(ISNUMBER(B74),IF(L74&lt;O74,J74*'13_Mapa_Liq'!$C$15,0),0)</f>
        <v>0</v>
      </c>
      <c r="Q74" s="151" t="str">
        <f aca="false">IF(ISNUMBER(B74),B74*(1-1/'13_Mapa_Liq'!$B$16+'13_Mapa_Liq'!$B$6),"")</f>
        <v/>
      </c>
      <c r="R74" s="151" t="n">
        <f aca="false">IF(ISNUMBER(B74),IF(K74&gt;Q74,I74*'13_Mapa_Liq'!$C$16,0),0)</f>
        <v>0</v>
      </c>
      <c r="S74" s="151" t="str">
        <f aca="false">IF(ISNUMBER(B74),B74*(1+1/'13_Mapa_Liq'!$B$16-'13_Mapa_Liq'!$B$6),"")</f>
        <v/>
      </c>
      <c r="T74" s="151" t="n">
        <f aca="false">IF(ISNUMBER(B74),IF(L74&lt;S74,J74*'13_Mapa_Liq'!$C$16,0),0)</f>
        <v>0</v>
      </c>
      <c r="U74" s="151" t="str">
        <f aca="false">IF(ISNUMBER(B74),B74*(1-1/'13_Mapa_Liq'!$B$17+'13_Mapa_Liq'!$B$6),"")</f>
        <v/>
      </c>
      <c r="V74" s="151" t="n">
        <f aca="false">IF(ISNUMBER(B74),IF(K74&gt;U74,I74*'13_Mapa_Liq'!$C$17,0),0)</f>
        <v>0</v>
      </c>
      <c r="W74" s="151" t="str">
        <f aca="false">IF(ISNUMBER(B74),B74*(1+1/'13_Mapa_Liq'!$B$17-'13_Mapa_Liq'!$B$6),"")</f>
        <v/>
      </c>
      <c r="X74" s="151" t="n">
        <f aca="false">IF(ISNUMBER(B74),IF(L74&lt;W74,J74*'13_Mapa_Liq'!$C$17,0),0)</f>
        <v>0</v>
      </c>
      <c r="Y74" s="151" t="str">
        <f aca="false">IF(ISNUMBER(B74),B74*(1-1/'13_Mapa_Liq'!$B$18+'13_Mapa_Liq'!$B$6),"")</f>
        <v/>
      </c>
      <c r="Z74" s="151" t="n">
        <f aca="false">IF(ISNUMBER(B74),IF(K74&gt;Y74,I74*'13_Mapa_Liq'!$C$18,0),0)</f>
        <v>0</v>
      </c>
      <c r="AA74" s="151" t="str">
        <f aca="false">IF(ISNUMBER(B74),B74*(1+1/'13_Mapa_Liq'!$B$18-'13_Mapa_Liq'!$B$6),"")</f>
        <v/>
      </c>
      <c r="AB74" s="151" t="n">
        <f aca="false">IF(ISNUMBER(B74),IF(L74&lt;AA74,J74*'13_Mapa_Liq'!$C$18,0),0)</f>
        <v>0</v>
      </c>
      <c r="AC74" s="151" t="str">
        <f aca="false">IF(ISNUMBER(B74),B74*(1-1/'13_Mapa_Liq'!$B$19+'13_Mapa_Liq'!$B$6),"")</f>
        <v/>
      </c>
      <c r="AD74" s="151" t="n">
        <f aca="false">IF(ISNUMBER(B74),IF(K74&gt;AC74,I74*'13_Mapa_Liq'!$C$19,0),0)</f>
        <v>0</v>
      </c>
      <c r="AE74" s="151" t="str">
        <f aca="false">IF(ISNUMBER(B74),B74*(1+1/'13_Mapa_Liq'!$B$19-'13_Mapa_Liq'!$B$6),"")</f>
        <v/>
      </c>
      <c r="AF74" s="151" t="n">
        <f aca="false">IF(ISNUMBER(B74),IF(L74&lt;AE74,J74*'13_Mapa_Liq'!$C$19,0),0)</f>
        <v>0</v>
      </c>
      <c r="AG74" s="151"/>
      <c r="AH74" s="151" t="n">
        <f aca="false">IF(ISNUMBER(B74),E74*F74*((K74&lt;=M74)*'13_Mapa_Liq'!$C$15+(K74&lt;=Q74)*'13_Mapa_Liq'!$C$16+(K74&lt;=U74)*'13_Mapa_Liq'!$C$17+(K74&lt;=Y74)*'13_Mapa_Liq'!$C$18+(K74&lt;=AC74)*'13_Mapa_Liq'!$C$19),0)</f>
        <v>0</v>
      </c>
      <c r="AI74" s="151" t="n">
        <f aca="false">IF(ISNUMBER(B74),E74*(1-F74)*((L74&gt;=O74)*'13_Mapa_Liq'!$C$15+(L74&gt;=S74)*'13_Mapa_Liq'!$C$16+(L74&gt;=W74)*'13_Mapa_Liq'!$C$17+(L74&gt;=AA74)*'13_Mapa_Liq'!$C$18+(L74&gt;=AE74)*'13_Mapa_Liq'!$C$19),0)</f>
        <v>0</v>
      </c>
    </row>
    <row r="75" customFormat="false" ht="15" hidden="false" customHeight="false" outlineLevel="0" collapsed="false">
      <c r="A75" s="151" t="str">
        <f aca="false">IF(ISNUMBER('12_Datos_5m'!F75),ROW()-4,"")</f>
        <v/>
      </c>
      <c r="B75" s="151" t="str">
        <f aca="false">IF(ISNUMBER('12_Datos_5m'!F75),'12_Datos_5m'!F75,"")</f>
        <v/>
      </c>
      <c r="C75" s="151" t="str">
        <f aca="false">IF(ISNUMBER('12_Datos_5m'!A75),'12_Datos_5m'!A75,"")</f>
        <v/>
      </c>
      <c r="D75" s="151" t="n">
        <f aca="false">IF(AND(ISNUMBER('12_Datos_5m'!I75),ISNUMBER('12_Datos_5m'!I74)),'12_Datos_5m'!I75-'12_Datos_5m'!I74,0)</f>
        <v>0</v>
      </c>
      <c r="E75" s="151" t="n">
        <f aca="false">MAX(0,D75)</f>
        <v>0</v>
      </c>
      <c r="F75" s="151" t="n">
        <f aca="false">IF(AND(ISNUMBER('12_Datos_5m'!G75),N('12_Datos_5m'!G75)&gt;0),'12_Datos_5m'!H75/'12_Datos_5m'!G75,0.5)</f>
        <v>0.5</v>
      </c>
      <c r="G75" s="151" t="n">
        <f aca="false">IF(ISNUMBER(C75),($C$2-C75)/3600000,0)</f>
        <v>0</v>
      </c>
      <c r="H75" s="151" t="n">
        <f aca="false">EXP(-G75/'13_Mapa_Liq'!$B$7)</f>
        <v>1</v>
      </c>
      <c r="I75" s="151" t="n">
        <f aca="false">E75*F75*H75</f>
        <v>0</v>
      </c>
      <c r="J75" s="151" t="n">
        <f aca="false">E75*(1-F75)*H75</f>
        <v>0</v>
      </c>
      <c r="K75" s="151" t="n">
        <f aca="false">IF(COUNT('12_Datos_5m'!E76:E$504)=0,1000000000000,MIN('12_Datos_5m'!E76:E$504))</f>
        <v>1000000000000</v>
      </c>
      <c r="L75" s="151" t="n">
        <f aca="false">IF(COUNT('12_Datos_5m'!D76:D$504)=0,0,MAX('12_Datos_5m'!D76:D$504))</f>
        <v>0</v>
      </c>
      <c r="M75" s="151" t="str">
        <f aca="false">IF(ISNUMBER(B75),B75*(1-1/'13_Mapa_Liq'!$B$15+'13_Mapa_Liq'!$B$6),"")</f>
        <v/>
      </c>
      <c r="N75" s="151" t="n">
        <f aca="false">IF(ISNUMBER(B75),IF(K75&gt;M75,I75*'13_Mapa_Liq'!$C$15,0),0)</f>
        <v>0</v>
      </c>
      <c r="O75" s="151" t="str">
        <f aca="false">IF(ISNUMBER(B75),B75*(1+1/'13_Mapa_Liq'!$B$15-'13_Mapa_Liq'!$B$6),"")</f>
        <v/>
      </c>
      <c r="P75" s="151" t="n">
        <f aca="false">IF(ISNUMBER(B75),IF(L75&lt;O75,J75*'13_Mapa_Liq'!$C$15,0),0)</f>
        <v>0</v>
      </c>
      <c r="Q75" s="151" t="str">
        <f aca="false">IF(ISNUMBER(B75),B75*(1-1/'13_Mapa_Liq'!$B$16+'13_Mapa_Liq'!$B$6),"")</f>
        <v/>
      </c>
      <c r="R75" s="151" t="n">
        <f aca="false">IF(ISNUMBER(B75),IF(K75&gt;Q75,I75*'13_Mapa_Liq'!$C$16,0),0)</f>
        <v>0</v>
      </c>
      <c r="S75" s="151" t="str">
        <f aca="false">IF(ISNUMBER(B75),B75*(1+1/'13_Mapa_Liq'!$B$16-'13_Mapa_Liq'!$B$6),"")</f>
        <v/>
      </c>
      <c r="T75" s="151" t="n">
        <f aca="false">IF(ISNUMBER(B75),IF(L75&lt;S75,J75*'13_Mapa_Liq'!$C$16,0),0)</f>
        <v>0</v>
      </c>
      <c r="U75" s="151" t="str">
        <f aca="false">IF(ISNUMBER(B75),B75*(1-1/'13_Mapa_Liq'!$B$17+'13_Mapa_Liq'!$B$6),"")</f>
        <v/>
      </c>
      <c r="V75" s="151" t="n">
        <f aca="false">IF(ISNUMBER(B75),IF(K75&gt;U75,I75*'13_Mapa_Liq'!$C$17,0),0)</f>
        <v>0</v>
      </c>
      <c r="W75" s="151" t="str">
        <f aca="false">IF(ISNUMBER(B75),B75*(1+1/'13_Mapa_Liq'!$B$17-'13_Mapa_Liq'!$B$6),"")</f>
        <v/>
      </c>
      <c r="X75" s="151" t="n">
        <f aca="false">IF(ISNUMBER(B75),IF(L75&lt;W75,J75*'13_Mapa_Liq'!$C$17,0),0)</f>
        <v>0</v>
      </c>
      <c r="Y75" s="151" t="str">
        <f aca="false">IF(ISNUMBER(B75),B75*(1-1/'13_Mapa_Liq'!$B$18+'13_Mapa_Liq'!$B$6),"")</f>
        <v/>
      </c>
      <c r="Z75" s="151" t="n">
        <f aca="false">IF(ISNUMBER(B75),IF(K75&gt;Y75,I75*'13_Mapa_Liq'!$C$18,0),0)</f>
        <v>0</v>
      </c>
      <c r="AA75" s="151" t="str">
        <f aca="false">IF(ISNUMBER(B75),B75*(1+1/'13_Mapa_Liq'!$B$18-'13_Mapa_Liq'!$B$6),"")</f>
        <v/>
      </c>
      <c r="AB75" s="151" t="n">
        <f aca="false">IF(ISNUMBER(B75),IF(L75&lt;AA75,J75*'13_Mapa_Liq'!$C$18,0),0)</f>
        <v>0</v>
      </c>
      <c r="AC75" s="151" t="str">
        <f aca="false">IF(ISNUMBER(B75),B75*(1-1/'13_Mapa_Liq'!$B$19+'13_Mapa_Liq'!$B$6),"")</f>
        <v/>
      </c>
      <c r="AD75" s="151" t="n">
        <f aca="false">IF(ISNUMBER(B75),IF(K75&gt;AC75,I75*'13_Mapa_Liq'!$C$19,0),0)</f>
        <v>0</v>
      </c>
      <c r="AE75" s="151" t="str">
        <f aca="false">IF(ISNUMBER(B75),B75*(1+1/'13_Mapa_Liq'!$B$19-'13_Mapa_Liq'!$B$6),"")</f>
        <v/>
      </c>
      <c r="AF75" s="151" t="n">
        <f aca="false">IF(ISNUMBER(B75),IF(L75&lt;AE75,J75*'13_Mapa_Liq'!$C$19,0),0)</f>
        <v>0</v>
      </c>
      <c r="AG75" s="151"/>
      <c r="AH75" s="151" t="n">
        <f aca="false">IF(ISNUMBER(B75),E75*F75*((K75&lt;=M75)*'13_Mapa_Liq'!$C$15+(K75&lt;=Q75)*'13_Mapa_Liq'!$C$16+(K75&lt;=U75)*'13_Mapa_Liq'!$C$17+(K75&lt;=Y75)*'13_Mapa_Liq'!$C$18+(K75&lt;=AC75)*'13_Mapa_Liq'!$C$19),0)</f>
        <v>0</v>
      </c>
      <c r="AI75" s="151" t="n">
        <f aca="false">IF(ISNUMBER(B75),E75*(1-F75)*((L75&gt;=O75)*'13_Mapa_Liq'!$C$15+(L75&gt;=S75)*'13_Mapa_Liq'!$C$16+(L75&gt;=W75)*'13_Mapa_Liq'!$C$17+(L75&gt;=AA75)*'13_Mapa_Liq'!$C$18+(L75&gt;=AE75)*'13_Mapa_Liq'!$C$19),0)</f>
        <v>0</v>
      </c>
    </row>
    <row r="76" customFormat="false" ht="15" hidden="false" customHeight="false" outlineLevel="0" collapsed="false">
      <c r="A76" s="151" t="str">
        <f aca="false">IF(ISNUMBER('12_Datos_5m'!F76),ROW()-4,"")</f>
        <v/>
      </c>
      <c r="B76" s="151" t="str">
        <f aca="false">IF(ISNUMBER('12_Datos_5m'!F76),'12_Datos_5m'!F76,"")</f>
        <v/>
      </c>
      <c r="C76" s="151" t="str">
        <f aca="false">IF(ISNUMBER('12_Datos_5m'!A76),'12_Datos_5m'!A76,"")</f>
        <v/>
      </c>
      <c r="D76" s="151" t="n">
        <f aca="false">IF(AND(ISNUMBER('12_Datos_5m'!I76),ISNUMBER('12_Datos_5m'!I75)),'12_Datos_5m'!I76-'12_Datos_5m'!I75,0)</f>
        <v>0</v>
      </c>
      <c r="E76" s="151" t="n">
        <f aca="false">MAX(0,D76)</f>
        <v>0</v>
      </c>
      <c r="F76" s="151" t="n">
        <f aca="false">IF(AND(ISNUMBER('12_Datos_5m'!G76),N('12_Datos_5m'!G76)&gt;0),'12_Datos_5m'!H76/'12_Datos_5m'!G76,0.5)</f>
        <v>0.5</v>
      </c>
      <c r="G76" s="151" t="n">
        <f aca="false">IF(ISNUMBER(C76),($C$2-C76)/3600000,0)</f>
        <v>0</v>
      </c>
      <c r="H76" s="151" t="n">
        <f aca="false">EXP(-G76/'13_Mapa_Liq'!$B$7)</f>
        <v>1</v>
      </c>
      <c r="I76" s="151" t="n">
        <f aca="false">E76*F76*H76</f>
        <v>0</v>
      </c>
      <c r="J76" s="151" t="n">
        <f aca="false">E76*(1-F76)*H76</f>
        <v>0</v>
      </c>
      <c r="K76" s="151" t="n">
        <f aca="false">IF(COUNT('12_Datos_5m'!E77:E$504)=0,1000000000000,MIN('12_Datos_5m'!E77:E$504))</f>
        <v>1000000000000</v>
      </c>
      <c r="L76" s="151" t="n">
        <f aca="false">IF(COUNT('12_Datos_5m'!D77:D$504)=0,0,MAX('12_Datos_5m'!D77:D$504))</f>
        <v>0</v>
      </c>
      <c r="M76" s="151" t="str">
        <f aca="false">IF(ISNUMBER(B76),B76*(1-1/'13_Mapa_Liq'!$B$15+'13_Mapa_Liq'!$B$6),"")</f>
        <v/>
      </c>
      <c r="N76" s="151" t="n">
        <f aca="false">IF(ISNUMBER(B76),IF(K76&gt;M76,I76*'13_Mapa_Liq'!$C$15,0),0)</f>
        <v>0</v>
      </c>
      <c r="O76" s="151" t="str">
        <f aca="false">IF(ISNUMBER(B76),B76*(1+1/'13_Mapa_Liq'!$B$15-'13_Mapa_Liq'!$B$6),"")</f>
        <v/>
      </c>
      <c r="P76" s="151" t="n">
        <f aca="false">IF(ISNUMBER(B76),IF(L76&lt;O76,J76*'13_Mapa_Liq'!$C$15,0),0)</f>
        <v>0</v>
      </c>
      <c r="Q76" s="151" t="str">
        <f aca="false">IF(ISNUMBER(B76),B76*(1-1/'13_Mapa_Liq'!$B$16+'13_Mapa_Liq'!$B$6),"")</f>
        <v/>
      </c>
      <c r="R76" s="151" t="n">
        <f aca="false">IF(ISNUMBER(B76),IF(K76&gt;Q76,I76*'13_Mapa_Liq'!$C$16,0),0)</f>
        <v>0</v>
      </c>
      <c r="S76" s="151" t="str">
        <f aca="false">IF(ISNUMBER(B76),B76*(1+1/'13_Mapa_Liq'!$B$16-'13_Mapa_Liq'!$B$6),"")</f>
        <v/>
      </c>
      <c r="T76" s="151" t="n">
        <f aca="false">IF(ISNUMBER(B76),IF(L76&lt;S76,J76*'13_Mapa_Liq'!$C$16,0),0)</f>
        <v>0</v>
      </c>
      <c r="U76" s="151" t="str">
        <f aca="false">IF(ISNUMBER(B76),B76*(1-1/'13_Mapa_Liq'!$B$17+'13_Mapa_Liq'!$B$6),"")</f>
        <v/>
      </c>
      <c r="V76" s="151" t="n">
        <f aca="false">IF(ISNUMBER(B76),IF(K76&gt;U76,I76*'13_Mapa_Liq'!$C$17,0),0)</f>
        <v>0</v>
      </c>
      <c r="W76" s="151" t="str">
        <f aca="false">IF(ISNUMBER(B76),B76*(1+1/'13_Mapa_Liq'!$B$17-'13_Mapa_Liq'!$B$6),"")</f>
        <v/>
      </c>
      <c r="X76" s="151" t="n">
        <f aca="false">IF(ISNUMBER(B76),IF(L76&lt;W76,J76*'13_Mapa_Liq'!$C$17,0),0)</f>
        <v>0</v>
      </c>
      <c r="Y76" s="151" t="str">
        <f aca="false">IF(ISNUMBER(B76),B76*(1-1/'13_Mapa_Liq'!$B$18+'13_Mapa_Liq'!$B$6),"")</f>
        <v/>
      </c>
      <c r="Z76" s="151" t="n">
        <f aca="false">IF(ISNUMBER(B76),IF(K76&gt;Y76,I76*'13_Mapa_Liq'!$C$18,0),0)</f>
        <v>0</v>
      </c>
      <c r="AA76" s="151" t="str">
        <f aca="false">IF(ISNUMBER(B76),B76*(1+1/'13_Mapa_Liq'!$B$18-'13_Mapa_Liq'!$B$6),"")</f>
        <v/>
      </c>
      <c r="AB76" s="151" t="n">
        <f aca="false">IF(ISNUMBER(B76),IF(L76&lt;AA76,J76*'13_Mapa_Liq'!$C$18,0),0)</f>
        <v>0</v>
      </c>
      <c r="AC76" s="151" t="str">
        <f aca="false">IF(ISNUMBER(B76),B76*(1-1/'13_Mapa_Liq'!$B$19+'13_Mapa_Liq'!$B$6),"")</f>
        <v/>
      </c>
      <c r="AD76" s="151" t="n">
        <f aca="false">IF(ISNUMBER(B76),IF(K76&gt;AC76,I76*'13_Mapa_Liq'!$C$19,0),0)</f>
        <v>0</v>
      </c>
      <c r="AE76" s="151" t="str">
        <f aca="false">IF(ISNUMBER(B76),B76*(1+1/'13_Mapa_Liq'!$B$19-'13_Mapa_Liq'!$B$6),"")</f>
        <v/>
      </c>
      <c r="AF76" s="151" t="n">
        <f aca="false">IF(ISNUMBER(B76),IF(L76&lt;AE76,J76*'13_Mapa_Liq'!$C$19,0),0)</f>
        <v>0</v>
      </c>
      <c r="AG76" s="151"/>
      <c r="AH76" s="151" t="n">
        <f aca="false">IF(ISNUMBER(B76),E76*F76*((K76&lt;=M76)*'13_Mapa_Liq'!$C$15+(K76&lt;=Q76)*'13_Mapa_Liq'!$C$16+(K76&lt;=U76)*'13_Mapa_Liq'!$C$17+(K76&lt;=Y76)*'13_Mapa_Liq'!$C$18+(K76&lt;=AC76)*'13_Mapa_Liq'!$C$19),0)</f>
        <v>0</v>
      </c>
      <c r="AI76" s="151" t="n">
        <f aca="false">IF(ISNUMBER(B76),E76*(1-F76)*((L76&gt;=O76)*'13_Mapa_Liq'!$C$15+(L76&gt;=S76)*'13_Mapa_Liq'!$C$16+(L76&gt;=W76)*'13_Mapa_Liq'!$C$17+(L76&gt;=AA76)*'13_Mapa_Liq'!$C$18+(L76&gt;=AE76)*'13_Mapa_Liq'!$C$19),0)</f>
        <v>0</v>
      </c>
    </row>
    <row r="77" customFormat="false" ht="15" hidden="false" customHeight="false" outlineLevel="0" collapsed="false">
      <c r="A77" s="151" t="str">
        <f aca="false">IF(ISNUMBER('12_Datos_5m'!F77),ROW()-4,"")</f>
        <v/>
      </c>
      <c r="B77" s="151" t="str">
        <f aca="false">IF(ISNUMBER('12_Datos_5m'!F77),'12_Datos_5m'!F77,"")</f>
        <v/>
      </c>
      <c r="C77" s="151" t="str">
        <f aca="false">IF(ISNUMBER('12_Datos_5m'!A77),'12_Datos_5m'!A77,"")</f>
        <v/>
      </c>
      <c r="D77" s="151" t="n">
        <f aca="false">IF(AND(ISNUMBER('12_Datos_5m'!I77),ISNUMBER('12_Datos_5m'!I76)),'12_Datos_5m'!I77-'12_Datos_5m'!I76,0)</f>
        <v>0</v>
      </c>
      <c r="E77" s="151" t="n">
        <f aca="false">MAX(0,D77)</f>
        <v>0</v>
      </c>
      <c r="F77" s="151" t="n">
        <f aca="false">IF(AND(ISNUMBER('12_Datos_5m'!G77),N('12_Datos_5m'!G77)&gt;0),'12_Datos_5m'!H77/'12_Datos_5m'!G77,0.5)</f>
        <v>0.5</v>
      </c>
      <c r="G77" s="151" t="n">
        <f aca="false">IF(ISNUMBER(C77),($C$2-C77)/3600000,0)</f>
        <v>0</v>
      </c>
      <c r="H77" s="151" t="n">
        <f aca="false">EXP(-G77/'13_Mapa_Liq'!$B$7)</f>
        <v>1</v>
      </c>
      <c r="I77" s="151" t="n">
        <f aca="false">E77*F77*H77</f>
        <v>0</v>
      </c>
      <c r="J77" s="151" t="n">
        <f aca="false">E77*(1-F77)*H77</f>
        <v>0</v>
      </c>
      <c r="K77" s="151" t="n">
        <f aca="false">IF(COUNT('12_Datos_5m'!E78:E$504)=0,1000000000000,MIN('12_Datos_5m'!E78:E$504))</f>
        <v>1000000000000</v>
      </c>
      <c r="L77" s="151" t="n">
        <f aca="false">IF(COUNT('12_Datos_5m'!D78:D$504)=0,0,MAX('12_Datos_5m'!D78:D$504))</f>
        <v>0</v>
      </c>
      <c r="M77" s="151" t="str">
        <f aca="false">IF(ISNUMBER(B77),B77*(1-1/'13_Mapa_Liq'!$B$15+'13_Mapa_Liq'!$B$6),"")</f>
        <v/>
      </c>
      <c r="N77" s="151" t="n">
        <f aca="false">IF(ISNUMBER(B77),IF(K77&gt;M77,I77*'13_Mapa_Liq'!$C$15,0),0)</f>
        <v>0</v>
      </c>
      <c r="O77" s="151" t="str">
        <f aca="false">IF(ISNUMBER(B77),B77*(1+1/'13_Mapa_Liq'!$B$15-'13_Mapa_Liq'!$B$6),"")</f>
        <v/>
      </c>
      <c r="P77" s="151" t="n">
        <f aca="false">IF(ISNUMBER(B77),IF(L77&lt;O77,J77*'13_Mapa_Liq'!$C$15,0),0)</f>
        <v>0</v>
      </c>
      <c r="Q77" s="151" t="str">
        <f aca="false">IF(ISNUMBER(B77),B77*(1-1/'13_Mapa_Liq'!$B$16+'13_Mapa_Liq'!$B$6),"")</f>
        <v/>
      </c>
      <c r="R77" s="151" t="n">
        <f aca="false">IF(ISNUMBER(B77),IF(K77&gt;Q77,I77*'13_Mapa_Liq'!$C$16,0),0)</f>
        <v>0</v>
      </c>
      <c r="S77" s="151" t="str">
        <f aca="false">IF(ISNUMBER(B77),B77*(1+1/'13_Mapa_Liq'!$B$16-'13_Mapa_Liq'!$B$6),"")</f>
        <v/>
      </c>
      <c r="T77" s="151" t="n">
        <f aca="false">IF(ISNUMBER(B77),IF(L77&lt;S77,J77*'13_Mapa_Liq'!$C$16,0),0)</f>
        <v>0</v>
      </c>
      <c r="U77" s="151" t="str">
        <f aca="false">IF(ISNUMBER(B77),B77*(1-1/'13_Mapa_Liq'!$B$17+'13_Mapa_Liq'!$B$6),"")</f>
        <v/>
      </c>
      <c r="V77" s="151" t="n">
        <f aca="false">IF(ISNUMBER(B77),IF(K77&gt;U77,I77*'13_Mapa_Liq'!$C$17,0),0)</f>
        <v>0</v>
      </c>
      <c r="W77" s="151" t="str">
        <f aca="false">IF(ISNUMBER(B77),B77*(1+1/'13_Mapa_Liq'!$B$17-'13_Mapa_Liq'!$B$6),"")</f>
        <v/>
      </c>
      <c r="X77" s="151" t="n">
        <f aca="false">IF(ISNUMBER(B77),IF(L77&lt;W77,J77*'13_Mapa_Liq'!$C$17,0),0)</f>
        <v>0</v>
      </c>
      <c r="Y77" s="151" t="str">
        <f aca="false">IF(ISNUMBER(B77),B77*(1-1/'13_Mapa_Liq'!$B$18+'13_Mapa_Liq'!$B$6),"")</f>
        <v/>
      </c>
      <c r="Z77" s="151" t="n">
        <f aca="false">IF(ISNUMBER(B77),IF(K77&gt;Y77,I77*'13_Mapa_Liq'!$C$18,0),0)</f>
        <v>0</v>
      </c>
      <c r="AA77" s="151" t="str">
        <f aca="false">IF(ISNUMBER(B77),B77*(1+1/'13_Mapa_Liq'!$B$18-'13_Mapa_Liq'!$B$6),"")</f>
        <v/>
      </c>
      <c r="AB77" s="151" t="n">
        <f aca="false">IF(ISNUMBER(B77),IF(L77&lt;AA77,J77*'13_Mapa_Liq'!$C$18,0),0)</f>
        <v>0</v>
      </c>
      <c r="AC77" s="151" t="str">
        <f aca="false">IF(ISNUMBER(B77),B77*(1-1/'13_Mapa_Liq'!$B$19+'13_Mapa_Liq'!$B$6),"")</f>
        <v/>
      </c>
      <c r="AD77" s="151" t="n">
        <f aca="false">IF(ISNUMBER(B77),IF(K77&gt;AC77,I77*'13_Mapa_Liq'!$C$19,0),0)</f>
        <v>0</v>
      </c>
      <c r="AE77" s="151" t="str">
        <f aca="false">IF(ISNUMBER(B77),B77*(1+1/'13_Mapa_Liq'!$B$19-'13_Mapa_Liq'!$B$6),"")</f>
        <v/>
      </c>
      <c r="AF77" s="151" t="n">
        <f aca="false">IF(ISNUMBER(B77),IF(L77&lt;AE77,J77*'13_Mapa_Liq'!$C$19,0),0)</f>
        <v>0</v>
      </c>
      <c r="AG77" s="151"/>
      <c r="AH77" s="151" t="n">
        <f aca="false">IF(ISNUMBER(B77),E77*F77*((K77&lt;=M77)*'13_Mapa_Liq'!$C$15+(K77&lt;=Q77)*'13_Mapa_Liq'!$C$16+(K77&lt;=U77)*'13_Mapa_Liq'!$C$17+(K77&lt;=Y77)*'13_Mapa_Liq'!$C$18+(K77&lt;=AC77)*'13_Mapa_Liq'!$C$19),0)</f>
        <v>0</v>
      </c>
      <c r="AI77" s="151" t="n">
        <f aca="false">IF(ISNUMBER(B77),E77*(1-F77)*((L77&gt;=O77)*'13_Mapa_Liq'!$C$15+(L77&gt;=S77)*'13_Mapa_Liq'!$C$16+(L77&gt;=W77)*'13_Mapa_Liq'!$C$17+(L77&gt;=AA77)*'13_Mapa_Liq'!$C$18+(L77&gt;=AE77)*'13_Mapa_Liq'!$C$19),0)</f>
        <v>0</v>
      </c>
    </row>
    <row r="78" customFormat="false" ht="15" hidden="false" customHeight="false" outlineLevel="0" collapsed="false">
      <c r="A78" s="151" t="str">
        <f aca="false">IF(ISNUMBER('12_Datos_5m'!F78),ROW()-4,"")</f>
        <v/>
      </c>
      <c r="B78" s="151" t="str">
        <f aca="false">IF(ISNUMBER('12_Datos_5m'!F78),'12_Datos_5m'!F78,"")</f>
        <v/>
      </c>
      <c r="C78" s="151" t="str">
        <f aca="false">IF(ISNUMBER('12_Datos_5m'!A78),'12_Datos_5m'!A78,"")</f>
        <v/>
      </c>
      <c r="D78" s="151" t="n">
        <f aca="false">IF(AND(ISNUMBER('12_Datos_5m'!I78),ISNUMBER('12_Datos_5m'!I77)),'12_Datos_5m'!I78-'12_Datos_5m'!I77,0)</f>
        <v>0</v>
      </c>
      <c r="E78" s="151" t="n">
        <f aca="false">MAX(0,D78)</f>
        <v>0</v>
      </c>
      <c r="F78" s="151" t="n">
        <f aca="false">IF(AND(ISNUMBER('12_Datos_5m'!G78),N('12_Datos_5m'!G78)&gt;0),'12_Datos_5m'!H78/'12_Datos_5m'!G78,0.5)</f>
        <v>0.5</v>
      </c>
      <c r="G78" s="151" t="n">
        <f aca="false">IF(ISNUMBER(C78),($C$2-C78)/3600000,0)</f>
        <v>0</v>
      </c>
      <c r="H78" s="151" t="n">
        <f aca="false">EXP(-G78/'13_Mapa_Liq'!$B$7)</f>
        <v>1</v>
      </c>
      <c r="I78" s="151" t="n">
        <f aca="false">E78*F78*H78</f>
        <v>0</v>
      </c>
      <c r="J78" s="151" t="n">
        <f aca="false">E78*(1-F78)*H78</f>
        <v>0</v>
      </c>
      <c r="K78" s="151" t="n">
        <f aca="false">IF(COUNT('12_Datos_5m'!E79:E$504)=0,1000000000000,MIN('12_Datos_5m'!E79:E$504))</f>
        <v>1000000000000</v>
      </c>
      <c r="L78" s="151" t="n">
        <f aca="false">IF(COUNT('12_Datos_5m'!D79:D$504)=0,0,MAX('12_Datos_5m'!D79:D$504))</f>
        <v>0</v>
      </c>
      <c r="M78" s="151" t="str">
        <f aca="false">IF(ISNUMBER(B78),B78*(1-1/'13_Mapa_Liq'!$B$15+'13_Mapa_Liq'!$B$6),"")</f>
        <v/>
      </c>
      <c r="N78" s="151" t="n">
        <f aca="false">IF(ISNUMBER(B78),IF(K78&gt;M78,I78*'13_Mapa_Liq'!$C$15,0),0)</f>
        <v>0</v>
      </c>
      <c r="O78" s="151" t="str">
        <f aca="false">IF(ISNUMBER(B78),B78*(1+1/'13_Mapa_Liq'!$B$15-'13_Mapa_Liq'!$B$6),"")</f>
        <v/>
      </c>
      <c r="P78" s="151" t="n">
        <f aca="false">IF(ISNUMBER(B78),IF(L78&lt;O78,J78*'13_Mapa_Liq'!$C$15,0),0)</f>
        <v>0</v>
      </c>
      <c r="Q78" s="151" t="str">
        <f aca="false">IF(ISNUMBER(B78),B78*(1-1/'13_Mapa_Liq'!$B$16+'13_Mapa_Liq'!$B$6),"")</f>
        <v/>
      </c>
      <c r="R78" s="151" t="n">
        <f aca="false">IF(ISNUMBER(B78),IF(K78&gt;Q78,I78*'13_Mapa_Liq'!$C$16,0),0)</f>
        <v>0</v>
      </c>
      <c r="S78" s="151" t="str">
        <f aca="false">IF(ISNUMBER(B78),B78*(1+1/'13_Mapa_Liq'!$B$16-'13_Mapa_Liq'!$B$6),"")</f>
        <v/>
      </c>
      <c r="T78" s="151" t="n">
        <f aca="false">IF(ISNUMBER(B78),IF(L78&lt;S78,J78*'13_Mapa_Liq'!$C$16,0),0)</f>
        <v>0</v>
      </c>
      <c r="U78" s="151" t="str">
        <f aca="false">IF(ISNUMBER(B78),B78*(1-1/'13_Mapa_Liq'!$B$17+'13_Mapa_Liq'!$B$6),"")</f>
        <v/>
      </c>
      <c r="V78" s="151" t="n">
        <f aca="false">IF(ISNUMBER(B78),IF(K78&gt;U78,I78*'13_Mapa_Liq'!$C$17,0),0)</f>
        <v>0</v>
      </c>
      <c r="W78" s="151" t="str">
        <f aca="false">IF(ISNUMBER(B78),B78*(1+1/'13_Mapa_Liq'!$B$17-'13_Mapa_Liq'!$B$6),"")</f>
        <v/>
      </c>
      <c r="X78" s="151" t="n">
        <f aca="false">IF(ISNUMBER(B78),IF(L78&lt;W78,J78*'13_Mapa_Liq'!$C$17,0),0)</f>
        <v>0</v>
      </c>
      <c r="Y78" s="151" t="str">
        <f aca="false">IF(ISNUMBER(B78),B78*(1-1/'13_Mapa_Liq'!$B$18+'13_Mapa_Liq'!$B$6),"")</f>
        <v/>
      </c>
      <c r="Z78" s="151" t="n">
        <f aca="false">IF(ISNUMBER(B78),IF(K78&gt;Y78,I78*'13_Mapa_Liq'!$C$18,0),0)</f>
        <v>0</v>
      </c>
      <c r="AA78" s="151" t="str">
        <f aca="false">IF(ISNUMBER(B78),B78*(1+1/'13_Mapa_Liq'!$B$18-'13_Mapa_Liq'!$B$6),"")</f>
        <v/>
      </c>
      <c r="AB78" s="151" t="n">
        <f aca="false">IF(ISNUMBER(B78),IF(L78&lt;AA78,J78*'13_Mapa_Liq'!$C$18,0),0)</f>
        <v>0</v>
      </c>
      <c r="AC78" s="151" t="str">
        <f aca="false">IF(ISNUMBER(B78),B78*(1-1/'13_Mapa_Liq'!$B$19+'13_Mapa_Liq'!$B$6),"")</f>
        <v/>
      </c>
      <c r="AD78" s="151" t="n">
        <f aca="false">IF(ISNUMBER(B78),IF(K78&gt;AC78,I78*'13_Mapa_Liq'!$C$19,0),0)</f>
        <v>0</v>
      </c>
      <c r="AE78" s="151" t="str">
        <f aca="false">IF(ISNUMBER(B78),B78*(1+1/'13_Mapa_Liq'!$B$19-'13_Mapa_Liq'!$B$6),"")</f>
        <v/>
      </c>
      <c r="AF78" s="151" t="n">
        <f aca="false">IF(ISNUMBER(B78),IF(L78&lt;AE78,J78*'13_Mapa_Liq'!$C$19,0),0)</f>
        <v>0</v>
      </c>
      <c r="AG78" s="151"/>
      <c r="AH78" s="151" t="n">
        <f aca="false">IF(ISNUMBER(B78),E78*F78*((K78&lt;=M78)*'13_Mapa_Liq'!$C$15+(K78&lt;=Q78)*'13_Mapa_Liq'!$C$16+(K78&lt;=U78)*'13_Mapa_Liq'!$C$17+(K78&lt;=Y78)*'13_Mapa_Liq'!$C$18+(K78&lt;=AC78)*'13_Mapa_Liq'!$C$19),0)</f>
        <v>0</v>
      </c>
      <c r="AI78" s="151" t="n">
        <f aca="false">IF(ISNUMBER(B78),E78*(1-F78)*((L78&gt;=O78)*'13_Mapa_Liq'!$C$15+(L78&gt;=S78)*'13_Mapa_Liq'!$C$16+(L78&gt;=W78)*'13_Mapa_Liq'!$C$17+(L78&gt;=AA78)*'13_Mapa_Liq'!$C$18+(L78&gt;=AE78)*'13_Mapa_Liq'!$C$19),0)</f>
        <v>0</v>
      </c>
    </row>
    <row r="79" customFormat="false" ht="15" hidden="false" customHeight="false" outlineLevel="0" collapsed="false">
      <c r="A79" s="151" t="str">
        <f aca="false">IF(ISNUMBER('12_Datos_5m'!F79),ROW()-4,"")</f>
        <v/>
      </c>
      <c r="B79" s="151" t="str">
        <f aca="false">IF(ISNUMBER('12_Datos_5m'!F79),'12_Datos_5m'!F79,"")</f>
        <v/>
      </c>
      <c r="C79" s="151" t="str">
        <f aca="false">IF(ISNUMBER('12_Datos_5m'!A79),'12_Datos_5m'!A79,"")</f>
        <v/>
      </c>
      <c r="D79" s="151" t="n">
        <f aca="false">IF(AND(ISNUMBER('12_Datos_5m'!I79),ISNUMBER('12_Datos_5m'!I78)),'12_Datos_5m'!I79-'12_Datos_5m'!I78,0)</f>
        <v>0</v>
      </c>
      <c r="E79" s="151" t="n">
        <f aca="false">MAX(0,D79)</f>
        <v>0</v>
      </c>
      <c r="F79" s="151" t="n">
        <f aca="false">IF(AND(ISNUMBER('12_Datos_5m'!G79),N('12_Datos_5m'!G79)&gt;0),'12_Datos_5m'!H79/'12_Datos_5m'!G79,0.5)</f>
        <v>0.5</v>
      </c>
      <c r="G79" s="151" t="n">
        <f aca="false">IF(ISNUMBER(C79),($C$2-C79)/3600000,0)</f>
        <v>0</v>
      </c>
      <c r="H79" s="151" t="n">
        <f aca="false">EXP(-G79/'13_Mapa_Liq'!$B$7)</f>
        <v>1</v>
      </c>
      <c r="I79" s="151" t="n">
        <f aca="false">E79*F79*H79</f>
        <v>0</v>
      </c>
      <c r="J79" s="151" t="n">
        <f aca="false">E79*(1-F79)*H79</f>
        <v>0</v>
      </c>
      <c r="K79" s="151" t="n">
        <f aca="false">IF(COUNT('12_Datos_5m'!E80:E$504)=0,1000000000000,MIN('12_Datos_5m'!E80:E$504))</f>
        <v>1000000000000</v>
      </c>
      <c r="L79" s="151" t="n">
        <f aca="false">IF(COUNT('12_Datos_5m'!D80:D$504)=0,0,MAX('12_Datos_5m'!D80:D$504))</f>
        <v>0</v>
      </c>
      <c r="M79" s="151" t="str">
        <f aca="false">IF(ISNUMBER(B79),B79*(1-1/'13_Mapa_Liq'!$B$15+'13_Mapa_Liq'!$B$6),"")</f>
        <v/>
      </c>
      <c r="N79" s="151" t="n">
        <f aca="false">IF(ISNUMBER(B79),IF(K79&gt;M79,I79*'13_Mapa_Liq'!$C$15,0),0)</f>
        <v>0</v>
      </c>
      <c r="O79" s="151" t="str">
        <f aca="false">IF(ISNUMBER(B79),B79*(1+1/'13_Mapa_Liq'!$B$15-'13_Mapa_Liq'!$B$6),"")</f>
        <v/>
      </c>
      <c r="P79" s="151" t="n">
        <f aca="false">IF(ISNUMBER(B79),IF(L79&lt;O79,J79*'13_Mapa_Liq'!$C$15,0),0)</f>
        <v>0</v>
      </c>
      <c r="Q79" s="151" t="str">
        <f aca="false">IF(ISNUMBER(B79),B79*(1-1/'13_Mapa_Liq'!$B$16+'13_Mapa_Liq'!$B$6),"")</f>
        <v/>
      </c>
      <c r="R79" s="151" t="n">
        <f aca="false">IF(ISNUMBER(B79),IF(K79&gt;Q79,I79*'13_Mapa_Liq'!$C$16,0),0)</f>
        <v>0</v>
      </c>
      <c r="S79" s="151" t="str">
        <f aca="false">IF(ISNUMBER(B79),B79*(1+1/'13_Mapa_Liq'!$B$16-'13_Mapa_Liq'!$B$6),"")</f>
        <v/>
      </c>
      <c r="T79" s="151" t="n">
        <f aca="false">IF(ISNUMBER(B79),IF(L79&lt;S79,J79*'13_Mapa_Liq'!$C$16,0),0)</f>
        <v>0</v>
      </c>
      <c r="U79" s="151" t="str">
        <f aca="false">IF(ISNUMBER(B79),B79*(1-1/'13_Mapa_Liq'!$B$17+'13_Mapa_Liq'!$B$6),"")</f>
        <v/>
      </c>
      <c r="V79" s="151" t="n">
        <f aca="false">IF(ISNUMBER(B79),IF(K79&gt;U79,I79*'13_Mapa_Liq'!$C$17,0),0)</f>
        <v>0</v>
      </c>
      <c r="W79" s="151" t="str">
        <f aca="false">IF(ISNUMBER(B79),B79*(1+1/'13_Mapa_Liq'!$B$17-'13_Mapa_Liq'!$B$6),"")</f>
        <v/>
      </c>
      <c r="X79" s="151" t="n">
        <f aca="false">IF(ISNUMBER(B79),IF(L79&lt;W79,J79*'13_Mapa_Liq'!$C$17,0),0)</f>
        <v>0</v>
      </c>
      <c r="Y79" s="151" t="str">
        <f aca="false">IF(ISNUMBER(B79),B79*(1-1/'13_Mapa_Liq'!$B$18+'13_Mapa_Liq'!$B$6),"")</f>
        <v/>
      </c>
      <c r="Z79" s="151" t="n">
        <f aca="false">IF(ISNUMBER(B79),IF(K79&gt;Y79,I79*'13_Mapa_Liq'!$C$18,0),0)</f>
        <v>0</v>
      </c>
      <c r="AA79" s="151" t="str">
        <f aca="false">IF(ISNUMBER(B79),B79*(1+1/'13_Mapa_Liq'!$B$18-'13_Mapa_Liq'!$B$6),"")</f>
        <v/>
      </c>
      <c r="AB79" s="151" t="n">
        <f aca="false">IF(ISNUMBER(B79),IF(L79&lt;AA79,J79*'13_Mapa_Liq'!$C$18,0),0)</f>
        <v>0</v>
      </c>
      <c r="AC79" s="151" t="str">
        <f aca="false">IF(ISNUMBER(B79),B79*(1-1/'13_Mapa_Liq'!$B$19+'13_Mapa_Liq'!$B$6),"")</f>
        <v/>
      </c>
      <c r="AD79" s="151" t="n">
        <f aca="false">IF(ISNUMBER(B79),IF(K79&gt;AC79,I79*'13_Mapa_Liq'!$C$19,0),0)</f>
        <v>0</v>
      </c>
      <c r="AE79" s="151" t="str">
        <f aca="false">IF(ISNUMBER(B79),B79*(1+1/'13_Mapa_Liq'!$B$19-'13_Mapa_Liq'!$B$6),"")</f>
        <v/>
      </c>
      <c r="AF79" s="151" t="n">
        <f aca="false">IF(ISNUMBER(B79),IF(L79&lt;AE79,J79*'13_Mapa_Liq'!$C$19,0),0)</f>
        <v>0</v>
      </c>
      <c r="AG79" s="151"/>
      <c r="AH79" s="151" t="n">
        <f aca="false">IF(ISNUMBER(B79),E79*F79*((K79&lt;=M79)*'13_Mapa_Liq'!$C$15+(K79&lt;=Q79)*'13_Mapa_Liq'!$C$16+(K79&lt;=U79)*'13_Mapa_Liq'!$C$17+(K79&lt;=Y79)*'13_Mapa_Liq'!$C$18+(K79&lt;=AC79)*'13_Mapa_Liq'!$C$19),0)</f>
        <v>0</v>
      </c>
      <c r="AI79" s="151" t="n">
        <f aca="false">IF(ISNUMBER(B79),E79*(1-F79)*((L79&gt;=O79)*'13_Mapa_Liq'!$C$15+(L79&gt;=S79)*'13_Mapa_Liq'!$C$16+(L79&gt;=W79)*'13_Mapa_Liq'!$C$17+(L79&gt;=AA79)*'13_Mapa_Liq'!$C$18+(L79&gt;=AE79)*'13_Mapa_Liq'!$C$19),0)</f>
        <v>0</v>
      </c>
    </row>
    <row r="80" customFormat="false" ht="15" hidden="false" customHeight="false" outlineLevel="0" collapsed="false">
      <c r="A80" s="151" t="str">
        <f aca="false">IF(ISNUMBER('12_Datos_5m'!F80),ROW()-4,"")</f>
        <v/>
      </c>
      <c r="B80" s="151" t="str">
        <f aca="false">IF(ISNUMBER('12_Datos_5m'!F80),'12_Datos_5m'!F80,"")</f>
        <v/>
      </c>
      <c r="C80" s="151" t="str">
        <f aca="false">IF(ISNUMBER('12_Datos_5m'!A80),'12_Datos_5m'!A80,"")</f>
        <v/>
      </c>
      <c r="D80" s="151" t="n">
        <f aca="false">IF(AND(ISNUMBER('12_Datos_5m'!I80),ISNUMBER('12_Datos_5m'!I79)),'12_Datos_5m'!I80-'12_Datos_5m'!I79,0)</f>
        <v>0</v>
      </c>
      <c r="E80" s="151" t="n">
        <f aca="false">MAX(0,D80)</f>
        <v>0</v>
      </c>
      <c r="F80" s="151" t="n">
        <f aca="false">IF(AND(ISNUMBER('12_Datos_5m'!G80),N('12_Datos_5m'!G80)&gt;0),'12_Datos_5m'!H80/'12_Datos_5m'!G80,0.5)</f>
        <v>0.5</v>
      </c>
      <c r="G80" s="151" t="n">
        <f aca="false">IF(ISNUMBER(C80),($C$2-C80)/3600000,0)</f>
        <v>0</v>
      </c>
      <c r="H80" s="151" t="n">
        <f aca="false">EXP(-G80/'13_Mapa_Liq'!$B$7)</f>
        <v>1</v>
      </c>
      <c r="I80" s="151" t="n">
        <f aca="false">E80*F80*H80</f>
        <v>0</v>
      </c>
      <c r="J80" s="151" t="n">
        <f aca="false">E80*(1-F80)*H80</f>
        <v>0</v>
      </c>
      <c r="K80" s="151" t="n">
        <f aca="false">IF(COUNT('12_Datos_5m'!E81:E$504)=0,1000000000000,MIN('12_Datos_5m'!E81:E$504))</f>
        <v>1000000000000</v>
      </c>
      <c r="L80" s="151" t="n">
        <f aca="false">IF(COUNT('12_Datos_5m'!D81:D$504)=0,0,MAX('12_Datos_5m'!D81:D$504))</f>
        <v>0</v>
      </c>
      <c r="M80" s="151" t="str">
        <f aca="false">IF(ISNUMBER(B80),B80*(1-1/'13_Mapa_Liq'!$B$15+'13_Mapa_Liq'!$B$6),"")</f>
        <v/>
      </c>
      <c r="N80" s="151" t="n">
        <f aca="false">IF(ISNUMBER(B80),IF(K80&gt;M80,I80*'13_Mapa_Liq'!$C$15,0),0)</f>
        <v>0</v>
      </c>
      <c r="O80" s="151" t="str">
        <f aca="false">IF(ISNUMBER(B80),B80*(1+1/'13_Mapa_Liq'!$B$15-'13_Mapa_Liq'!$B$6),"")</f>
        <v/>
      </c>
      <c r="P80" s="151" t="n">
        <f aca="false">IF(ISNUMBER(B80),IF(L80&lt;O80,J80*'13_Mapa_Liq'!$C$15,0),0)</f>
        <v>0</v>
      </c>
      <c r="Q80" s="151" t="str">
        <f aca="false">IF(ISNUMBER(B80),B80*(1-1/'13_Mapa_Liq'!$B$16+'13_Mapa_Liq'!$B$6),"")</f>
        <v/>
      </c>
      <c r="R80" s="151" t="n">
        <f aca="false">IF(ISNUMBER(B80),IF(K80&gt;Q80,I80*'13_Mapa_Liq'!$C$16,0),0)</f>
        <v>0</v>
      </c>
      <c r="S80" s="151" t="str">
        <f aca="false">IF(ISNUMBER(B80),B80*(1+1/'13_Mapa_Liq'!$B$16-'13_Mapa_Liq'!$B$6),"")</f>
        <v/>
      </c>
      <c r="T80" s="151" t="n">
        <f aca="false">IF(ISNUMBER(B80),IF(L80&lt;S80,J80*'13_Mapa_Liq'!$C$16,0),0)</f>
        <v>0</v>
      </c>
      <c r="U80" s="151" t="str">
        <f aca="false">IF(ISNUMBER(B80),B80*(1-1/'13_Mapa_Liq'!$B$17+'13_Mapa_Liq'!$B$6),"")</f>
        <v/>
      </c>
      <c r="V80" s="151" t="n">
        <f aca="false">IF(ISNUMBER(B80),IF(K80&gt;U80,I80*'13_Mapa_Liq'!$C$17,0),0)</f>
        <v>0</v>
      </c>
      <c r="W80" s="151" t="str">
        <f aca="false">IF(ISNUMBER(B80),B80*(1+1/'13_Mapa_Liq'!$B$17-'13_Mapa_Liq'!$B$6),"")</f>
        <v/>
      </c>
      <c r="X80" s="151" t="n">
        <f aca="false">IF(ISNUMBER(B80),IF(L80&lt;W80,J80*'13_Mapa_Liq'!$C$17,0),0)</f>
        <v>0</v>
      </c>
      <c r="Y80" s="151" t="str">
        <f aca="false">IF(ISNUMBER(B80),B80*(1-1/'13_Mapa_Liq'!$B$18+'13_Mapa_Liq'!$B$6),"")</f>
        <v/>
      </c>
      <c r="Z80" s="151" t="n">
        <f aca="false">IF(ISNUMBER(B80),IF(K80&gt;Y80,I80*'13_Mapa_Liq'!$C$18,0),0)</f>
        <v>0</v>
      </c>
      <c r="AA80" s="151" t="str">
        <f aca="false">IF(ISNUMBER(B80),B80*(1+1/'13_Mapa_Liq'!$B$18-'13_Mapa_Liq'!$B$6),"")</f>
        <v/>
      </c>
      <c r="AB80" s="151" t="n">
        <f aca="false">IF(ISNUMBER(B80),IF(L80&lt;AA80,J80*'13_Mapa_Liq'!$C$18,0),0)</f>
        <v>0</v>
      </c>
      <c r="AC80" s="151" t="str">
        <f aca="false">IF(ISNUMBER(B80),B80*(1-1/'13_Mapa_Liq'!$B$19+'13_Mapa_Liq'!$B$6),"")</f>
        <v/>
      </c>
      <c r="AD80" s="151" t="n">
        <f aca="false">IF(ISNUMBER(B80),IF(K80&gt;AC80,I80*'13_Mapa_Liq'!$C$19,0),0)</f>
        <v>0</v>
      </c>
      <c r="AE80" s="151" t="str">
        <f aca="false">IF(ISNUMBER(B80),B80*(1+1/'13_Mapa_Liq'!$B$19-'13_Mapa_Liq'!$B$6),"")</f>
        <v/>
      </c>
      <c r="AF80" s="151" t="n">
        <f aca="false">IF(ISNUMBER(B80),IF(L80&lt;AE80,J80*'13_Mapa_Liq'!$C$19,0),0)</f>
        <v>0</v>
      </c>
      <c r="AG80" s="151"/>
      <c r="AH80" s="151" t="n">
        <f aca="false">IF(ISNUMBER(B80),E80*F80*((K80&lt;=M80)*'13_Mapa_Liq'!$C$15+(K80&lt;=Q80)*'13_Mapa_Liq'!$C$16+(K80&lt;=U80)*'13_Mapa_Liq'!$C$17+(K80&lt;=Y80)*'13_Mapa_Liq'!$C$18+(K80&lt;=AC80)*'13_Mapa_Liq'!$C$19),0)</f>
        <v>0</v>
      </c>
      <c r="AI80" s="151" t="n">
        <f aca="false">IF(ISNUMBER(B80),E80*(1-F80)*((L80&gt;=O80)*'13_Mapa_Liq'!$C$15+(L80&gt;=S80)*'13_Mapa_Liq'!$C$16+(L80&gt;=W80)*'13_Mapa_Liq'!$C$17+(L80&gt;=AA80)*'13_Mapa_Liq'!$C$18+(L80&gt;=AE80)*'13_Mapa_Liq'!$C$19),0)</f>
        <v>0</v>
      </c>
    </row>
    <row r="81" customFormat="false" ht="15" hidden="false" customHeight="false" outlineLevel="0" collapsed="false">
      <c r="A81" s="151" t="str">
        <f aca="false">IF(ISNUMBER('12_Datos_5m'!F81),ROW()-4,"")</f>
        <v/>
      </c>
      <c r="B81" s="151" t="str">
        <f aca="false">IF(ISNUMBER('12_Datos_5m'!F81),'12_Datos_5m'!F81,"")</f>
        <v/>
      </c>
      <c r="C81" s="151" t="str">
        <f aca="false">IF(ISNUMBER('12_Datos_5m'!A81),'12_Datos_5m'!A81,"")</f>
        <v/>
      </c>
      <c r="D81" s="151" t="n">
        <f aca="false">IF(AND(ISNUMBER('12_Datos_5m'!I81),ISNUMBER('12_Datos_5m'!I80)),'12_Datos_5m'!I81-'12_Datos_5m'!I80,0)</f>
        <v>0</v>
      </c>
      <c r="E81" s="151" t="n">
        <f aca="false">MAX(0,D81)</f>
        <v>0</v>
      </c>
      <c r="F81" s="151" t="n">
        <f aca="false">IF(AND(ISNUMBER('12_Datos_5m'!G81),N('12_Datos_5m'!G81)&gt;0),'12_Datos_5m'!H81/'12_Datos_5m'!G81,0.5)</f>
        <v>0.5</v>
      </c>
      <c r="G81" s="151" t="n">
        <f aca="false">IF(ISNUMBER(C81),($C$2-C81)/3600000,0)</f>
        <v>0</v>
      </c>
      <c r="H81" s="151" t="n">
        <f aca="false">EXP(-G81/'13_Mapa_Liq'!$B$7)</f>
        <v>1</v>
      </c>
      <c r="I81" s="151" t="n">
        <f aca="false">E81*F81*H81</f>
        <v>0</v>
      </c>
      <c r="J81" s="151" t="n">
        <f aca="false">E81*(1-F81)*H81</f>
        <v>0</v>
      </c>
      <c r="K81" s="151" t="n">
        <f aca="false">IF(COUNT('12_Datos_5m'!E82:E$504)=0,1000000000000,MIN('12_Datos_5m'!E82:E$504))</f>
        <v>1000000000000</v>
      </c>
      <c r="L81" s="151" t="n">
        <f aca="false">IF(COUNT('12_Datos_5m'!D82:D$504)=0,0,MAX('12_Datos_5m'!D82:D$504))</f>
        <v>0</v>
      </c>
      <c r="M81" s="151" t="str">
        <f aca="false">IF(ISNUMBER(B81),B81*(1-1/'13_Mapa_Liq'!$B$15+'13_Mapa_Liq'!$B$6),"")</f>
        <v/>
      </c>
      <c r="N81" s="151" t="n">
        <f aca="false">IF(ISNUMBER(B81),IF(K81&gt;M81,I81*'13_Mapa_Liq'!$C$15,0),0)</f>
        <v>0</v>
      </c>
      <c r="O81" s="151" t="str">
        <f aca="false">IF(ISNUMBER(B81),B81*(1+1/'13_Mapa_Liq'!$B$15-'13_Mapa_Liq'!$B$6),"")</f>
        <v/>
      </c>
      <c r="P81" s="151" t="n">
        <f aca="false">IF(ISNUMBER(B81),IF(L81&lt;O81,J81*'13_Mapa_Liq'!$C$15,0),0)</f>
        <v>0</v>
      </c>
      <c r="Q81" s="151" t="str">
        <f aca="false">IF(ISNUMBER(B81),B81*(1-1/'13_Mapa_Liq'!$B$16+'13_Mapa_Liq'!$B$6),"")</f>
        <v/>
      </c>
      <c r="R81" s="151" t="n">
        <f aca="false">IF(ISNUMBER(B81),IF(K81&gt;Q81,I81*'13_Mapa_Liq'!$C$16,0),0)</f>
        <v>0</v>
      </c>
      <c r="S81" s="151" t="str">
        <f aca="false">IF(ISNUMBER(B81),B81*(1+1/'13_Mapa_Liq'!$B$16-'13_Mapa_Liq'!$B$6),"")</f>
        <v/>
      </c>
      <c r="T81" s="151" t="n">
        <f aca="false">IF(ISNUMBER(B81),IF(L81&lt;S81,J81*'13_Mapa_Liq'!$C$16,0),0)</f>
        <v>0</v>
      </c>
      <c r="U81" s="151" t="str">
        <f aca="false">IF(ISNUMBER(B81),B81*(1-1/'13_Mapa_Liq'!$B$17+'13_Mapa_Liq'!$B$6),"")</f>
        <v/>
      </c>
      <c r="V81" s="151" t="n">
        <f aca="false">IF(ISNUMBER(B81),IF(K81&gt;U81,I81*'13_Mapa_Liq'!$C$17,0),0)</f>
        <v>0</v>
      </c>
      <c r="W81" s="151" t="str">
        <f aca="false">IF(ISNUMBER(B81),B81*(1+1/'13_Mapa_Liq'!$B$17-'13_Mapa_Liq'!$B$6),"")</f>
        <v/>
      </c>
      <c r="X81" s="151" t="n">
        <f aca="false">IF(ISNUMBER(B81),IF(L81&lt;W81,J81*'13_Mapa_Liq'!$C$17,0),0)</f>
        <v>0</v>
      </c>
      <c r="Y81" s="151" t="str">
        <f aca="false">IF(ISNUMBER(B81),B81*(1-1/'13_Mapa_Liq'!$B$18+'13_Mapa_Liq'!$B$6),"")</f>
        <v/>
      </c>
      <c r="Z81" s="151" t="n">
        <f aca="false">IF(ISNUMBER(B81),IF(K81&gt;Y81,I81*'13_Mapa_Liq'!$C$18,0),0)</f>
        <v>0</v>
      </c>
      <c r="AA81" s="151" t="str">
        <f aca="false">IF(ISNUMBER(B81),B81*(1+1/'13_Mapa_Liq'!$B$18-'13_Mapa_Liq'!$B$6),"")</f>
        <v/>
      </c>
      <c r="AB81" s="151" t="n">
        <f aca="false">IF(ISNUMBER(B81),IF(L81&lt;AA81,J81*'13_Mapa_Liq'!$C$18,0),0)</f>
        <v>0</v>
      </c>
      <c r="AC81" s="151" t="str">
        <f aca="false">IF(ISNUMBER(B81),B81*(1-1/'13_Mapa_Liq'!$B$19+'13_Mapa_Liq'!$B$6),"")</f>
        <v/>
      </c>
      <c r="AD81" s="151" t="n">
        <f aca="false">IF(ISNUMBER(B81),IF(K81&gt;AC81,I81*'13_Mapa_Liq'!$C$19,0),0)</f>
        <v>0</v>
      </c>
      <c r="AE81" s="151" t="str">
        <f aca="false">IF(ISNUMBER(B81),B81*(1+1/'13_Mapa_Liq'!$B$19-'13_Mapa_Liq'!$B$6),"")</f>
        <v/>
      </c>
      <c r="AF81" s="151" t="n">
        <f aca="false">IF(ISNUMBER(B81),IF(L81&lt;AE81,J81*'13_Mapa_Liq'!$C$19,0),0)</f>
        <v>0</v>
      </c>
      <c r="AG81" s="151"/>
      <c r="AH81" s="151" t="n">
        <f aca="false">IF(ISNUMBER(B81),E81*F81*((K81&lt;=M81)*'13_Mapa_Liq'!$C$15+(K81&lt;=Q81)*'13_Mapa_Liq'!$C$16+(K81&lt;=U81)*'13_Mapa_Liq'!$C$17+(K81&lt;=Y81)*'13_Mapa_Liq'!$C$18+(K81&lt;=AC81)*'13_Mapa_Liq'!$C$19),0)</f>
        <v>0</v>
      </c>
      <c r="AI81" s="151" t="n">
        <f aca="false">IF(ISNUMBER(B81),E81*(1-F81)*((L81&gt;=O81)*'13_Mapa_Liq'!$C$15+(L81&gt;=S81)*'13_Mapa_Liq'!$C$16+(L81&gt;=W81)*'13_Mapa_Liq'!$C$17+(L81&gt;=AA81)*'13_Mapa_Liq'!$C$18+(L81&gt;=AE81)*'13_Mapa_Liq'!$C$19),0)</f>
        <v>0</v>
      </c>
    </row>
    <row r="82" customFormat="false" ht="15" hidden="false" customHeight="false" outlineLevel="0" collapsed="false">
      <c r="A82" s="151" t="str">
        <f aca="false">IF(ISNUMBER('12_Datos_5m'!F82),ROW()-4,"")</f>
        <v/>
      </c>
      <c r="B82" s="151" t="str">
        <f aca="false">IF(ISNUMBER('12_Datos_5m'!F82),'12_Datos_5m'!F82,"")</f>
        <v/>
      </c>
      <c r="C82" s="151" t="str">
        <f aca="false">IF(ISNUMBER('12_Datos_5m'!A82),'12_Datos_5m'!A82,"")</f>
        <v/>
      </c>
      <c r="D82" s="151" t="n">
        <f aca="false">IF(AND(ISNUMBER('12_Datos_5m'!I82),ISNUMBER('12_Datos_5m'!I81)),'12_Datos_5m'!I82-'12_Datos_5m'!I81,0)</f>
        <v>0</v>
      </c>
      <c r="E82" s="151" t="n">
        <f aca="false">MAX(0,D82)</f>
        <v>0</v>
      </c>
      <c r="F82" s="151" t="n">
        <f aca="false">IF(AND(ISNUMBER('12_Datos_5m'!G82),N('12_Datos_5m'!G82)&gt;0),'12_Datos_5m'!H82/'12_Datos_5m'!G82,0.5)</f>
        <v>0.5</v>
      </c>
      <c r="G82" s="151" t="n">
        <f aca="false">IF(ISNUMBER(C82),($C$2-C82)/3600000,0)</f>
        <v>0</v>
      </c>
      <c r="H82" s="151" t="n">
        <f aca="false">EXP(-G82/'13_Mapa_Liq'!$B$7)</f>
        <v>1</v>
      </c>
      <c r="I82" s="151" t="n">
        <f aca="false">E82*F82*H82</f>
        <v>0</v>
      </c>
      <c r="J82" s="151" t="n">
        <f aca="false">E82*(1-F82)*H82</f>
        <v>0</v>
      </c>
      <c r="K82" s="151" t="n">
        <f aca="false">IF(COUNT('12_Datos_5m'!E83:E$504)=0,1000000000000,MIN('12_Datos_5m'!E83:E$504))</f>
        <v>1000000000000</v>
      </c>
      <c r="L82" s="151" t="n">
        <f aca="false">IF(COUNT('12_Datos_5m'!D83:D$504)=0,0,MAX('12_Datos_5m'!D83:D$504))</f>
        <v>0</v>
      </c>
      <c r="M82" s="151" t="str">
        <f aca="false">IF(ISNUMBER(B82),B82*(1-1/'13_Mapa_Liq'!$B$15+'13_Mapa_Liq'!$B$6),"")</f>
        <v/>
      </c>
      <c r="N82" s="151" t="n">
        <f aca="false">IF(ISNUMBER(B82),IF(K82&gt;M82,I82*'13_Mapa_Liq'!$C$15,0),0)</f>
        <v>0</v>
      </c>
      <c r="O82" s="151" t="str">
        <f aca="false">IF(ISNUMBER(B82),B82*(1+1/'13_Mapa_Liq'!$B$15-'13_Mapa_Liq'!$B$6),"")</f>
        <v/>
      </c>
      <c r="P82" s="151" t="n">
        <f aca="false">IF(ISNUMBER(B82),IF(L82&lt;O82,J82*'13_Mapa_Liq'!$C$15,0),0)</f>
        <v>0</v>
      </c>
      <c r="Q82" s="151" t="str">
        <f aca="false">IF(ISNUMBER(B82),B82*(1-1/'13_Mapa_Liq'!$B$16+'13_Mapa_Liq'!$B$6),"")</f>
        <v/>
      </c>
      <c r="R82" s="151" t="n">
        <f aca="false">IF(ISNUMBER(B82),IF(K82&gt;Q82,I82*'13_Mapa_Liq'!$C$16,0),0)</f>
        <v>0</v>
      </c>
      <c r="S82" s="151" t="str">
        <f aca="false">IF(ISNUMBER(B82),B82*(1+1/'13_Mapa_Liq'!$B$16-'13_Mapa_Liq'!$B$6),"")</f>
        <v/>
      </c>
      <c r="T82" s="151" t="n">
        <f aca="false">IF(ISNUMBER(B82),IF(L82&lt;S82,J82*'13_Mapa_Liq'!$C$16,0),0)</f>
        <v>0</v>
      </c>
      <c r="U82" s="151" t="str">
        <f aca="false">IF(ISNUMBER(B82),B82*(1-1/'13_Mapa_Liq'!$B$17+'13_Mapa_Liq'!$B$6),"")</f>
        <v/>
      </c>
      <c r="V82" s="151" t="n">
        <f aca="false">IF(ISNUMBER(B82),IF(K82&gt;U82,I82*'13_Mapa_Liq'!$C$17,0),0)</f>
        <v>0</v>
      </c>
      <c r="W82" s="151" t="str">
        <f aca="false">IF(ISNUMBER(B82),B82*(1+1/'13_Mapa_Liq'!$B$17-'13_Mapa_Liq'!$B$6),"")</f>
        <v/>
      </c>
      <c r="X82" s="151" t="n">
        <f aca="false">IF(ISNUMBER(B82),IF(L82&lt;W82,J82*'13_Mapa_Liq'!$C$17,0),0)</f>
        <v>0</v>
      </c>
      <c r="Y82" s="151" t="str">
        <f aca="false">IF(ISNUMBER(B82),B82*(1-1/'13_Mapa_Liq'!$B$18+'13_Mapa_Liq'!$B$6),"")</f>
        <v/>
      </c>
      <c r="Z82" s="151" t="n">
        <f aca="false">IF(ISNUMBER(B82),IF(K82&gt;Y82,I82*'13_Mapa_Liq'!$C$18,0),0)</f>
        <v>0</v>
      </c>
      <c r="AA82" s="151" t="str">
        <f aca="false">IF(ISNUMBER(B82),B82*(1+1/'13_Mapa_Liq'!$B$18-'13_Mapa_Liq'!$B$6),"")</f>
        <v/>
      </c>
      <c r="AB82" s="151" t="n">
        <f aca="false">IF(ISNUMBER(B82),IF(L82&lt;AA82,J82*'13_Mapa_Liq'!$C$18,0),0)</f>
        <v>0</v>
      </c>
      <c r="AC82" s="151" t="str">
        <f aca="false">IF(ISNUMBER(B82),B82*(1-1/'13_Mapa_Liq'!$B$19+'13_Mapa_Liq'!$B$6),"")</f>
        <v/>
      </c>
      <c r="AD82" s="151" t="n">
        <f aca="false">IF(ISNUMBER(B82),IF(K82&gt;AC82,I82*'13_Mapa_Liq'!$C$19,0),0)</f>
        <v>0</v>
      </c>
      <c r="AE82" s="151" t="str">
        <f aca="false">IF(ISNUMBER(B82),B82*(1+1/'13_Mapa_Liq'!$B$19-'13_Mapa_Liq'!$B$6),"")</f>
        <v/>
      </c>
      <c r="AF82" s="151" t="n">
        <f aca="false">IF(ISNUMBER(B82),IF(L82&lt;AE82,J82*'13_Mapa_Liq'!$C$19,0),0)</f>
        <v>0</v>
      </c>
      <c r="AG82" s="151"/>
      <c r="AH82" s="151" t="n">
        <f aca="false">IF(ISNUMBER(B82),E82*F82*((K82&lt;=M82)*'13_Mapa_Liq'!$C$15+(K82&lt;=Q82)*'13_Mapa_Liq'!$C$16+(K82&lt;=U82)*'13_Mapa_Liq'!$C$17+(K82&lt;=Y82)*'13_Mapa_Liq'!$C$18+(K82&lt;=AC82)*'13_Mapa_Liq'!$C$19),0)</f>
        <v>0</v>
      </c>
      <c r="AI82" s="151" t="n">
        <f aca="false">IF(ISNUMBER(B82),E82*(1-F82)*((L82&gt;=O82)*'13_Mapa_Liq'!$C$15+(L82&gt;=S82)*'13_Mapa_Liq'!$C$16+(L82&gt;=W82)*'13_Mapa_Liq'!$C$17+(L82&gt;=AA82)*'13_Mapa_Liq'!$C$18+(L82&gt;=AE82)*'13_Mapa_Liq'!$C$19),0)</f>
        <v>0</v>
      </c>
    </row>
    <row r="83" customFormat="false" ht="15" hidden="false" customHeight="false" outlineLevel="0" collapsed="false">
      <c r="A83" s="151" t="str">
        <f aca="false">IF(ISNUMBER('12_Datos_5m'!F83),ROW()-4,"")</f>
        <v/>
      </c>
      <c r="B83" s="151" t="str">
        <f aca="false">IF(ISNUMBER('12_Datos_5m'!F83),'12_Datos_5m'!F83,"")</f>
        <v/>
      </c>
      <c r="C83" s="151" t="str">
        <f aca="false">IF(ISNUMBER('12_Datos_5m'!A83),'12_Datos_5m'!A83,"")</f>
        <v/>
      </c>
      <c r="D83" s="151" t="n">
        <f aca="false">IF(AND(ISNUMBER('12_Datos_5m'!I83),ISNUMBER('12_Datos_5m'!I82)),'12_Datos_5m'!I83-'12_Datos_5m'!I82,0)</f>
        <v>0</v>
      </c>
      <c r="E83" s="151" t="n">
        <f aca="false">MAX(0,D83)</f>
        <v>0</v>
      </c>
      <c r="F83" s="151" t="n">
        <f aca="false">IF(AND(ISNUMBER('12_Datos_5m'!G83),N('12_Datos_5m'!G83)&gt;0),'12_Datos_5m'!H83/'12_Datos_5m'!G83,0.5)</f>
        <v>0.5</v>
      </c>
      <c r="G83" s="151" t="n">
        <f aca="false">IF(ISNUMBER(C83),($C$2-C83)/3600000,0)</f>
        <v>0</v>
      </c>
      <c r="H83" s="151" t="n">
        <f aca="false">EXP(-G83/'13_Mapa_Liq'!$B$7)</f>
        <v>1</v>
      </c>
      <c r="I83" s="151" t="n">
        <f aca="false">E83*F83*H83</f>
        <v>0</v>
      </c>
      <c r="J83" s="151" t="n">
        <f aca="false">E83*(1-F83)*H83</f>
        <v>0</v>
      </c>
      <c r="K83" s="151" t="n">
        <f aca="false">IF(COUNT('12_Datos_5m'!E84:E$504)=0,1000000000000,MIN('12_Datos_5m'!E84:E$504))</f>
        <v>1000000000000</v>
      </c>
      <c r="L83" s="151" t="n">
        <f aca="false">IF(COUNT('12_Datos_5m'!D84:D$504)=0,0,MAX('12_Datos_5m'!D84:D$504))</f>
        <v>0</v>
      </c>
      <c r="M83" s="151" t="str">
        <f aca="false">IF(ISNUMBER(B83),B83*(1-1/'13_Mapa_Liq'!$B$15+'13_Mapa_Liq'!$B$6),"")</f>
        <v/>
      </c>
      <c r="N83" s="151" t="n">
        <f aca="false">IF(ISNUMBER(B83),IF(K83&gt;M83,I83*'13_Mapa_Liq'!$C$15,0),0)</f>
        <v>0</v>
      </c>
      <c r="O83" s="151" t="str">
        <f aca="false">IF(ISNUMBER(B83),B83*(1+1/'13_Mapa_Liq'!$B$15-'13_Mapa_Liq'!$B$6),"")</f>
        <v/>
      </c>
      <c r="P83" s="151" t="n">
        <f aca="false">IF(ISNUMBER(B83),IF(L83&lt;O83,J83*'13_Mapa_Liq'!$C$15,0),0)</f>
        <v>0</v>
      </c>
      <c r="Q83" s="151" t="str">
        <f aca="false">IF(ISNUMBER(B83),B83*(1-1/'13_Mapa_Liq'!$B$16+'13_Mapa_Liq'!$B$6),"")</f>
        <v/>
      </c>
      <c r="R83" s="151" t="n">
        <f aca="false">IF(ISNUMBER(B83),IF(K83&gt;Q83,I83*'13_Mapa_Liq'!$C$16,0),0)</f>
        <v>0</v>
      </c>
      <c r="S83" s="151" t="str">
        <f aca="false">IF(ISNUMBER(B83),B83*(1+1/'13_Mapa_Liq'!$B$16-'13_Mapa_Liq'!$B$6),"")</f>
        <v/>
      </c>
      <c r="T83" s="151" t="n">
        <f aca="false">IF(ISNUMBER(B83),IF(L83&lt;S83,J83*'13_Mapa_Liq'!$C$16,0),0)</f>
        <v>0</v>
      </c>
      <c r="U83" s="151" t="str">
        <f aca="false">IF(ISNUMBER(B83),B83*(1-1/'13_Mapa_Liq'!$B$17+'13_Mapa_Liq'!$B$6),"")</f>
        <v/>
      </c>
      <c r="V83" s="151" t="n">
        <f aca="false">IF(ISNUMBER(B83),IF(K83&gt;U83,I83*'13_Mapa_Liq'!$C$17,0),0)</f>
        <v>0</v>
      </c>
      <c r="W83" s="151" t="str">
        <f aca="false">IF(ISNUMBER(B83),B83*(1+1/'13_Mapa_Liq'!$B$17-'13_Mapa_Liq'!$B$6),"")</f>
        <v/>
      </c>
      <c r="X83" s="151" t="n">
        <f aca="false">IF(ISNUMBER(B83),IF(L83&lt;W83,J83*'13_Mapa_Liq'!$C$17,0),0)</f>
        <v>0</v>
      </c>
      <c r="Y83" s="151" t="str">
        <f aca="false">IF(ISNUMBER(B83),B83*(1-1/'13_Mapa_Liq'!$B$18+'13_Mapa_Liq'!$B$6),"")</f>
        <v/>
      </c>
      <c r="Z83" s="151" t="n">
        <f aca="false">IF(ISNUMBER(B83),IF(K83&gt;Y83,I83*'13_Mapa_Liq'!$C$18,0),0)</f>
        <v>0</v>
      </c>
      <c r="AA83" s="151" t="str">
        <f aca="false">IF(ISNUMBER(B83),B83*(1+1/'13_Mapa_Liq'!$B$18-'13_Mapa_Liq'!$B$6),"")</f>
        <v/>
      </c>
      <c r="AB83" s="151" t="n">
        <f aca="false">IF(ISNUMBER(B83),IF(L83&lt;AA83,J83*'13_Mapa_Liq'!$C$18,0),0)</f>
        <v>0</v>
      </c>
      <c r="AC83" s="151" t="str">
        <f aca="false">IF(ISNUMBER(B83),B83*(1-1/'13_Mapa_Liq'!$B$19+'13_Mapa_Liq'!$B$6),"")</f>
        <v/>
      </c>
      <c r="AD83" s="151" t="n">
        <f aca="false">IF(ISNUMBER(B83),IF(K83&gt;AC83,I83*'13_Mapa_Liq'!$C$19,0),0)</f>
        <v>0</v>
      </c>
      <c r="AE83" s="151" t="str">
        <f aca="false">IF(ISNUMBER(B83),B83*(1+1/'13_Mapa_Liq'!$B$19-'13_Mapa_Liq'!$B$6),"")</f>
        <v/>
      </c>
      <c r="AF83" s="151" t="n">
        <f aca="false">IF(ISNUMBER(B83),IF(L83&lt;AE83,J83*'13_Mapa_Liq'!$C$19,0),0)</f>
        <v>0</v>
      </c>
      <c r="AG83" s="151"/>
      <c r="AH83" s="151" t="n">
        <f aca="false">IF(ISNUMBER(B83),E83*F83*((K83&lt;=M83)*'13_Mapa_Liq'!$C$15+(K83&lt;=Q83)*'13_Mapa_Liq'!$C$16+(K83&lt;=U83)*'13_Mapa_Liq'!$C$17+(K83&lt;=Y83)*'13_Mapa_Liq'!$C$18+(K83&lt;=AC83)*'13_Mapa_Liq'!$C$19),0)</f>
        <v>0</v>
      </c>
      <c r="AI83" s="151" t="n">
        <f aca="false">IF(ISNUMBER(B83),E83*(1-F83)*((L83&gt;=O83)*'13_Mapa_Liq'!$C$15+(L83&gt;=S83)*'13_Mapa_Liq'!$C$16+(L83&gt;=W83)*'13_Mapa_Liq'!$C$17+(L83&gt;=AA83)*'13_Mapa_Liq'!$C$18+(L83&gt;=AE83)*'13_Mapa_Liq'!$C$19),0)</f>
        <v>0</v>
      </c>
    </row>
    <row r="84" customFormat="false" ht="15" hidden="false" customHeight="false" outlineLevel="0" collapsed="false">
      <c r="A84" s="151" t="str">
        <f aca="false">IF(ISNUMBER('12_Datos_5m'!F84),ROW()-4,"")</f>
        <v/>
      </c>
      <c r="B84" s="151" t="str">
        <f aca="false">IF(ISNUMBER('12_Datos_5m'!F84),'12_Datos_5m'!F84,"")</f>
        <v/>
      </c>
      <c r="C84" s="151" t="str">
        <f aca="false">IF(ISNUMBER('12_Datos_5m'!A84),'12_Datos_5m'!A84,"")</f>
        <v/>
      </c>
      <c r="D84" s="151" t="n">
        <f aca="false">IF(AND(ISNUMBER('12_Datos_5m'!I84),ISNUMBER('12_Datos_5m'!I83)),'12_Datos_5m'!I84-'12_Datos_5m'!I83,0)</f>
        <v>0</v>
      </c>
      <c r="E84" s="151" t="n">
        <f aca="false">MAX(0,D84)</f>
        <v>0</v>
      </c>
      <c r="F84" s="151" t="n">
        <f aca="false">IF(AND(ISNUMBER('12_Datos_5m'!G84),N('12_Datos_5m'!G84)&gt;0),'12_Datos_5m'!H84/'12_Datos_5m'!G84,0.5)</f>
        <v>0.5</v>
      </c>
      <c r="G84" s="151" t="n">
        <f aca="false">IF(ISNUMBER(C84),($C$2-C84)/3600000,0)</f>
        <v>0</v>
      </c>
      <c r="H84" s="151" t="n">
        <f aca="false">EXP(-G84/'13_Mapa_Liq'!$B$7)</f>
        <v>1</v>
      </c>
      <c r="I84" s="151" t="n">
        <f aca="false">E84*F84*H84</f>
        <v>0</v>
      </c>
      <c r="J84" s="151" t="n">
        <f aca="false">E84*(1-F84)*H84</f>
        <v>0</v>
      </c>
      <c r="K84" s="151" t="n">
        <f aca="false">IF(COUNT('12_Datos_5m'!E85:E$504)=0,1000000000000,MIN('12_Datos_5m'!E85:E$504))</f>
        <v>1000000000000</v>
      </c>
      <c r="L84" s="151" t="n">
        <f aca="false">IF(COUNT('12_Datos_5m'!D85:D$504)=0,0,MAX('12_Datos_5m'!D85:D$504))</f>
        <v>0</v>
      </c>
      <c r="M84" s="151" t="str">
        <f aca="false">IF(ISNUMBER(B84),B84*(1-1/'13_Mapa_Liq'!$B$15+'13_Mapa_Liq'!$B$6),"")</f>
        <v/>
      </c>
      <c r="N84" s="151" t="n">
        <f aca="false">IF(ISNUMBER(B84),IF(K84&gt;M84,I84*'13_Mapa_Liq'!$C$15,0),0)</f>
        <v>0</v>
      </c>
      <c r="O84" s="151" t="str">
        <f aca="false">IF(ISNUMBER(B84),B84*(1+1/'13_Mapa_Liq'!$B$15-'13_Mapa_Liq'!$B$6),"")</f>
        <v/>
      </c>
      <c r="P84" s="151" t="n">
        <f aca="false">IF(ISNUMBER(B84),IF(L84&lt;O84,J84*'13_Mapa_Liq'!$C$15,0),0)</f>
        <v>0</v>
      </c>
      <c r="Q84" s="151" t="str">
        <f aca="false">IF(ISNUMBER(B84),B84*(1-1/'13_Mapa_Liq'!$B$16+'13_Mapa_Liq'!$B$6),"")</f>
        <v/>
      </c>
      <c r="R84" s="151" t="n">
        <f aca="false">IF(ISNUMBER(B84),IF(K84&gt;Q84,I84*'13_Mapa_Liq'!$C$16,0),0)</f>
        <v>0</v>
      </c>
      <c r="S84" s="151" t="str">
        <f aca="false">IF(ISNUMBER(B84),B84*(1+1/'13_Mapa_Liq'!$B$16-'13_Mapa_Liq'!$B$6),"")</f>
        <v/>
      </c>
      <c r="T84" s="151" t="n">
        <f aca="false">IF(ISNUMBER(B84),IF(L84&lt;S84,J84*'13_Mapa_Liq'!$C$16,0),0)</f>
        <v>0</v>
      </c>
      <c r="U84" s="151" t="str">
        <f aca="false">IF(ISNUMBER(B84),B84*(1-1/'13_Mapa_Liq'!$B$17+'13_Mapa_Liq'!$B$6),"")</f>
        <v/>
      </c>
      <c r="V84" s="151" t="n">
        <f aca="false">IF(ISNUMBER(B84),IF(K84&gt;U84,I84*'13_Mapa_Liq'!$C$17,0),0)</f>
        <v>0</v>
      </c>
      <c r="W84" s="151" t="str">
        <f aca="false">IF(ISNUMBER(B84),B84*(1+1/'13_Mapa_Liq'!$B$17-'13_Mapa_Liq'!$B$6),"")</f>
        <v/>
      </c>
      <c r="X84" s="151" t="n">
        <f aca="false">IF(ISNUMBER(B84),IF(L84&lt;W84,J84*'13_Mapa_Liq'!$C$17,0),0)</f>
        <v>0</v>
      </c>
      <c r="Y84" s="151" t="str">
        <f aca="false">IF(ISNUMBER(B84),B84*(1-1/'13_Mapa_Liq'!$B$18+'13_Mapa_Liq'!$B$6),"")</f>
        <v/>
      </c>
      <c r="Z84" s="151" t="n">
        <f aca="false">IF(ISNUMBER(B84),IF(K84&gt;Y84,I84*'13_Mapa_Liq'!$C$18,0),0)</f>
        <v>0</v>
      </c>
      <c r="AA84" s="151" t="str">
        <f aca="false">IF(ISNUMBER(B84),B84*(1+1/'13_Mapa_Liq'!$B$18-'13_Mapa_Liq'!$B$6),"")</f>
        <v/>
      </c>
      <c r="AB84" s="151" t="n">
        <f aca="false">IF(ISNUMBER(B84),IF(L84&lt;AA84,J84*'13_Mapa_Liq'!$C$18,0),0)</f>
        <v>0</v>
      </c>
      <c r="AC84" s="151" t="str">
        <f aca="false">IF(ISNUMBER(B84),B84*(1-1/'13_Mapa_Liq'!$B$19+'13_Mapa_Liq'!$B$6),"")</f>
        <v/>
      </c>
      <c r="AD84" s="151" t="n">
        <f aca="false">IF(ISNUMBER(B84),IF(K84&gt;AC84,I84*'13_Mapa_Liq'!$C$19,0),0)</f>
        <v>0</v>
      </c>
      <c r="AE84" s="151" t="str">
        <f aca="false">IF(ISNUMBER(B84),B84*(1+1/'13_Mapa_Liq'!$B$19-'13_Mapa_Liq'!$B$6),"")</f>
        <v/>
      </c>
      <c r="AF84" s="151" t="n">
        <f aca="false">IF(ISNUMBER(B84),IF(L84&lt;AE84,J84*'13_Mapa_Liq'!$C$19,0),0)</f>
        <v>0</v>
      </c>
      <c r="AG84" s="151"/>
      <c r="AH84" s="151" t="n">
        <f aca="false">IF(ISNUMBER(B84),E84*F84*((K84&lt;=M84)*'13_Mapa_Liq'!$C$15+(K84&lt;=Q84)*'13_Mapa_Liq'!$C$16+(K84&lt;=U84)*'13_Mapa_Liq'!$C$17+(K84&lt;=Y84)*'13_Mapa_Liq'!$C$18+(K84&lt;=AC84)*'13_Mapa_Liq'!$C$19),0)</f>
        <v>0</v>
      </c>
      <c r="AI84" s="151" t="n">
        <f aca="false">IF(ISNUMBER(B84),E84*(1-F84)*((L84&gt;=O84)*'13_Mapa_Liq'!$C$15+(L84&gt;=S84)*'13_Mapa_Liq'!$C$16+(L84&gt;=W84)*'13_Mapa_Liq'!$C$17+(L84&gt;=AA84)*'13_Mapa_Liq'!$C$18+(L84&gt;=AE84)*'13_Mapa_Liq'!$C$19),0)</f>
        <v>0</v>
      </c>
    </row>
    <row r="85" customFormat="false" ht="15" hidden="false" customHeight="false" outlineLevel="0" collapsed="false">
      <c r="A85" s="151" t="str">
        <f aca="false">IF(ISNUMBER('12_Datos_5m'!F85),ROW()-4,"")</f>
        <v/>
      </c>
      <c r="B85" s="151" t="str">
        <f aca="false">IF(ISNUMBER('12_Datos_5m'!F85),'12_Datos_5m'!F85,"")</f>
        <v/>
      </c>
      <c r="C85" s="151" t="str">
        <f aca="false">IF(ISNUMBER('12_Datos_5m'!A85),'12_Datos_5m'!A85,"")</f>
        <v/>
      </c>
      <c r="D85" s="151" t="n">
        <f aca="false">IF(AND(ISNUMBER('12_Datos_5m'!I85),ISNUMBER('12_Datos_5m'!I84)),'12_Datos_5m'!I85-'12_Datos_5m'!I84,0)</f>
        <v>0</v>
      </c>
      <c r="E85" s="151" t="n">
        <f aca="false">MAX(0,D85)</f>
        <v>0</v>
      </c>
      <c r="F85" s="151" t="n">
        <f aca="false">IF(AND(ISNUMBER('12_Datos_5m'!G85),N('12_Datos_5m'!G85)&gt;0),'12_Datos_5m'!H85/'12_Datos_5m'!G85,0.5)</f>
        <v>0.5</v>
      </c>
      <c r="G85" s="151" t="n">
        <f aca="false">IF(ISNUMBER(C85),($C$2-C85)/3600000,0)</f>
        <v>0</v>
      </c>
      <c r="H85" s="151" t="n">
        <f aca="false">EXP(-G85/'13_Mapa_Liq'!$B$7)</f>
        <v>1</v>
      </c>
      <c r="I85" s="151" t="n">
        <f aca="false">E85*F85*H85</f>
        <v>0</v>
      </c>
      <c r="J85" s="151" t="n">
        <f aca="false">E85*(1-F85)*H85</f>
        <v>0</v>
      </c>
      <c r="K85" s="151" t="n">
        <f aca="false">IF(COUNT('12_Datos_5m'!E86:E$504)=0,1000000000000,MIN('12_Datos_5m'!E86:E$504))</f>
        <v>1000000000000</v>
      </c>
      <c r="L85" s="151" t="n">
        <f aca="false">IF(COUNT('12_Datos_5m'!D86:D$504)=0,0,MAX('12_Datos_5m'!D86:D$504))</f>
        <v>0</v>
      </c>
      <c r="M85" s="151" t="str">
        <f aca="false">IF(ISNUMBER(B85),B85*(1-1/'13_Mapa_Liq'!$B$15+'13_Mapa_Liq'!$B$6),"")</f>
        <v/>
      </c>
      <c r="N85" s="151" t="n">
        <f aca="false">IF(ISNUMBER(B85),IF(K85&gt;M85,I85*'13_Mapa_Liq'!$C$15,0),0)</f>
        <v>0</v>
      </c>
      <c r="O85" s="151" t="str">
        <f aca="false">IF(ISNUMBER(B85),B85*(1+1/'13_Mapa_Liq'!$B$15-'13_Mapa_Liq'!$B$6),"")</f>
        <v/>
      </c>
      <c r="P85" s="151" t="n">
        <f aca="false">IF(ISNUMBER(B85),IF(L85&lt;O85,J85*'13_Mapa_Liq'!$C$15,0),0)</f>
        <v>0</v>
      </c>
      <c r="Q85" s="151" t="str">
        <f aca="false">IF(ISNUMBER(B85),B85*(1-1/'13_Mapa_Liq'!$B$16+'13_Mapa_Liq'!$B$6),"")</f>
        <v/>
      </c>
      <c r="R85" s="151" t="n">
        <f aca="false">IF(ISNUMBER(B85),IF(K85&gt;Q85,I85*'13_Mapa_Liq'!$C$16,0),0)</f>
        <v>0</v>
      </c>
      <c r="S85" s="151" t="str">
        <f aca="false">IF(ISNUMBER(B85),B85*(1+1/'13_Mapa_Liq'!$B$16-'13_Mapa_Liq'!$B$6),"")</f>
        <v/>
      </c>
      <c r="T85" s="151" t="n">
        <f aca="false">IF(ISNUMBER(B85),IF(L85&lt;S85,J85*'13_Mapa_Liq'!$C$16,0),0)</f>
        <v>0</v>
      </c>
      <c r="U85" s="151" t="str">
        <f aca="false">IF(ISNUMBER(B85),B85*(1-1/'13_Mapa_Liq'!$B$17+'13_Mapa_Liq'!$B$6),"")</f>
        <v/>
      </c>
      <c r="V85" s="151" t="n">
        <f aca="false">IF(ISNUMBER(B85),IF(K85&gt;U85,I85*'13_Mapa_Liq'!$C$17,0),0)</f>
        <v>0</v>
      </c>
      <c r="W85" s="151" t="str">
        <f aca="false">IF(ISNUMBER(B85),B85*(1+1/'13_Mapa_Liq'!$B$17-'13_Mapa_Liq'!$B$6),"")</f>
        <v/>
      </c>
      <c r="X85" s="151" t="n">
        <f aca="false">IF(ISNUMBER(B85),IF(L85&lt;W85,J85*'13_Mapa_Liq'!$C$17,0),0)</f>
        <v>0</v>
      </c>
      <c r="Y85" s="151" t="str">
        <f aca="false">IF(ISNUMBER(B85),B85*(1-1/'13_Mapa_Liq'!$B$18+'13_Mapa_Liq'!$B$6),"")</f>
        <v/>
      </c>
      <c r="Z85" s="151" t="n">
        <f aca="false">IF(ISNUMBER(B85),IF(K85&gt;Y85,I85*'13_Mapa_Liq'!$C$18,0),0)</f>
        <v>0</v>
      </c>
      <c r="AA85" s="151" t="str">
        <f aca="false">IF(ISNUMBER(B85),B85*(1+1/'13_Mapa_Liq'!$B$18-'13_Mapa_Liq'!$B$6),"")</f>
        <v/>
      </c>
      <c r="AB85" s="151" t="n">
        <f aca="false">IF(ISNUMBER(B85),IF(L85&lt;AA85,J85*'13_Mapa_Liq'!$C$18,0),0)</f>
        <v>0</v>
      </c>
      <c r="AC85" s="151" t="str">
        <f aca="false">IF(ISNUMBER(B85),B85*(1-1/'13_Mapa_Liq'!$B$19+'13_Mapa_Liq'!$B$6),"")</f>
        <v/>
      </c>
      <c r="AD85" s="151" t="n">
        <f aca="false">IF(ISNUMBER(B85),IF(K85&gt;AC85,I85*'13_Mapa_Liq'!$C$19,0),0)</f>
        <v>0</v>
      </c>
      <c r="AE85" s="151" t="str">
        <f aca="false">IF(ISNUMBER(B85),B85*(1+1/'13_Mapa_Liq'!$B$19-'13_Mapa_Liq'!$B$6),"")</f>
        <v/>
      </c>
      <c r="AF85" s="151" t="n">
        <f aca="false">IF(ISNUMBER(B85),IF(L85&lt;AE85,J85*'13_Mapa_Liq'!$C$19,0),0)</f>
        <v>0</v>
      </c>
      <c r="AG85" s="151"/>
      <c r="AH85" s="151" t="n">
        <f aca="false">IF(ISNUMBER(B85),E85*F85*((K85&lt;=M85)*'13_Mapa_Liq'!$C$15+(K85&lt;=Q85)*'13_Mapa_Liq'!$C$16+(K85&lt;=U85)*'13_Mapa_Liq'!$C$17+(K85&lt;=Y85)*'13_Mapa_Liq'!$C$18+(K85&lt;=AC85)*'13_Mapa_Liq'!$C$19),0)</f>
        <v>0</v>
      </c>
      <c r="AI85" s="151" t="n">
        <f aca="false">IF(ISNUMBER(B85),E85*(1-F85)*((L85&gt;=O85)*'13_Mapa_Liq'!$C$15+(L85&gt;=S85)*'13_Mapa_Liq'!$C$16+(L85&gt;=W85)*'13_Mapa_Liq'!$C$17+(L85&gt;=AA85)*'13_Mapa_Liq'!$C$18+(L85&gt;=AE85)*'13_Mapa_Liq'!$C$19),0)</f>
        <v>0</v>
      </c>
    </row>
    <row r="86" customFormat="false" ht="15" hidden="false" customHeight="false" outlineLevel="0" collapsed="false">
      <c r="A86" s="151" t="str">
        <f aca="false">IF(ISNUMBER('12_Datos_5m'!F86),ROW()-4,"")</f>
        <v/>
      </c>
      <c r="B86" s="151" t="str">
        <f aca="false">IF(ISNUMBER('12_Datos_5m'!F86),'12_Datos_5m'!F86,"")</f>
        <v/>
      </c>
      <c r="C86" s="151" t="str">
        <f aca="false">IF(ISNUMBER('12_Datos_5m'!A86),'12_Datos_5m'!A86,"")</f>
        <v/>
      </c>
      <c r="D86" s="151" t="n">
        <f aca="false">IF(AND(ISNUMBER('12_Datos_5m'!I86),ISNUMBER('12_Datos_5m'!I85)),'12_Datos_5m'!I86-'12_Datos_5m'!I85,0)</f>
        <v>0</v>
      </c>
      <c r="E86" s="151" t="n">
        <f aca="false">MAX(0,D86)</f>
        <v>0</v>
      </c>
      <c r="F86" s="151" t="n">
        <f aca="false">IF(AND(ISNUMBER('12_Datos_5m'!G86),N('12_Datos_5m'!G86)&gt;0),'12_Datos_5m'!H86/'12_Datos_5m'!G86,0.5)</f>
        <v>0.5</v>
      </c>
      <c r="G86" s="151" t="n">
        <f aca="false">IF(ISNUMBER(C86),($C$2-C86)/3600000,0)</f>
        <v>0</v>
      </c>
      <c r="H86" s="151" t="n">
        <f aca="false">EXP(-G86/'13_Mapa_Liq'!$B$7)</f>
        <v>1</v>
      </c>
      <c r="I86" s="151" t="n">
        <f aca="false">E86*F86*H86</f>
        <v>0</v>
      </c>
      <c r="J86" s="151" t="n">
        <f aca="false">E86*(1-F86)*H86</f>
        <v>0</v>
      </c>
      <c r="K86" s="151" t="n">
        <f aca="false">IF(COUNT('12_Datos_5m'!E87:E$504)=0,1000000000000,MIN('12_Datos_5m'!E87:E$504))</f>
        <v>1000000000000</v>
      </c>
      <c r="L86" s="151" t="n">
        <f aca="false">IF(COUNT('12_Datos_5m'!D87:D$504)=0,0,MAX('12_Datos_5m'!D87:D$504))</f>
        <v>0</v>
      </c>
      <c r="M86" s="151" t="str">
        <f aca="false">IF(ISNUMBER(B86),B86*(1-1/'13_Mapa_Liq'!$B$15+'13_Mapa_Liq'!$B$6),"")</f>
        <v/>
      </c>
      <c r="N86" s="151" t="n">
        <f aca="false">IF(ISNUMBER(B86),IF(K86&gt;M86,I86*'13_Mapa_Liq'!$C$15,0),0)</f>
        <v>0</v>
      </c>
      <c r="O86" s="151" t="str">
        <f aca="false">IF(ISNUMBER(B86),B86*(1+1/'13_Mapa_Liq'!$B$15-'13_Mapa_Liq'!$B$6),"")</f>
        <v/>
      </c>
      <c r="P86" s="151" t="n">
        <f aca="false">IF(ISNUMBER(B86),IF(L86&lt;O86,J86*'13_Mapa_Liq'!$C$15,0),0)</f>
        <v>0</v>
      </c>
      <c r="Q86" s="151" t="str">
        <f aca="false">IF(ISNUMBER(B86),B86*(1-1/'13_Mapa_Liq'!$B$16+'13_Mapa_Liq'!$B$6),"")</f>
        <v/>
      </c>
      <c r="R86" s="151" t="n">
        <f aca="false">IF(ISNUMBER(B86),IF(K86&gt;Q86,I86*'13_Mapa_Liq'!$C$16,0),0)</f>
        <v>0</v>
      </c>
      <c r="S86" s="151" t="str">
        <f aca="false">IF(ISNUMBER(B86),B86*(1+1/'13_Mapa_Liq'!$B$16-'13_Mapa_Liq'!$B$6),"")</f>
        <v/>
      </c>
      <c r="T86" s="151" t="n">
        <f aca="false">IF(ISNUMBER(B86),IF(L86&lt;S86,J86*'13_Mapa_Liq'!$C$16,0),0)</f>
        <v>0</v>
      </c>
      <c r="U86" s="151" t="str">
        <f aca="false">IF(ISNUMBER(B86),B86*(1-1/'13_Mapa_Liq'!$B$17+'13_Mapa_Liq'!$B$6),"")</f>
        <v/>
      </c>
      <c r="V86" s="151" t="n">
        <f aca="false">IF(ISNUMBER(B86),IF(K86&gt;U86,I86*'13_Mapa_Liq'!$C$17,0),0)</f>
        <v>0</v>
      </c>
      <c r="W86" s="151" t="str">
        <f aca="false">IF(ISNUMBER(B86),B86*(1+1/'13_Mapa_Liq'!$B$17-'13_Mapa_Liq'!$B$6),"")</f>
        <v/>
      </c>
      <c r="X86" s="151" t="n">
        <f aca="false">IF(ISNUMBER(B86),IF(L86&lt;W86,J86*'13_Mapa_Liq'!$C$17,0),0)</f>
        <v>0</v>
      </c>
      <c r="Y86" s="151" t="str">
        <f aca="false">IF(ISNUMBER(B86),B86*(1-1/'13_Mapa_Liq'!$B$18+'13_Mapa_Liq'!$B$6),"")</f>
        <v/>
      </c>
      <c r="Z86" s="151" t="n">
        <f aca="false">IF(ISNUMBER(B86),IF(K86&gt;Y86,I86*'13_Mapa_Liq'!$C$18,0),0)</f>
        <v>0</v>
      </c>
      <c r="AA86" s="151" t="str">
        <f aca="false">IF(ISNUMBER(B86),B86*(1+1/'13_Mapa_Liq'!$B$18-'13_Mapa_Liq'!$B$6),"")</f>
        <v/>
      </c>
      <c r="AB86" s="151" t="n">
        <f aca="false">IF(ISNUMBER(B86),IF(L86&lt;AA86,J86*'13_Mapa_Liq'!$C$18,0),0)</f>
        <v>0</v>
      </c>
      <c r="AC86" s="151" t="str">
        <f aca="false">IF(ISNUMBER(B86),B86*(1-1/'13_Mapa_Liq'!$B$19+'13_Mapa_Liq'!$B$6),"")</f>
        <v/>
      </c>
      <c r="AD86" s="151" t="n">
        <f aca="false">IF(ISNUMBER(B86),IF(K86&gt;AC86,I86*'13_Mapa_Liq'!$C$19,0),0)</f>
        <v>0</v>
      </c>
      <c r="AE86" s="151" t="str">
        <f aca="false">IF(ISNUMBER(B86),B86*(1+1/'13_Mapa_Liq'!$B$19-'13_Mapa_Liq'!$B$6),"")</f>
        <v/>
      </c>
      <c r="AF86" s="151" t="n">
        <f aca="false">IF(ISNUMBER(B86),IF(L86&lt;AE86,J86*'13_Mapa_Liq'!$C$19,0),0)</f>
        <v>0</v>
      </c>
      <c r="AG86" s="151"/>
      <c r="AH86" s="151" t="n">
        <f aca="false">IF(ISNUMBER(B86),E86*F86*((K86&lt;=M86)*'13_Mapa_Liq'!$C$15+(K86&lt;=Q86)*'13_Mapa_Liq'!$C$16+(K86&lt;=U86)*'13_Mapa_Liq'!$C$17+(K86&lt;=Y86)*'13_Mapa_Liq'!$C$18+(K86&lt;=AC86)*'13_Mapa_Liq'!$C$19),0)</f>
        <v>0</v>
      </c>
      <c r="AI86" s="151" t="n">
        <f aca="false">IF(ISNUMBER(B86),E86*(1-F86)*((L86&gt;=O86)*'13_Mapa_Liq'!$C$15+(L86&gt;=S86)*'13_Mapa_Liq'!$C$16+(L86&gt;=W86)*'13_Mapa_Liq'!$C$17+(L86&gt;=AA86)*'13_Mapa_Liq'!$C$18+(L86&gt;=AE86)*'13_Mapa_Liq'!$C$19),0)</f>
        <v>0</v>
      </c>
    </row>
    <row r="87" customFormat="false" ht="15" hidden="false" customHeight="false" outlineLevel="0" collapsed="false">
      <c r="A87" s="151" t="str">
        <f aca="false">IF(ISNUMBER('12_Datos_5m'!F87),ROW()-4,"")</f>
        <v/>
      </c>
      <c r="B87" s="151" t="str">
        <f aca="false">IF(ISNUMBER('12_Datos_5m'!F87),'12_Datos_5m'!F87,"")</f>
        <v/>
      </c>
      <c r="C87" s="151" t="str">
        <f aca="false">IF(ISNUMBER('12_Datos_5m'!A87),'12_Datos_5m'!A87,"")</f>
        <v/>
      </c>
      <c r="D87" s="151" t="n">
        <f aca="false">IF(AND(ISNUMBER('12_Datos_5m'!I87),ISNUMBER('12_Datos_5m'!I86)),'12_Datos_5m'!I87-'12_Datos_5m'!I86,0)</f>
        <v>0</v>
      </c>
      <c r="E87" s="151" t="n">
        <f aca="false">MAX(0,D87)</f>
        <v>0</v>
      </c>
      <c r="F87" s="151" t="n">
        <f aca="false">IF(AND(ISNUMBER('12_Datos_5m'!G87),N('12_Datos_5m'!G87)&gt;0),'12_Datos_5m'!H87/'12_Datos_5m'!G87,0.5)</f>
        <v>0.5</v>
      </c>
      <c r="G87" s="151" t="n">
        <f aca="false">IF(ISNUMBER(C87),($C$2-C87)/3600000,0)</f>
        <v>0</v>
      </c>
      <c r="H87" s="151" t="n">
        <f aca="false">EXP(-G87/'13_Mapa_Liq'!$B$7)</f>
        <v>1</v>
      </c>
      <c r="I87" s="151" t="n">
        <f aca="false">E87*F87*H87</f>
        <v>0</v>
      </c>
      <c r="J87" s="151" t="n">
        <f aca="false">E87*(1-F87)*H87</f>
        <v>0</v>
      </c>
      <c r="K87" s="151" t="n">
        <f aca="false">IF(COUNT('12_Datos_5m'!E88:E$504)=0,1000000000000,MIN('12_Datos_5m'!E88:E$504))</f>
        <v>1000000000000</v>
      </c>
      <c r="L87" s="151" t="n">
        <f aca="false">IF(COUNT('12_Datos_5m'!D88:D$504)=0,0,MAX('12_Datos_5m'!D88:D$504))</f>
        <v>0</v>
      </c>
      <c r="M87" s="151" t="str">
        <f aca="false">IF(ISNUMBER(B87),B87*(1-1/'13_Mapa_Liq'!$B$15+'13_Mapa_Liq'!$B$6),"")</f>
        <v/>
      </c>
      <c r="N87" s="151" t="n">
        <f aca="false">IF(ISNUMBER(B87),IF(K87&gt;M87,I87*'13_Mapa_Liq'!$C$15,0),0)</f>
        <v>0</v>
      </c>
      <c r="O87" s="151" t="str">
        <f aca="false">IF(ISNUMBER(B87),B87*(1+1/'13_Mapa_Liq'!$B$15-'13_Mapa_Liq'!$B$6),"")</f>
        <v/>
      </c>
      <c r="P87" s="151" t="n">
        <f aca="false">IF(ISNUMBER(B87),IF(L87&lt;O87,J87*'13_Mapa_Liq'!$C$15,0),0)</f>
        <v>0</v>
      </c>
      <c r="Q87" s="151" t="str">
        <f aca="false">IF(ISNUMBER(B87),B87*(1-1/'13_Mapa_Liq'!$B$16+'13_Mapa_Liq'!$B$6),"")</f>
        <v/>
      </c>
      <c r="R87" s="151" t="n">
        <f aca="false">IF(ISNUMBER(B87),IF(K87&gt;Q87,I87*'13_Mapa_Liq'!$C$16,0),0)</f>
        <v>0</v>
      </c>
      <c r="S87" s="151" t="str">
        <f aca="false">IF(ISNUMBER(B87),B87*(1+1/'13_Mapa_Liq'!$B$16-'13_Mapa_Liq'!$B$6),"")</f>
        <v/>
      </c>
      <c r="T87" s="151" t="n">
        <f aca="false">IF(ISNUMBER(B87),IF(L87&lt;S87,J87*'13_Mapa_Liq'!$C$16,0),0)</f>
        <v>0</v>
      </c>
      <c r="U87" s="151" t="str">
        <f aca="false">IF(ISNUMBER(B87),B87*(1-1/'13_Mapa_Liq'!$B$17+'13_Mapa_Liq'!$B$6),"")</f>
        <v/>
      </c>
      <c r="V87" s="151" t="n">
        <f aca="false">IF(ISNUMBER(B87),IF(K87&gt;U87,I87*'13_Mapa_Liq'!$C$17,0),0)</f>
        <v>0</v>
      </c>
      <c r="W87" s="151" t="str">
        <f aca="false">IF(ISNUMBER(B87),B87*(1+1/'13_Mapa_Liq'!$B$17-'13_Mapa_Liq'!$B$6),"")</f>
        <v/>
      </c>
      <c r="X87" s="151" t="n">
        <f aca="false">IF(ISNUMBER(B87),IF(L87&lt;W87,J87*'13_Mapa_Liq'!$C$17,0),0)</f>
        <v>0</v>
      </c>
      <c r="Y87" s="151" t="str">
        <f aca="false">IF(ISNUMBER(B87),B87*(1-1/'13_Mapa_Liq'!$B$18+'13_Mapa_Liq'!$B$6),"")</f>
        <v/>
      </c>
      <c r="Z87" s="151" t="n">
        <f aca="false">IF(ISNUMBER(B87),IF(K87&gt;Y87,I87*'13_Mapa_Liq'!$C$18,0),0)</f>
        <v>0</v>
      </c>
      <c r="AA87" s="151" t="str">
        <f aca="false">IF(ISNUMBER(B87),B87*(1+1/'13_Mapa_Liq'!$B$18-'13_Mapa_Liq'!$B$6),"")</f>
        <v/>
      </c>
      <c r="AB87" s="151" t="n">
        <f aca="false">IF(ISNUMBER(B87),IF(L87&lt;AA87,J87*'13_Mapa_Liq'!$C$18,0),0)</f>
        <v>0</v>
      </c>
      <c r="AC87" s="151" t="str">
        <f aca="false">IF(ISNUMBER(B87),B87*(1-1/'13_Mapa_Liq'!$B$19+'13_Mapa_Liq'!$B$6),"")</f>
        <v/>
      </c>
      <c r="AD87" s="151" t="n">
        <f aca="false">IF(ISNUMBER(B87),IF(K87&gt;AC87,I87*'13_Mapa_Liq'!$C$19,0),0)</f>
        <v>0</v>
      </c>
      <c r="AE87" s="151" t="str">
        <f aca="false">IF(ISNUMBER(B87),B87*(1+1/'13_Mapa_Liq'!$B$19-'13_Mapa_Liq'!$B$6),"")</f>
        <v/>
      </c>
      <c r="AF87" s="151" t="n">
        <f aca="false">IF(ISNUMBER(B87),IF(L87&lt;AE87,J87*'13_Mapa_Liq'!$C$19,0),0)</f>
        <v>0</v>
      </c>
      <c r="AG87" s="151"/>
      <c r="AH87" s="151" t="n">
        <f aca="false">IF(ISNUMBER(B87),E87*F87*((K87&lt;=M87)*'13_Mapa_Liq'!$C$15+(K87&lt;=Q87)*'13_Mapa_Liq'!$C$16+(K87&lt;=U87)*'13_Mapa_Liq'!$C$17+(K87&lt;=Y87)*'13_Mapa_Liq'!$C$18+(K87&lt;=AC87)*'13_Mapa_Liq'!$C$19),0)</f>
        <v>0</v>
      </c>
      <c r="AI87" s="151" t="n">
        <f aca="false">IF(ISNUMBER(B87),E87*(1-F87)*((L87&gt;=O87)*'13_Mapa_Liq'!$C$15+(L87&gt;=S87)*'13_Mapa_Liq'!$C$16+(L87&gt;=W87)*'13_Mapa_Liq'!$C$17+(L87&gt;=AA87)*'13_Mapa_Liq'!$C$18+(L87&gt;=AE87)*'13_Mapa_Liq'!$C$19),0)</f>
        <v>0</v>
      </c>
    </row>
    <row r="88" customFormat="false" ht="15" hidden="false" customHeight="false" outlineLevel="0" collapsed="false">
      <c r="A88" s="151" t="str">
        <f aca="false">IF(ISNUMBER('12_Datos_5m'!F88),ROW()-4,"")</f>
        <v/>
      </c>
      <c r="B88" s="151" t="str">
        <f aca="false">IF(ISNUMBER('12_Datos_5m'!F88),'12_Datos_5m'!F88,"")</f>
        <v/>
      </c>
      <c r="C88" s="151" t="str">
        <f aca="false">IF(ISNUMBER('12_Datos_5m'!A88),'12_Datos_5m'!A88,"")</f>
        <v/>
      </c>
      <c r="D88" s="151" t="n">
        <f aca="false">IF(AND(ISNUMBER('12_Datos_5m'!I88),ISNUMBER('12_Datos_5m'!I87)),'12_Datos_5m'!I88-'12_Datos_5m'!I87,0)</f>
        <v>0</v>
      </c>
      <c r="E88" s="151" t="n">
        <f aca="false">MAX(0,D88)</f>
        <v>0</v>
      </c>
      <c r="F88" s="151" t="n">
        <f aca="false">IF(AND(ISNUMBER('12_Datos_5m'!G88),N('12_Datos_5m'!G88)&gt;0),'12_Datos_5m'!H88/'12_Datos_5m'!G88,0.5)</f>
        <v>0.5</v>
      </c>
      <c r="G88" s="151" t="n">
        <f aca="false">IF(ISNUMBER(C88),($C$2-C88)/3600000,0)</f>
        <v>0</v>
      </c>
      <c r="H88" s="151" t="n">
        <f aca="false">EXP(-G88/'13_Mapa_Liq'!$B$7)</f>
        <v>1</v>
      </c>
      <c r="I88" s="151" t="n">
        <f aca="false">E88*F88*H88</f>
        <v>0</v>
      </c>
      <c r="J88" s="151" t="n">
        <f aca="false">E88*(1-F88)*H88</f>
        <v>0</v>
      </c>
      <c r="K88" s="151" t="n">
        <f aca="false">IF(COUNT('12_Datos_5m'!E89:E$504)=0,1000000000000,MIN('12_Datos_5m'!E89:E$504))</f>
        <v>1000000000000</v>
      </c>
      <c r="L88" s="151" t="n">
        <f aca="false">IF(COUNT('12_Datos_5m'!D89:D$504)=0,0,MAX('12_Datos_5m'!D89:D$504))</f>
        <v>0</v>
      </c>
      <c r="M88" s="151" t="str">
        <f aca="false">IF(ISNUMBER(B88),B88*(1-1/'13_Mapa_Liq'!$B$15+'13_Mapa_Liq'!$B$6),"")</f>
        <v/>
      </c>
      <c r="N88" s="151" t="n">
        <f aca="false">IF(ISNUMBER(B88),IF(K88&gt;M88,I88*'13_Mapa_Liq'!$C$15,0),0)</f>
        <v>0</v>
      </c>
      <c r="O88" s="151" t="str">
        <f aca="false">IF(ISNUMBER(B88),B88*(1+1/'13_Mapa_Liq'!$B$15-'13_Mapa_Liq'!$B$6),"")</f>
        <v/>
      </c>
      <c r="P88" s="151" t="n">
        <f aca="false">IF(ISNUMBER(B88),IF(L88&lt;O88,J88*'13_Mapa_Liq'!$C$15,0),0)</f>
        <v>0</v>
      </c>
      <c r="Q88" s="151" t="str">
        <f aca="false">IF(ISNUMBER(B88),B88*(1-1/'13_Mapa_Liq'!$B$16+'13_Mapa_Liq'!$B$6),"")</f>
        <v/>
      </c>
      <c r="R88" s="151" t="n">
        <f aca="false">IF(ISNUMBER(B88),IF(K88&gt;Q88,I88*'13_Mapa_Liq'!$C$16,0),0)</f>
        <v>0</v>
      </c>
      <c r="S88" s="151" t="str">
        <f aca="false">IF(ISNUMBER(B88),B88*(1+1/'13_Mapa_Liq'!$B$16-'13_Mapa_Liq'!$B$6),"")</f>
        <v/>
      </c>
      <c r="T88" s="151" t="n">
        <f aca="false">IF(ISNUMBER(B88),IF(L88&lt;S88,J88*'13_Mapa_Liq'!$C$16,0),0)</f>
        <v>0</v>
      </c>
      <c r="U88" s="151" t="str">
        <f aca="false">IF(ISNUMBER(B88),B88*(1-1/'13_Mapa_Liq'!$B$17+'13_Mapa_Liq'!$B$6),"")</f>
        <v/>
      </c>
      <c r="V88" s="151" t="n">
        <f aca="false">IF(ISNUMBER(B88),IF(K88&gt;U88,I88*'13_Mapa_Liq'!$C$17,0),0)</f>
        <v>0</v>
      </c>
      <c r="W88" s="151" t="str">
        <f aca="false">IF(ISNUMBER(B88),B88*(1+1/'13_Mapa_Liq'!$B$17-'13_Mapa_Liq'!$B$6),"")</f>
        <v/>
      </c>
      <c r="X88" s="151" t="n">
        <f aca="false">IF(ISNUMBER(B88),IF(L88&lt;W88,J88*'13_Mapa_Liq'!$C$17,0),0)</f>
        <v>0</v>
      </c>
      <c r="Y88" s="151" t="str">
        <f aca="false">IF(ISNUMBER(B88),B88*(1-1/'13_Mapa_Liq'!$B$18+'13_Mapa_Liq'!$B$6),"")</f>
        <v/>
      </c>
      <c r="Z88" s="151" t="n">
        <f aca="false">IF(ISNUMBER(B88),IF(K88&gt;Y88,I88*'13_Mapa_Liq'!$C$18,0),0)</f>
        <v>0</v>
      </c>
      <c r="AA88" s="151" t="str">
        <f aca="false">IF(ISNUMBER(B88),B88*(1+1/'13_Mapa_Liq'!$B$18-'13_Mapa_Liq'!$B$6),"")</f>
        <v/>
      </c>
      <c r="AB88" s="151" t="n">
        <f aca="false">IF(ISNUMBER(B88),IF(L88&lt;AA88,J88*'13_Mapa_Liq'!$C$18,0),0)</f>
        <v>0</v>
      </c>
      <c r="AC88" s="151" t="str">
        <f aca="false">IF(ISNUMBER(B88),B88*(1-1/'13_Mapa_Liq'!$B$19+'13_Mapa_Liq'!$B$6),"")</f>
        <v/>
      </c>
      <c r="AD88" s="151" t="n">
        <f aca="false">IF(ISNUMBER(B88),IF(K88&gt;AC88,I88*'13_Mapa_Liq'!$C$19,0),0)</f>
        <v>0</v>
      </c>
      <c r="AE88" s="151" t="str">
        <f aca="false">IF(ISNUMBER(B88),B88*(1+1/'13_Mapa_Liq'!$B$19-'13_Mapa_Liq'!$B$6),"")</f>
        <v/>
      </c>
      <c r="AF88" s="151" t="n">
        <f aca="false">IF(ISNUMBER(B88),IF(L88&lt;AE88,J88*'13_Mapa_Liq'!$C$19,0),0)</f>
        <v>0</v>
      </c>
      <c r="AG88" s="151"/>
      <c r="AH88" s="151" t="n">
        <f aca="false">IF(ISNUMBER(B88),E88*F88*((K88&lt;=M88)*'13_Mapa_Liq'!$C$15+(K88&lt;=Q88)*'13_Mapa_Liq'!$C$16+(K88&lt;=U88)*'13_Mapa_Liq'!$C$17+(K88&lt;=Y88)*'13_Mapa_Liq'!$C$18+(K88&lt;=AC88)*'13_Mapa_Liq'!$C$19),0)</f>
        <v>0</v>
      </c>
      <c r="AI88" s="151" t="n">
        <f aca="false">IF(ISNUMBER(B88),E88*(1-F88)*((L88&gt;=O88)*'13_Mapa_Liq'!$C$15+(L88&gt;=S88)*'13_Mapa_Liq'!$C$16+(L88&gt;=W88)*'13_Mapa_Liq'!$C$17+(L88&gt;=AA88)*'13_Mapa_Liq'!$C$18+(L88&gt;=AE88)*'13_Mapa_Liq'!$C$19),0)</f>
        <v>0</v>
      </c>
    </row>
    <row r="89" customFormat="false" ht="15" hidden="false" customHeight="false" outlineLevel="0" collapsed="false">
      <c r="A89" s="151" t="str">
        <f aca="false">IF(ISNUMBER('12_Datos_5m'!F89),ROW()-4,"")</f>
        <v/>
      </c>
      <c r="B89" s="151" t="str">
        <f aca="false">IF(ISNUMBER('12_Datos_5m'!F89),'12_Datos_5m'!F89,"")</f>
        <v/>
      </c>
      <c r="C89" s="151" t="str">
        <f aca="false">IF(ISNUMBER('12_Datos_5m'!A89),'12_Datos_5m'!A89,"")</f>
        <v/>
      </c>
      <c r="D89" s="151" t="n">
        <f aca="false">IF(AND(ISNUMBER('12_Datos_5m'!I89),ISNUMBER('12_Datos_5m'!I88)),'12_Datos_5m'!I89-'12_Datos_5m'!I88,0)</f>
        <v>0</v>
      </c>
      <c r="E89" s="151" t="n">
        <f aca="false">MAX(0,D89)</f>
        <v>0</v>
      </c>
      <c r="F89" s="151" t="n">
        <f aca="false">IF(AND(ISNUMBER('12_Datos_5m'!G89),N('12_Datos_5m'!G89)&gt;0),'12_Datos_5m'!H89/'12_Datos_5m'!G89,0.5)</f>
        <v>0.5</v>
      </c>
      <c r="G89" s="151" t="n">
        <f aca="false">IF(ISNUMBER(C89),($C$2-C89)/3600000,0)</f>
        <v>0</v>
      </c>
      <c r="H89" s="151" t="n">
        <f aca="false">EXP(-G89/'13_Mapa_Liq'!$B$7)</f>
        <v>1</v>
      </c>
      <c r="I89" s="151" t="n">
        <f aca="false">E89*F89*H89</f>
        <v>0</v>
      </c>
      <c r="J89" s="151" t="n">
        <f aca="false">E89*(1-F89)*H89</f>
        <v>0</v>
      </c>
      <c r="K89" s="151" t="n">
        <f aca="false">IF(COUNT('12_Datos_5m'!E90:E$504)=0,1000000000000,MIN('12_Datos_5m'!E90:E$504))</f>
        <v>1000000000000</v>
      </c>
      <c r="L89" s="151" t="n">
        <f aca="false">IF(COUNT('12_Datos_5m'!D90:D$504)=0,0,MAX('12_Datos_5m'!D90:D$504))</f>
        <v>0</v>
      </c>
      <c r="M89" s="151" t="str">
        <f aca="false">IF(ISNUMBER(B89),B89*(1-1/'13_Mapa_Liq'!$B$15+'13_Mapa_Liq'!$B$6),"")</f>
        <v/>
      </c>
      <c r="N89" s="151" t="n">
        <f aca="false">IF(ISNUMBER(B89),IF(K89&gt;M89,I89*'13_Mapa_Liq'!$C$15,0),0)</f>
        <v>0</v>
      </c>
      <c r="O89" s="151" t="str">
        <f aca="false">IF(ISNUMBER(B89),B89*(1+1/'13_Mapa_Liq'!$B$15-'13_Mapa_Liq'!$B$6),"")</f>
        <v/>
      </c>
      <c r="P89" s="151" t="n">
        <f aca="false">IF(ISNUMBER(B89),IF(L89&lt;O89,J89*'13_Mapa_Liq'!$C$15,0),0)</f>
        <v>0</v>
      </c>
      <c r="Q89" s="151" t="str">
        <f aca="false">IF(ISNUMBER(B89),B89*(1-1/'13_Mapa_Liq'!$B$16+'13_Mapa_Liq'!$B$6),"")</f>
        <v/>
      </c>
      <c r="R89" s="151" t="n">
        <f aca="false">IF(ISNUMBER(B89),IF(K89&gt;Q89,I89*'13_Mapa_Liq'!$C$16,0),0)</f>
        <v>0</v>
      </c>
      <c r="S89" s="151" t="str">
        <f aca="false">IF(ISNUMBER(B89),B89*(1+1/'13_Mapa_Liq'!$B$16-'13_Mapa_Liq'!$B$6),"")</f>
        <v/>
      </c>
      <c r="T89" s="151" t="n">
        <f aca="false">IF(ISNUMBER(B89),IF(L89&lt;S89,J89*'13_Mapa_Liq'!$C$16,0),0)</f>
        <v>0</v>
      </c>
      <c r="U89" s="151" t="str">
        <f aca="false">IF(ISNUMBER(B89),B89*(1-1/'13_Mapa_Liq'!$B$17+'13_Mapa_Liq'!$B$6),"")</f>
        <v/>
      </c>
      <c r="V89" s="151" t="n">
        <f aca="false">IF(ISNUMBER(B89),IF(K89&gt;U89,I89*'13_Mapa_Liq'!$C$17,0),0)</f>
        <v>0</v>
      </c>
      <c r="W89" s="151" t="str">
        <f aca="false">IF(ISNUMBER(B89),B89*(1+1/'13_Mapa_Liq'!$B$17-'13_Mapa_Liq'!$B$6),"")</f>
        <v/>
      </c>
      <c r="X89" s="151" t="n">
        <f aca="false">IF(ISNUMBER(B89),IF(L89&lt;W89,J89*'13_Mapa_Liq'!$C$17,0),0)</f>
        <v>0</v>
      </c>
      <c r="Y89" s="151" t="str">
        <f aca="false">IF(ISNUMBER(B89),B89*(1-1/'13_Mapa_Liq'!$B$18+'13_Mapa_Liq'!$B$6),"")</f>
        <v/>
      </c>
      <c r="Z89" s="151" t="n">
        <f aca="false">IF(ISNUMBER(B89),IF(K89&gt;Y89,I89*'13_Mapa_Liq'!$C$18,0),0)</f>
        <v>0</v>
      </c>
      <c r="AA89" s="151" t="str">
        <f aca="false">IF(ISNUMBER(B89),B89*(1+1/'13_Mapa_Liq'!$B$18-'13_Mapa_Liq'!$B$6),"")</f>
        <v/>
      </c>
      <c r="AB89" s="151" t="n">
        <f aca="false">IF(ISNUMBER(B89),IF(L89&lt;AA89,J89*'13_Mapa_Liq'!$C$18,0),0)</f>
        <v>0</v>
      </c>
      <c r="AC89" s="151" t="str">
        <f aca="false">IF(ISNUMBER(B89),B89*(1-1/'13_Mapa_Liq'!$B$19+'13_Mapa_Liq'!$B$6),"")</f>
        <v/>
      </c>
      <c r="AD89" s="151" t="n">
        <f aca="false">IF(ISNUMBER(B89),IF(K89&gt;AC89,I89*'13_Mapa_Liq'!$C$19,0),0)</f>
        <v>0</v>
      </c>
      <c r="AE89" s="151" t="str">
        <f aca="false">IF(ISNUMBER(B89),B89*(1+1/'13_Mapa_Liq'!$B$19-'13_Mapa_Liq'!$B$6),"")</f>
        <v/>
      </c>
      <c r="AF89" s="151" t="n">
        <f aca="false">IF(ISNUMBER(B89),IF(L89&lt;AE89,J89*'13_Mapa_Liq'!$C$19,0),0)</f>
        <v>0</v>
      </c>
      <c r="AG89" s="151"/>
      <c r="AH89" s="151" t="n">
        <f aca="false">IF(ISNUMBER(B89),E89*F89*((K89&lt;=M89)*'13_Mapa_Liq'!$C$15+(K89&lt;=Q89)*'13_Mapa_Liq'!$C$16+(K89&lt;=U89)*'13_Mapa_Liq'!$C$17+(K89&lt;=Y89)*'13_Mapa_Liq'!$C$18+(K89&lt;=AC89)*'13_Mapa_Liq'!$C$19),0)</f>
        <v>0</v>
      </c>
      <c r="AI89" s="151" t="n">
        <f aca="false">IF(ISNUMBER(B89),E89*(1-F89)*((L89&gt;=O89)*'13_Mapa_Liq'!$C$15+(L89&gt;=S89)*'13_Mapa_Liq'!$C$16+(L89&gt;=W89)*'13_Mapa_Liq'!$C$17+(L89&gt;=AA89)*'13_Mapa_Liq'!$C$18+(L89&gt;=AE89)*'13_Mapa_Liq'!$C$19),0)</f>
        <v>0</v>
      </c>
    </row>
    <row r="90" customFormat="false" ht="15" hidden="false" customHeight="false" outlineLevel="0" collapsed="false">
      <c r="A90" s="151" t="str">
        <f aca="false">IF(ISNUMBER('12_Datos_5m'!F90),ROW()-4,"")</f>
        <v/>
      </c>
      <c r="B90" s="151" t="str">
        <f aca="false">IF(ISNUMBER('12_Datos_5m'!F90),'12_Datos_5m'!F90,"")</f>
        <v/>
      </c>
      <c r="C90" s="151" t="str">
        <f aca="false">IF(ISNUMBER('12_Datos_5m'!A90),'12_Datos_5m'!A90,"")</f>
        <v/>
      </c>
      <c r="D90" s="151" t="n">
        <f aca="false">IF(AND(ISNUMBER('12_Datos_5m'!I90),ISNUMBER('12_Datos_5m'!I89)),'12_Datos_5m'!I90-'12_Datos_5m'!I89,0)</f>
        <v>0</v>
      </c>
      <c r="E90" s="151" t="n">
        <f aca="false">MAX(0,D90)</f>
        <v>0</v>
      </c>
      <c r="F90" s="151" t="n">
        <f aca="false">IF(AND(ISNUMBER('12_Datos_5m'!G90),N('12_Datos_5m'!G90)&gt;0),'12_Datos_5m'!H90/'12_Datos_5m'!G90,0.5)</f>
        <v>0.5</v>
      </c>
      <c r="G90" s="151" t="n">
        <f aca="false">IF(ISNUMBER(C90),($C$2-C90)/3600000,0)</f>
        <v>0</v>
      </c>
      <c r="H90" s="151" t="n">
        <f aca="false">EXP(-G90/'13_Mapa_Liq'!$B$7)</f>
        <v>1</v>
      </c>
      <c r="I90" s="151" t="n">
        <f aca="false">E90*F90*H90</f>
        <v>0</v>
      </c>
      <c r="J90" s="151" t="n">
        <f aca="false">E90*(1-F90)*H90</f>
        <v>0</v>
      </c>
      <c r="K90" s="151" t="n">
        <f aca="false">IF(COUNT('12_Datos_5m'!E91:E$504)=0,1000000000000,MIN('12_Datos_5m'!E91:E$504))</f>
        <v>1000000000000</v>
      </c>
      <c r="L90" s="151" t="n">
        <f aca="false">IF(COUNT('12_Datos_5m'!D91:D$504)=0,0,MAX('12_Datos_5m'!D91:D$504))</f>
        <v>0</v>
      </c>
      <c r="M90" s="151" t="str">
        <f aca="false">IF(ISNUMBER(B90),B90*(1-1/'13_Mapa_Liq'!$B$15+'13_Mapa_Liq'!$B$6),"")</f>
        <v/>
      </c>
      <c r="N90" s="151" t="n">
        <f aca="false">IF(ISNUMBER(B90),IF(K90&gt;M90,I90*'13_Mapa_Liq'!$C$15,0),0)</f>
        <v>0</v>
      </c>
      <c r="O90" s="151" t="str">
        <f aca="false">IF(ISNUMBER(B90),B90*(1+1/'13_Mapa_Liq'!$B$15-'13_Mapa_Liq'!$B$6),"")</f>
        <v/>
      </c>
      <c r="P90" s="151" t="n">
        <f aca="false">IF(ISNUMBER(B90),IF(L90&lt;O90,J90*'13_Mapa_Liq'!$C$15,0),0)</f>
        <v>0</v>
      </c>
      <c r="Q90" s="151" t="str">
        <f aca="false">IF(ISNUMBER(B90),B90*(1-1/'13_Mapa_Liq'!$B$16+'13_Mapa_Liq'!$B$6),"")</f>
        <v/>
      </c>
      <c r="R90" s="151" t="n">
        <f aca="false">IF(ISNUMBER(B90),IF(K90&gt;Q90,I90*'13_Mapa_Liq'!$C$16,0),0)</f>
        <v>0</v>
      </c>
      <c r="S90" s="151" t="str">
        <f aca="false">IF(ISNUMBER(B90),B90*(1+1/'13_Mapa_Liq'!$B$16-'13_Mapa_Liq'!$B$6),"")</f>
        <v/>
      </c>
      <c r="T90" s="151" t="n">
        <f aca="false">IF(ISNUMBER(B90),IF(L90&lt;S90,J90*'13_Mapa_Liq'!$C$16,0),0)</f>
        <v>0</v>
      </c>
      <c r="U90" s="151" t="str">
        <f aca="false">IF(ISNUMBER(B90),B90*(1-1/'13_Mapa_Liq'!$B$17+'13_Mapa_Liq'!$B$6),"")</f>
        <v/>
      </c>
      <c r="V90" s="151" t="n">
        <f aca="false">IF(ISNUMBER(B90),IF(K90&gt;U90,I90*'13_Mapa_Liq'!$C$17,0),0)</f>
        <v>0</v>
      </c>
      <c r="W90" s="151" t="str">
        <f aca="false">IF(ISNUMBER(B90),B90*(1+1/'13_Mapa_Liq'!$B$17-'13_Mapa_Liq'!$B$6),"")</f>
        <v/>
      </c>
      <c r="X90" s="151" t="n">
        <f aca="false">IF(ISNUMBER(B90),IF(L90&lt;W90,J90*'13_Mapa_Liq'!$C$17,0),0)</f>
        <v>0</v>
      </c>
      <c r="Y90" s="151" t="str">
        <f aca="false">IF(ISNUMBER(B90),B90*(1-1/'13_Mapa_Liq'!$B$18+'13_Mapa_Liq'!$B$6),"")</f>
        <v/>
      </c>
      <c r="Z90" s="151" t="n">
        <f aca="false">IF(ISNUMBER(B90),IF(K90&gt;Y90,I90*'13_Mapa_Liq'!$C$18,0),0)</f>
        <v>0</v>
      </c>
      <c r="AA90" s="151" t="str">
        <f aca="false">IF(ISNUMBER(B90),B90*(1+1/'13_Mapa_Liq'!$B$18-'13_Mapa_Liq'!$B$6),"")</f>
        <v/>
      </c>
      <c r="AB90" s="151" t="n">
        <f aca="false">IF(ISNUMBER(B90),IF(L90&lt;AA90,J90*'13_Mapa_Liq'!$C$18,0),0)</f>
        <v>0</v>
      </c>
      <c r="AC90" s="151" t="str">
        <f aca="false">IF(ISNUMBER(B90),B90*(1-1/'13_Mapa_Liq'!$B$19+'13_Mapa_Liq'!$B$6),"")</f>
        <v/>
      </c>
      <c r="AD90" s="151" t="n">
        <f aca="false">IF(ISNUMBER(B90),IF(K90&gt;AC90,I90*'13_Mapa_Liq'!$C$19,0),0)</f>
        <v>0</v>
      </c>
      <c r="AE90" s="151" t="str">
        <f aca="false">IF(ISNUMBER(B90),B90*(1+1/'13_Mapa_Liq'!$B$19-'13_Mapa_Liq'!$B$6),"")</f>
        <v/>
      </c>
      <c r="AF90" s="151" t="n">
        <f aca="false">IF(ISNUMBER(B90),IF(L90&lt;AE90,J90*'13_Mapa_Liq'!$C$19,0),0)</f>
        <v>0</v>
      </c>
      <c r="AG90" s="151"/>
      <c r="AH90" s="151" t="n">
        <f aca="false">IF(ISNUMBER(B90),E90*F90*((K90&lt;=M90)*'13_Mapa_Liq'!$C$15+(K90&lt;=Q90)*'13_Mapa_Liq'!$C$16+(K90&lt;=U90)*'13_Mapa_Liq'!$C$17+(K90&lt;=Y90)*'13_Mapa_Liq'!$C$18+(K90&lt;=AC90)*'13_Mapa_Liq'!$C$19),0)</f>
        <v>0</v>
      </c>
      <c r="AI90" s="151" t="n">
        <f aca="false">IF(ISNUMBER(B90),E90*(1-F90)*((L90&gt;=O90)*'13_Mapa_Liq'!$C$15+(L90&gt;=S90)*'13_Mapa_Liq'!$C$16+(L90&gt;=W90)*'13_Mapa_Liq'!$C$17+(L90&gt;=AA90)*'13_Mapa_Liq'!$C$18+(L90&gt;=AE90)*'13_Mapa_Liq'!$C$19),0)</f>
        <v>0</v>
      </c>
    </row>
    <row r="91" customFormat="false" ht="15" hidden="false" customHeight="false" outlineLevel="0" collapsed="false">
      <c r="A91" s="151" t="str">
        <f aca="false">IF(ISNUMBER('12_Datos_5m'!F91),ROW()-4,"")</f>
        <v/>
      </c>
      <c r="B91" s="151" t="str">
        <f aca="false">IF(ISNUMBER('12_Datos_5m'!F91),'12_Datos_5m'!F91,"")</f>
        <v/>
      </c>
      <c r="C91" s="151" t="str">
        <f aca="false">IF(ISNUMBER('12_Datos_5m'!A91),'12_Datos_5m'!A91,"")</f>
        <v/>
      </c>
      <c r="D91" s="151" t="n">
        <f aca="false">IF(AND(ISNUMBER('12_Datos_5m'!I91),ISNUMBER('12_Datos_5m'!I90)),'12_Datos_5m'!I91-'12_Datos_5m'!I90,0)</f>
        <v>0</v>
      </c>
      <c r="E91" s="151" t="n">
        <f aca="false">MAX(0,D91)</f>
        <v>0</v>
      </c>
      <c r="F91" s="151" t="n">
        <f aca="false">IF(AND(ISNUMBER('12_Datos_5m'!G91),N('12_Datos_5m'!G91)&gt;0),'12_Datos_5m'!H91/'12_Datos_5m'!G91,0.5)</f>
        <v>0.5</v>
      </c>
      <c r="G91" s="151" t="n">
        <f aca="false">IF(ISNUMBER(C91),($C$2-C91)/3600000,0)</f>
        <v>0</v>
      </c>
      <c r="H91" s="151" t="n">
        <f aca="false">EXP(-G91/'13_Mapa_Liq'!$B$7)</f>
        <v>1</v>
      </c>
      <c r="I91" s="151" t="n">
        <f aca="false">E91*F91*H91</f>
        <v>0</v>
      </c>
      <c r="J91" s="151" t="n">
        <f aca="false">E91*(1-F91)*H91</f>
        <v>0</v>
      </c>
      <c r="K91" s="151" t="n">
        <f aca="false">IF(COUNT('12_Datos_5m'!E92:E$504)=0,1000000000000,MIN('12_Datos_5m'!E92:E$504))</f>
        <v>1000000000000</v>
      </c>
      <c r="L91" s="151" t="n">
        <f aca="false">IF(COUNT('12_Datos_5m'!D92:D$504)=0,0,MAX('12_Datos_5m'!D92:D$504))</f>
        <v>0</v>
      </c>
      <c r="M91" s="151" t="str">
        <f aca="false">IF(ISNUMBER(B91),B91*(1-1/'13_Mapa_Liq'!$B$15+'13_Mapa_Liq'!$B$6),"")</f>
        <v/>
      </c>
      <c r="N91" s="151" t="n">
        <f aca="false">IF(ISNUMBER(B91),IF(K91&gt;M91,I91*'13_Mapa_Liq'!$C$15,0),0)</f>
        <v>0</v>
      </c>
      <c r="O91" s="151" t="str">
        <f aca="false">IF(ISNUMBER(B91),B91*(1+1/'13_Mapa_Liq'!$B$15-'13_Mapa_Liq'!$B$6),"")</f>
        <v/>
      </c>
      <c r="P91" s="151" t="n">
        <f aca="false">IF(ISNUMBER(B91),IF(L91&lt;O91,J91*'13_Mapa_Liq'!$C$15,0),0)</f>
        <v>0</v>
      </c>
      <c r="Q91" s="151" t="str">
        <f aca="false">IF(ISNUMBER(B91),B91*(1-1/'13_Mapa_Liq'!$B$16+'13_Mapa_Liq'!$B$6),"")</f>
        <v/>
      </c>
      <c r="R91" s="151" t="n">
        <f aca="false">IF(ISNUMBER(B91),IF(K91&gt;Q91,I91*'13_Mapa_Liq'!$C$16,0),0)</f>
        <v>0</v>
      </c>
      <c r="S91" s="151" t="str">
        <f aca="false">IF(ISNUMBER(B91),B91*(1+1/'13_Mapa_Liq'!$B$16-'13_Mapa_Liq'!$B$6),"")</f>
        <v/>
      </c>
      <c r="T91" s="151" t="n">
        <f aca="false">IF(ISNUMBER(B91),IF(L91&lt;S91,J91*'13_Mapa_Liq'!$C$16,0),0)</f>
        <v>0</v>
      </c>
      <c r="U91" s="151" t="str">
        <f aca="false">IF(ISNUMBER(B91),B91*(1-1/'13_Mapa_Liq'!$B$17+'13_Mapa_Liq'!$B$6),"")</f>
        <v/>
      </c>
      <c r="V91" s="151" t="n">
        <f aca="false">IF(ISNUMBER(B91),IF(K91&gt;U91,I91*'13_Mapa_Liq'!$C$17,0),0)</f>
        <v>0</v>
      </c>
      <c r="W91" s="151" t="str">
        <f aca="false">IF(ISNUMBER(B91),B91*(1+1/'13_Mapa_Liq'!$B$17-'13_Mapa_Liq'!$B$6),"")</f>
        <v/>
      </c>
      <c r="X91" s="151" t="n">
        <f aca="false">IF(ISNUMBER(B91),IF(L91&lt;W91,J91*'13_Mapa_Liq'!$C$17,0),0)</f>
        <v>0</v>
      </c>
      <c r="Y91" s="151" t="str">
        <f aca="false">IF(ISNUMBER(B91),B91*(1-1/'13_Mapa_Liq'!$B$18+'13_Mapa_Liq'!$B$6),"")</f>
        <v/>
      </c>
      <c r="Z91" s="151" t="n">
        <f aca="false">IF(ISNUMBER(B91),IF(K91&gt;Y91,I91*'13_Mapa_Liq'!$C$18,0),0)</f>
        <v>0</v>
      </c>
      <c r="AA91" s="151" t="str">
        <f aca="false">IF(ISNUMBER(B91),B91*(1+1/'13_Mapa_Liq'!$B$18-'13_Mapa_Liq'!$B$6),"")</f>
        <v/>
      </c>
      <c r="AB91" s="151" t="n">
        <f aca="false">IF(ISNUMBER(B91),IF(L91&lt;AA91,J91*'13_Mapa_Liq'!$C$18,0),0)</f>
        <v>0</v>
      </c>
      <c r="AC91" s="151" t="str">
        <f aca="false">IF(ISNUMBER(B91),B91*(1-1/'13_Mapa_Liq'!$B$19+'13_Mapa_Liq'!$B$6),"")</f>
        <v/>
      </c>
      <c r="AD91" s="151" t="n">
        <f aca="false">IF(ISNUMBER(B91),IF(K91&gt;AC91,I91*'13_Mapa_Liq'!$C$19,0),0)</f>
        <v>0</v>
      </c>
      <c r="AE91" s="151" t="str">
        <f aca="false">IF(ISNUMBER(B91),B91*(1+1/'13_Mapa_Liq'!$B$19-'13_Mapa_Liq'!$B$6),"")</f>
        <v/>
      </c>
      <c r="AF91" s="151" t="n">
        <f aca="false">IF(ISNUMBER(B91),IF(L91&lt;AE91,J91*'13_Mapa_Liq'!$C$19,0),0)</f>
        <v>0</v>
      </c>
      <c r="AG91" s="151"/>
      <c r="AH91" s="151" t="n">
        <f aca="false">IF(ISNUMBER(B91),E91*F91*((K91&lt;=M91)*'13_Mapa_Liq'!$C$15+(K91&lt;=Q91)*'13_Mapa_Liq'!$C$16+(K91&lt;=U91)*'13_Mapa_Liq'!$C$17+(K91&lt;=Y91)*'13_Mapa_Liq'!$C$18+(K91&lt;=AC91)*'13_Mapa_Liq'!$C$19),0)</f>
        <v>0</v>
      </c>
      <c r="AI91" s="151" t="n">
        <f aca="false">IF(ISNUMBER(B91),E91*(1-F91)*((L91&gt;=O91)*'13_Mapa_Liq'!$C$15+(L91&gt;=S91)*'13_Mapa_Liq'!$C$16+(L91&gt;=W91)*'13_Mapa_Liq'!$C$17+(L91&gt;=AA91)*'13_Mapa_Liq'!$C$18+(L91&gt;=AE91)*'13_Mapa_Liq'!$C$19),0)</f>
        <v>0</v>
      </c>
    </row>
    <row r="92" customFormat="false" ht="15" hidden="false" customHeight="false" outlineLevel="0" collapsed="false">
      <c r="A92" s="151" t="str">
        <f aca="false">IF(ISNUMBER('12_Datos_5m'!F92),ROW()-4,"")</f>
        <v/>
      </c>
      <c r="B92" s="151" t="str">
        <f aca="false">IF(ISNUMBER('12_Datos_5m'!F92),'12_Datos_5m'!F92,"")</f>
        <v/>
      </c>
      <c r="C92" s="151" t="str">
        <f aca="false">IF(ISNUMBER('12_Datos_5m'!A92),'12_Datos_5m'!A92,"")</f>
        <v/>
      </c>
      <c r="D92" s="151" t="n">
        <f aca="false">IF(AND(ISNUMBER('12_Datos_5m'!I92),ISNUMBER('12_Datos_5m'!I91)),'12_Datos_5m'!I92-'12_Datos_5m'!I91,0)</f>
        <v>0</v>
      </c>
      <c r="E92" s="151" t="n">
        <f aca="false">MAX(0,D92)</f>
        <v>0</v>
      </c>
      <c r="F92" s="151" t="n">
        <f aca="false">IF(AND(ISNUMBER('12_Datos_5m'!G92),N('12_Datos_5m'!G92)&gt;0),'12_Datos_5m'!H92/'12_Datos_5m'!G92,0.5)</f>
        <v>0.5</v>
      </c>
      <c r="G92" s="151" t="n">
        <f aca="false">IF(ISNUMBER(C92),($C$2-C92)/3600000,0)</f>
        <v>0</v>
      </c>
      <c r="H92" s="151" t="n">
        <f aca="false">EXP(-G92/'13_Mapa_Liq'!$B$7)</f>
        <v>1</v>
      </c>
      <c r="I92" s="151" t="n">
        <f aca="false">E92*F92*H92</f>
        <v>0</v>
      </c>
      <c r="J92" s="151" t="n">
        <f aca="false">E92*(1-F92)*H92</f>
        <v>0</v>
      </c>
      <c r="K92" s="151" t="n">
        <f aca="false">IF(COUNT('12_Datos_5m'!E93:E$504)=0,1000000000000,MIN('12_Datos_5m'!E93:E$504))</f>
        <v>1000000000000</v>
      </c>
      <c r="L92" s="151" t="n">
        <f aca="false">IF(COUNT('12_Datos_5m'!D93:D$504)=0,0,MAX('12_Datos_5m'!D93:D$504))</f>
        <v>0</v>
      </c>
      <c r="M92" s="151" t="str">
        <f aca="false">IF(ISNUMBER(B92),B92*(1-1/'13_Mapa_Liq'!$B$15+'13_Mapa_Liq'!$B$6),"")</f>
        <v/>
      </c>
      <c r="N92" s="151" t="n">
        <f aca="false">IF(ISNUMBER(B92),IF(K92&gt;M92,I92*'13_Mapa_Liq'!$C$15,0),0)</f>
        <v>0</v>
      </c>
      <c r="O92" s="151" t="str">
        <f aca="false">IF(ISNUMBER(B92),B92*(1+1/'13_Mapa_Liq'!$B$15-'13_Mapa_Liq'!$B$6),"")</f>
        <v/>
      </c>
      <c r="P92" s="151" t="n">
        <f aca="false">IF(ISNUMBER(B92),IF(L92&lt;O92,J92*'13_Mapa_Liq'!$C$15,0),0)</f>
        <v>0</v>
      </c>
      <c r="Q92" s="151" t="str">
        <f aca="false">IF(ISNUMBER(B92),B92*(1-1/'13_Mapa_Liq'!$B$16+'13_Mapa_Liq'!$B$6),"")</f>
        <v/>
      </c>
      <c r="R92" s="151" t="n">
        <f aca="false">IF(ISNUMBER(B92),IF(K92&gt;Q92,I92*'13_Mapa_Liq'!$C$16,0),0)</f>
        <v>0</v>
      </c>
      <c r="S92" s="151" t="str">
        <f aca="false">IF(ISNUMBER(B92),B92*(1+1/'13_Mapa_Liq'!$B$16-'13_Mapa_Liq'!$B$6),"")</f>
        <v/>
      </c>
      <c r="T92" s="151" t="n">
        <f aca="false">IF(ISNUMBER(B92),IF(L92&lt;S92,J92*'13_Mapa_Liq'!$C$16,0),0)</f>
        <v>0</v>
      </c>
      <c r="U92" s="151" t="str">
        <f aca="false">IF(ISNUMBER(B92),B92*(1-1/'13_Mapa_Liq'!$B$17+'13_Mapa_Liq'!$B$6),"")</f>
        <v/>
      </c>
      <c r="V92" s="151" t="n">
        <f aca="false">IF(ISNUMBER(B92),IF(K92&gt;U92,I92*'13_Mapa_Liq'!$C$17,0),0)</f>
        <v>0</v>
      </c>
      <c r="W92" s="151" t="str">
        <f aca="false">IF(ISNUMBER(B92),B92*(1+1/'13_Mapa_Liq'!$B$17-'13_Mapa_Liq'!$B$6),"")</f>
        <v/>
      </c>
      <c r="X92" s="151" t="n">
        <f aca="false">IF(ISNUMBER(B92),IF(L92&lt;W92,J92*'13_Mapa_Liq'!$C$17,0),0)</f>
        <v>0</v>
      </c>
      <c r="Y92" s="151" t="str">
        <f aca="false">IF(ISNUMBER(B92),B92*(1-1/'13_Mapa_Liq'!$B$18+'13_Mapa_Liq'!$B$6),"")</f>
        <v/>
      </c>
      <c r="Z92" s="151" t="n">
        <f aca="false">IF(ISNUMBER(B92),IF(K92&gt;Y92,I92*'13_Mapa_Liq'!$C$18,0),0)</f>
        <v>0</v>
      </c>
      <c r="AA92" s="151" t="str">
        <f aca="false">IF(ISNUMBER(B92),B92*(1+1/'13_Mapa_Liq'!$B$18-'13_Mapa_Liq'!$B$6),"")</f>
        <v/>
      </c>
      <c r="AB92" s="151" t="n">
        <f aca="false">IF(ISNUMBER(B92),IF(L92&lt;AA92,J92*'13_Mapa_Liq'!$C$18,0),0)</f>
        <v>0</v>
      </c>
      <c r="AC92" s="151" t="str">
        <f aca="false">IF(ISNUMBER(B92),B92*(1-1/'13_Mapa_Liq'!$B$19+'13_Mapa_Liq'!$B$6),"")</f>
        <v/>
      </c>
      <c r="AD92" s="151" t="n">
        <f aca="false">IF(ISNUMBER(B92),IF(K92&gt;AC92,I92*'13_Mapa_Liq'!$C$19,0),0)</f>
        <v>0</v>
      </c>
      <c r="AE92" s="151" t="str">
        <f aca="false">IF(ISNUMBER(B92),B92*(1+1/'13_Mapa_Liq'!$B$19-'13_Mapa_Liq'!$B$6),"")</f>
        <v/>
      </c>
      <c r="AF92" s="151" t="n">
        <f aca="false">IF(ISNUMBER(B92),IF(L92&lt;AE92,J92*'13_Mapa_Liq'!$C$19,0),0)</f>
        <v>0</v>
      </c>
      <c r="AG92" s="151"/>
      <c r="AH92" s="151" t="n">
        <f aca="false">IF(ISNUMBER(B92),E92*F92*((K92&lt;=M92)*'13_Mapa_Liq'!$C$15+(K92&lt;=Q92)*'13_Mapa_Liq'!$C$16+(K92&lt;=U92)*'13_Mapa_Liq'!$C$17+(K92&lt;=Y92)*'13_Mapa_Liq'!$C$18+(K92&lt;=AC92)*'13_Mapa_Liq'!$C$19),0)</f>
        <v>0</v>
      </c>
      <c r="AI92" s="151" t="n">
        <f aca="false">IF(ISNUMBER(B92),E92*(1-F92)*((L92&gt;=O92)*'13_Mapa_Liq'!$C$15+(L92&gt;=S92)*'13_Mapa_Liq'!$C$16+(L92&gt;=W92)*'13_Mapa_Liq'!$C$17+(L92&gt;=AA92)*'13_Mapa_Liq'!$C$18+(L92&gt;=AE92)*'13_Mapa_Liq'!$C$19),0)</f>
        <v>0</v>
      </c>
    </row>
    <row r="93" customFormat="false" ht="15" hidden="false" customHeight="false" outlineLevel="0" collapsed="false">
      <c r="A93" s="151" t="str">
        <f aca="false">IF(ISNUMBER('12_Datos_5m'!F93),ROW()-4,"")</f>
        <v/>
      </c>
      <c r="B93" s="151" t="str">
        <f aca="false">IF(ISNUMBER('12_Datos_5m'!F93),'12_Datos_5m'!F93,"")</f>
        <v/>
      </c>
      <c r="C93" s="151" t="str">
        <f aca="false">IF(ISNUMBER('12_Datos_5m'!A93),'12_Datos_5m'!A93,"")</f>
        <v/>
      </c>
      <c r="D93" s="151" t="n">
        <f aca="false">IF(AND(ISNUMBER('12_Datos_5m'!I93),ISNUMBER('12_Datos_5m'!I92)),'12_Datos_5m'!I93-'12_Datos_5m'!I92,0)</f>
        <v>0</v>
      </c>
      <c r="E93" s="151" t="n">
        <f aca="false">MAX(0,D93)</f>
        <v>0</v>
      </c>
      <c r="F93" s="151" t="n">
        <f aca="false">IF(AND(ISNUMBER('12_Datos_5m'!G93),N('12_Datos_5m'!G93)&gt;0),'12_Datos_5m'!H93/'12_Datos_5m'!G93,0.5)</f>
        <v>0.5</v>
      </c>
      <c r="G93" s="151" t="n">
        <f aca="false">IF(ISNUMBER(C93),($C$2-C93)/3600000,0)</f>
        <v>0</v>
      </c>
      <c r="H93" s="151" t="n">
        <f aca="false">EXP(-G93/'13_Mapa_Liq'!$B$7)</f>
        <v>1</v>
      </c>
      <c r="I93" s="151" t="n">
        <f aca="false">E93*F93*H93</f>
        <v>0</v>
      </c>
      <c r="J93" s="151" t="n">
        <f aca="false">E93*(1-F93)*H93</f>
        <v>0</v>
      </c>
      <c r="K93" s="151" t="n">
        <f aca="false">IF(COUNT('12_Datos_5m'!E94:E$504)=0,1000000000000,MIN('12_Datos_5m'!E94:E$504))</f>
        <v>1000000000000</v>
      </c>
      <c r="L93" s="151" t="n">
        <f aca="false">IF(COUNT('12_Datos_5m'!D94:D$504)=0,0,MAX('12_Datos_5m'!D94:D$504))</f>
        <v>0</v>
      </c>
      <c r="M93" s="151" t="str">
        <f aca="false">IF(ISNUMBER(B93),B93*(1-1/'13_Mapa_Liq'!$B$15+'13_Mapa_Liq'!$B$6),"")</f>
        <v/>
      </c>
      <c r="N93" s="151" t="n">
        <f aca="false">IF(ISNUMBER(B93),IF(K93&gt;M93,I93*'13_Mapa_Liq'!$C$15,0),0)</f>
        <v>0</v>
      </c>
      <c r="O93" s="151" t="str">
        <f aca="false">IF(ISNUMBER(B93),B93*(1+1/'13_Mapa_Liq'!$B$15-'13_Mapa_Liq'!$B$6),"")</f>
        <v/>
      </c>
      <c r="P93" s="151" t="n">
        <f aca="false">IF(ISNUMBER(B93),IF(L93&lt;O93,J93*'13_Mapa_Liq'!$C$15,0),0)</f>
        <v>0</v>
      </c>
      <c r="Q93" s="151" t="str">
        <f aca="false">IF(ISNUMBER(B93),B93*(1-1/'13_Mapa_Liq'!$B$16+'13_Mapa_Liq'!$B$6),"")</f>
        <v/>
      </c>
      <c r="R93" s="151" t="n">
        <f aca="false">IF(ISNUMBER(B93),IF(K93&gt;Q93,I93*'13_Mapa_Liq'!$C$16,0),0)</f>
        <v>0</v>
      </c>
      <c r="S93" s="151" t="str">
        <f aca="false">IF(ISNUMBER(B93),B93*(1+1/'13_Mapa_Liq'!$B$16-'13_Mapa_Liq'!$B$6),"")</f>
        <v/>
      </c>
      <c r="T93" s="151" t="n">
        <f aca="false">IF(ISNUMBER(B93),IF(L93&lt;S93,J93*'13_Mapa_Liq'!$C$16,0),0)</f>
        <v>0</v>
      </c>
      <c r="U93" s="151" t="str">
        <f aca="false">IF(ISNUMBER(B93),B93*(1-1/'13_Mapa_Liq'!$B$17+'13_Mapa_Liq'!$B$6),"")</f>
        <v/>
      </c>
      <c r="V93" s="151" t="n">
        <f aca="false">IF(ISNUMBER(B93),IF(K93&gt;U93,I93*'13_Mapa_Liq'!$C$17,0),0)</f>
        <v>0</v>
      </c>
      <c r="W93" s="151" t="str">
        <f aca="false">IF(ISNUMBER(B93),B93*(1+1/'13_Mapa_Liq'!$B$17-'13_Mapa_Liq'!$B$6),"")</f>
        <v/>
      </c>
      <c r="X93" s="151" t="n">
        <f aca="false">IF(ISNUMBER(B93),IF(L93&lt;W93,J93*'13_Mapa_Liq'!$C$17,0),0)</f>
        <v>0</v>
      </c>
      <c r="Y93" s="151" t="str">
        <f aca="false">IF(ISNUMBER(B93),B93*(1-1/'13_Mapa_Liq'!$B$18+'13_Mapa_Liq'!$B$6),"")</f>
        <v/>
      </c>
      <c r="Z93" s="151" t="n">
        <f aca="false">IF(ISNUMBER(B93),IF(K93&gt;Y93,I93*'13_Mapa_Liq'!$C$18,0),0)</f>
        <v>0</v>
      </c>
      <c r="AA93" s="151" t="str">
        <f aca="false">IF(ISNUMBER(B93),B93*(1+1/'13_Mapa_Liq'!$B$18-'13_Mapa_Liq'!$B$6),"")</f>
        <v/>
      </c>
      <c r="AB93" s="151" t="n">
        <f aca="false">IF(ISNUMBER(B93),IF(L93&lt;AA93,J93*'13_Mapa_Liq'!$C$18,0),0)</f>
        <v>0</v>
      </c>
      <c r="AC93" s="151" t="str">
        <f aca="false">IF(ISNUMBER(B93),B93*(1-1/'13_Mapa_Liq'!$B$19+'13_Mapa_Liq'!$B$6),"")</f>
        <v/>
      </c>
      <c r="AD93" s="151" t="n">
        <f aca="false">IF(ISNUMBER(B93),IF(K93&gt;AC93,I93*'13_Mapa_Liq'!$C$19,0),0)</f>
        <v>0</v>
      </c>
      <c r="AE93" s="151" t="str">
        <f aca="false">IF(ISNUMBER(B93),B93*(1+1/'13_Mapa_Liq'!$B$19-'13_Mapa_Liq'!$B$6),"")</f>
        <v/>
      </c>
      <c r="AF93" s="151" t="n">
        <f aca="false">IF(ISNUMBER(B93),IF(L93&lt;AE93,J93*'13_Mapa_Liq'!$C$19,0),0)</f>
        <v>0</v>
      </c>
      <c r="AG93" s="151"/>
      <c r="AH93" s="151" t="n">
        <f aca="false">IF(ISNUMBER(B93),E93*F93*((K93&lt;=M93)*'13_Mapa_Liq'!$C$15+(K93&lt;=Q93)*'13_Mapa_Liq'!$C$16+(K93&lt;=U93)*'13_Mapa_Liq'!$C$17+(K93&lt;=Y93)*'13_Mapa_Liq'!$C$18+(K93&lt;=AC93)*'13_Mapa_Liq'!$C$19),0)</f>
        <v>0</v>
      </c>
      <c r="AI93" s="151" t="n">
        <f aca="false">IF(ISNUMBER(B93),E93*(1-F93)*((L93&gt;=O93)*'13_Mapa_Liq'!$C$15+(L93&gt;=S93)*'13_Mapa_Liq'!$C$16+(L93&gt;=W93)*'13_Mapa_Liq'!$C$17+(L93&gt;=AA93)*'13_Mapa_Liq'!$C$18+(L93&gt;=AE93)*'13_Mapa_Liq'!$C$19),0)</f>
        <v>0</v>
      </c>
    </row>
    <row r="94" customFormat="false" ht="15" hidden="false" customHeight="false" outlineLevel="0" collapsed="false">
      <c r="A94" s="151" t="str">
        <f aca="false">IF(ISNUMBER('12_Datos_5m'!F94),ROW()-4,"")</f>
        <v/>
      </c>
      <c r="B94" s="151" t="str">
        <f aca="false">IF(ISNUMBER('12_Datos_5m'!F94),'12_Datos_5m'!F94,"")</f>
        <v/>
      </c>
      <c r="C94" s="151" t="str">
        <f aca="false">IF(ISNUMBER('12_Datos_5m'!A94),'12_Datos_5m'!A94,"")</f>
        <v/>
      </c>
      <c r="D94" s="151" t="n">
        <f aca="false">IF(AND(ISNUMBER('12_Datos_5m'!I94),ISNUMBER('12_Datos_5m'!I93)),'12_Datos_5m'!I94-'12_Datos_5m'!I93,0)</f>
        <v>0</v>
      </c>
      <c r="E94" s="151" t="n">
        <f aca="false">MAX(0,D94)</f>
        <v>0</v>
      </c>
      <c r="F94" s="151" t="n">
        <f aca="false">IF(AND(ISNUMBER('12_Datos_5m'!G94),N('12_Datos_5m'!G94)&gt;0),'12_Datos_5m'!H94/'12_Datos_5m'!G94,0.5)</f>
        <v>0.5</v>
      </c>
      <c r="G94" s="151" t="n">
        <f aca="false">IF(ISNUMBER(C94),($C$2-C94)/3600000,0)</f>
        <v>0</v>
      </c>
      <c r="H94" s="151" t="n">
        <f aca="false">EXP(-G94/'13_Mapa_Liq'!$B$7)</f>
        <v>1</v>
      </c>
      <c r="I94" s="151" t="n">
        <f aca="false">E94*F94*H94</f>
        <v>0</v>
      </c>
      <c r="J94" s="151" t="n">
        <f aca="false">E94*(1-F94)*H94</f>
        <v>0</v>
      </c>
      <c r="K94" s="151" t="n">
        <f aca="false">IF(COUNT('12_Datos_5m'!E95:E$504)=0,1000000000000,MIN('12_Datos_5m'!E95:E$504))</f>
        <v>1000000000000</v>
      </c>
      <c r="L94" s="151" t="n">
        <f aca="false">IF(COUNT('12_Datos_5m'!D95:D$504)=0,0,MAX('12_Datos_5m'!D95:D$504))</f>
        <v>0</v>
      </c>
      <c r="M94" s="151" t="str">
        <f aca="false">IF(ISNUMBER(B94),B94*(1-1/'13_Mapa_Liq'!$B$15+'13_Mapa_Liq'!$B$6),"")</f>
        <v/>
      </c>
      <c r="N94" s="151" t="n">
        <f aca="false">IF(ISNUMBER(B94),IF(K94&gt;M94,I94*'13_Mapa_Liq'!$C$15,0),0)</f>
        <v>0</v>
      </c>
      <c r="O94" s="151" t="str">
        <f aca="false">IF(ISNUMBER(B94),B94*(1+1/'13_Mapa_Liq'!$B$15-'13_Mapa_Liq'!$B$6),"")</f>
        <v/>
      </c>
      <c r="P94" s="151" t="n">
        <f aca="false">IF(ISNUMBER(B94),IF(L94&lt;O94,J94*'13_Mapa_Liq'!$C$15,0),0)</f>
        <v>0</v>
      </c>
      <c r="Q94" s="151" t="str">
        <f aca="false">IF(ISNUMBER(B94),B94*(1-1/'13_Mapa_Liq'!$B$16+'13_Mapa_Liq'!$B$6),"")</f>
        <v/>
      </c>
      <c r="R94" s="151" t="n">
        <f aca="false">IF(ISNUMBER(B94),IF(K94&gt;Q94,I94*'13_Mapa_Liq'!$C$16,0),0)</f>
        <v>0</v>
      </c>
      <c r="S94" s="151" t="str">
        <f aca="false">IF(ISNUMBER(B94),B94*(1+1/'13_Mapa_Liq'!$B$16-'13_Mapa_Liq'!$B$6),"")</f>
        <v/>
      </c>
      <c r="T94" s="151" t="n">
        <f aca="false">IF(ISNUMBER(B94),IF(L94&lt;S94,J94*'13_Mapa_Liq'!$C$16,0),0)</f>
        <v>0</v>
      </c>
      <c r="U94" s="151" t="str">
        <f aca="false">IF(ISNUMBER(B94),B94*(1-1/'13_Mapa_Liq'!$B$17+'13_Mapa_Liq'!$B$6),"")</f>
        <v/>
      </c>
      <c r="V94" s="151" t="n">
        <f aca="false">IF(ISNUMBER(B94),IF(K94&gt;U94,I94*'13_Mapa_Liq'!$C$17,0),0)</f>
        <v>0</v>
      </c>
      <c r="W94" s="151" t="str">
        <f aca="false">IF(ISNUMBER(B94),B94*(1+1/'13_Mapa_Liq'!$B$17-'13_Mapa_Liq'!$B$6),"")</f>
        <v/>
      </c>
      <c r="X94" s="151" t="n">
        <f aca="false">IF(ISNUMBER(B94),IF(L94&lt;W94,J94*'13_Mapa_Liq'!$C$17,0),0)</f>
        <v>0</v>
      </c>
      <c r="Y94" s="151" t="str">
        <f aca="false">IF(ISNUMBER(B94),B94*(1-1/'13_Mapa_Liq'!$B$18+'13_Mapa_Liq'!$B$6),"")</f>
        <v/>
      </c>
      <c r="Z94" s="151" t="n">
        <f aca="false">IF(ISNUMBER(B94),IF(K94&gt;Y94,I94*'13_Mapa_Liq'!$C$18,0),0)</f>
        <v>0</v>
      </c>
      <c r="AA94" s="151" t="str">
        <f aca="false">IF(ISNUMBER(B94),B94*(1+1/'13_Mapa_Liq'!$B$18-'13_Mapa_Liq'!$B$6),"")</f>
        <v/>
      </c>
      <c r="AB94" s="151" t="n">
        <f aca="false">IF(ISNUMBER(B94),IF(L94&lt;AA94,J94*'13_Mapa_Liq'!$C$18,0),0)</f>
        <v>0</v>
      </c>
      <c r="AC94" s="151" t="str">
        <f aca="false">IF(ISNUMBER(B94),B94*(1-1/'13_Mapa_Liq'!$B$19+'13_Mapa_Liq'!$B$6),"")</f>
        <v/>
      </c>
      <c r="AD94" s="151" t="n">
        <f aca="false">IF(ISNUMBER(B94),IF(K94&gt;AC94,I94*'13_Mapa_Liq'!$C$19,0),0)</f>
        <v>0</v>
      </c>
      <c r="AE94" s="151" t="str">
        <f aca="false">IF(ISNUMBER(B94),B94*(1+1/'13_Mapa_Liq'!$B$19-'13_Mapa_Liq'!$B$6),"")</f>
        <v/>
      </c>
      <c r="AF94" s="151" t="n">
        <f aca="false">IF(ISNUMBER(B94),IF(L94&lt;AE94,J94*'13_Mapa_Liq'!$C$19,0),0)</f>
        <v>0</v>
      </c>
      <c r="AG94" s="151"/>
      <c r="AH94" s="151" t="n">
        <f aca="false">IF(ISNUMBER(B94),E94*F94*((K94&lt;=M94)*'13_Mapa_Liq'!$C$15+(K94&lt;=Q94)*'13_Mapa_Liq'!$C$16+(K94&lt;=U94)*'13_Mapa_Liq'!$C$17+(K94&lt;=Y94)*'13_Mapa_Liq'!$C$18+(K94&lt;=AC94)*'13_Mapa_Liq'!$C$19),0)</f>
        <v>0</v>
      </c>
      <c r="AI94" s="151" t="n">
        <f aca="false">IF(ISNUMBER(B94),E94*(1-F94)*((L94&gt;=O94)*'13_Mapa_Liq'!$C$15+(L94&gt;=S94)*'13_Mapa_Liq'!$C$16+(L94&gt;=W94)*'13_Mapa_Liq'!$C$17+(L94&gt;=AA94)*'13_Mapa_Liq'!$C$18+(L94&gt;=AE94)*'13_Mapa_Liq'!$C$19),0)</f>
        <v>0</v>
      </c>
    </row>
    <row r="95" customFormat="false" ht="15" hidden="false" customHeight="false" outlineLevel="0" collapsed="false">
      <c r="A95" s="151" t="str">
        <f aca="false">IF(ISNUMBER('12_Datos_5m'!F95),ROW()-4,"")</f>
        <v/>
      </c>
      <c r="B95" s="151" t="str">
        <f aca="false">IF(ISNUMBER('12_Datos_5m'!F95),'12_Datos_5m'!F95,"")</f>
        <v/>
      </c>
      <c r="C95" s="151" t="str">
        <f aca="false">IF(ISNUMBER('12_Datos_5m'!A95),'12_Datos_5m'!A95,"")</f>
        <v/>
      </c>
      <c r="D95" s="151" t="n">
        <f aca="false">IF(AND(ISNUMBER('12_Datos_5m'!I95),ISNUMBER('12_Datos_5m'!I94)),'12_Datos_5m'!I95-'12_Datos_5m'!I94,0)</f>
        <v>0</v>
      </c>
      <c r="E95" s="151" t="n">
        <f aca="false">MAX(0,D95)</f>
        <v>0</v>
      </c>
      <c r="F95" s="151" t="n">
        <f aca="false">IF(AND(ISNUMBER('12_Datos_5m'!G95),N('12_Datos_5m'!G95)&gt;0),'12_Datos_5m'!H95/'12_Datos_5m'!G95,0.5)</f>
        <v>0.5</v>
      </c>
      <c r="G95" s="151" t="n">
        <f aca="false">IF(ISNUMBER(C95),($C$2-C95)/3600000,0)</f>
        <v>0</v>
      </c>
      <c r="H95" s="151" t="n">
        <f aca="false">EXP(-G95/'13_Mapa_Liq'!$B$7)</f>
        <v>1</v>
      </c>
      <c r="I95" s="151" t="n">
        <f aca="false">E95*F95*H95</f>
        <v>0</v>
      </c>
      <c r="J95" s="151" t="n">
        <f aca="false">E95*(1-F95)*H95</f>
        <v>0</v>
      </c>
      <c r="K95" s="151" t="n">
        <f aca="false">IF(COUNT('12_Datos_5m'!E96:E$504)=0,1000000000000,MIN('12_Datos_5m'!E96:E$504))</f>
        <v>1000000000000</v>
      </c>
      <c r="L95" s="151" t="n">
        <f aca="false">IF(COUNT('12_Datos_5m'!D96:D$504)=0,0,MAX('12_Datos_5m'!D96:D$504))</f>
        <v>0</v>
      </c>
      <c r="M95" s="151" t="str">
        <f aca="false">IF(ISNUMBER(B95),B95*(1-1/'13_Mapa_Liq'!$B$15+'13_Mapa_Liq'!$B$6),"")</f>
        <v/>
      </c>
      <c r="N95" s="151" t="n">
        <f aca="false">IF(ISNUMBER(B95),IF(K95&gt;M95,I95*'13_Mapa_Liq'!$C$15,0),0)</f>
        <v>0</v>
      </c>
      <c r="O95" s="151" t="str">
        <f aca="false">IF(ISNUMBER(B95),B95*(1+1/'13_Mapa_Liq'!$B$15-'13_Mapa_Liq'!$B$6),"")</f>
        <v/>
      </c>
      <c r="P95" s="151" t="n">
        <f aca="false">IF(ISNUMBER(B95),IF(L95&lt;O95,J95*'13_Mapa_Liq'!$C$15,0),0)</f>
        <v>0</v>
      </c>
      <c r="Q95" s="151" t="str">
        <f aca="false">IF(ISNUMBER(B95),B95*(1-1/'13_Mapa_Liq'!$B$16+'13_Mapa_Liq'!$B$6),"")</f>
        <v/>
      </c>
      <c r="R95" s="151" t="n">
        <f aca="false">IF(ISNUMBER(B95),IF(K95&gt;Q95,I95*'13_Mapa_Liq'!$C$16,0),0)</f>
        <v>0</v>
      </c>
      <c r="S95" s="151" t="str">
        <f aca="false">IF(ISNUMBER(B95),B95*(1+1/'13_Mapa_Liq'!$B$16-'13_Mapa_Liq'!$B$6),"")</f>
        <v/>
      </c>
      <c r="T95" s="151" t="n">
        <f aca="false">IF(ISNUMBER(B95),IF(L95&lt;S95,J95*'13_Mapa_Liq'!$C$16,0),0)</f>
        <v>0</v>
      </c>
      <c r="U95" s="151" t="str">
        <f aca="false">IF(ISNUMBER(B95),B95*(1-1/'13_Mapa_Liq'!$B$17+'13_Mapa_Liq'!$B$6),"")</f>
        <v/>
      </c>
      <c r="V95" s="151" t="n">
        <f aca="false">IF(ISNUMBER(B95),IF(K95&gt;U95,I95*'13_Mapa_Liq'!$C$17,0),0)</f>
        <v>0</v>
      </c>
      <c r="W95" s="151" t="str">
        <f aca="false">IF(ISNUMBER(B95),B95*(1+1/'13_Mapa_Liq'!$B$17-'13_Mapa_Liq'!$B$6),"")</f>
        <v/>
      </c>
      <c r="X95" s="151" t="n">
        <f aca="false">IF(ISNUMBER(B95),IF(L95&lt;W95,J95*'13_Mapa_Liq'!$C$17,0),0)</f>
        <v>0</v>
      </c>
      <c r="Y95" s="151" t="str">
        <f aca="false">IF(ISNUMBER(B95),B95*(1-1/'13_Mapa_Liq'!$B$18+'13_Mapa_Liq'!$B$6),"")</f>
        <v/>
      </c>
      <c r="Z95" s="151" t="n">
        <f aca="false">IF(ISNUMBER(B95),IF(K95&gt;Y95,I95*'13_Mapa_Liq'!$C$18,0),0)</f>
        <v>0</v>
      </c>
      <c r="AA95" s="151" t="str">
        <f aca="false">IF(ISNUMBER(B95),B95*(1+1/'13_Mapa_Liq'!$B$18-'13_Mapa_Liq'!$B$6),"")</f>
        <v/>
      </c>
      <c r="AB95" s="151" t="n">
        <f aca="false">IF(ISNUMBER(B95),IF(L95&lt;AA95,J95*'13_Mapa_Liq'!$C$18,0),0)</f>
        <v>0</v>
      </c>
      <c r="AC95" s="151" t="str">
        <f aca="false">IF(ISNUMBER(B95),B95*(1-1/'13_Mapa_Liq'!$B$19+'13_Mapa_Liq'!$B$6),"")</f>
        <v/>
      </c>
      <c r="AD95" s="151" t="n">
        <f aca="false">IF(ISNUMBER(B95),IF(K95&gt;AC95,I95*'13_Mapa_Liq'!$C$19,0),0)</f>
        <v>0</v>
      </c>
      <c r="AE95" s="151" t="str">
        <f aca="false">IF(ISNUMBER(B95),B95*(1+1/'13_Mapa_Liq'!$B$19-'13_Mapa_Liq'!$B$6),"")</f>
        <v/>
      </c>
      <c r="AF95" s="151" t="n">
        <f aca="false">IF(ISNUMBER(B95),IF(L95&lt;AE95,J95*'13_Mapa_Liq'!$C$19,0),0)</f>
        <v>0</v>
      </c>
      <c r="AG95" s="151"/>
      <c r="AH95" s="151" t="n">
        <f aca="false">IF(ISNUMBER(B95),E95*F95*((K95&lt;=M95)*'13_Mapa_Liq'!$C$15+(K95&lt;=Q95)*'13_Mapa_Liq'!$C$16+(K95&lt;=U95)*'13_Mapa_Liq'!$C$17+(K95&lt;=Y95)*'13_Mapa_Liq'!$C$18+(K95&lt;=AC95)*'13_Mapa_Liq'!$C$19),0)</f>
        <v>0</v>
      </c>
      <c r="AI95" s="151" t="n">
        <f aca="false">IF(ISNUMBER(B95),E95*(1-F95)*((L95&gt;=O95)*'13_Mapa_Liq'!$C$15+(L95&gt;=S95)*'13_Mapa_Liq'!$C$16+(L95&gt;=W95)*'13_Mapa_Liq'!$C$17+(L95&gt;=AA95)*'13_Mapa_Liq'!$C$18+(L95&gt;=AE95)*'13_Mapa_Liq'!$C$19),0)</f>
        <v>0</v>
      </c>
    </row>
    <row r="96" customFormat="false" ht="15" hidden="false" customHeight="false" outlineLevel="0" collapsed="false">
      <c r="A96" s="151" t="str">
        <f aca="false">IF(ISNUMBER('12_Datos_5m'!F96),ROW()-4,"")</f>
        <v/>
      </c>
      <c r="B96" s="151" t="str">
        <f aca="false">IF(ISNUMBER('12_Datos_5m'!F96),'12_Datos_5m'!F96,"")</f>
        <v/>
      </c>
      <c r="C96" s="151" t="str">
        <f aca="false">IF(ISNUMBER('12_Datos_5m'!A96),'12_Datos_5m'!A96,"")</f>
        <v/>
      </c>
      <c r="D96" s="151" t="n">
        <f aca="false">IF(AND(ISNUMBER('12_Datos_5m'!I96),ISNUMBER('12_Datos_5m'!I95)),'12_Datos_5m'!I96-'12_Datos_5m'!I95,0)</f>
        <v>0</v>
      </c>
      <c r="E96" s="151" t="n">
        <f aca="false">MAX(0,D96)</f>
        <v>0</v>
      </c>
      <c r="F96" s="151" t="n">
        <f aca="false">IF(AND(ISNUMBER('12_Datos_5m'!G96),N('12_Datos_5m'!G96)&gt;0),'12_Datos_5m'!H96/'12_Datos_5m'!G96,0.5)</f>
        <v>0.5</v>
      </c>
      <c r="G96" s="151" t="n">
        <f aca="false">IF(ISNUMBER(C96),($C$2-C96)/3600000,0)</f>
        <v>0</v>
      </c>
      <c r="H96" s="151" t="n">
        <f aca="false">EXP(-G96/'13_Mapa_Liq'!$B$7)</f>
        <v>1</v>
      </c>
      <c r="I96" s="151" t="n">
        <f aca="false">E96*F96*H96</f>
        <v>0</v>
      </c>
      <c r="J96" s="151" t="n">
        <f aca="false">E96*(1-F96)*H96</f>
        <v>0</v>
      </c>
      <c r="K96" s="151" t="n">
        <f aca="false">IF(COUNT('12_Datos_5m'!E97:E$504)=0,1000000000000,MIN('12_Datos_5m'!E97:E$504))</f>
        <v>1000000000000</v>
      </c>
      <c r="L96" s="151" t="n">
        <f aca="false">IF(COUNT('12_Datos_5m'!D97:D$504)=0,0,MAX('12_Datos_5m'!D97:D$504))</f>
        <v>0</v>
      </c>
      <c r="M96" s="151" t="str">
        <f aca="false">IF(ISNUMBER(B96),B96*(1-1/'13_Mapa_Liq'!$B$15+'13_Mapa_Liq'!$B$6),"")</f>
        <v/>
      </c>
      <c r="N96" s="151" t="n">
        <f aca="false">IF(ISNUMBER(B96),IF(K96&gt;M96,I96*'13_Mapa_Liq'!$C$15,0),0)</f>
        <v>0</v>
      </c>
      <c r="O96" s="151" t="str">
        <f aca="false">IF(ISNUMBER(B96),B96*(1+1/'13_Mapa_Liq'!$B$15-'13_Mapa_Liq'!$B$6),"")</f>
        <v/>
      </c>
      <c r="P96" s="151" t="n">
        <f aca="false">IF(ISNUMBER(B96),IF(L96&lt;O96,J96*'13_Mapa_Liq'!$C$15,0),0)</f>
        <v>0</v>
      </c>
      <c r="Q96" s="151" t="str">
        <f aca="false">IF(ISNUMBER(B96),B96*(1-1/'13_Mapa_Liq'!$B$16+'13_Mapa_Liq'!$B$6),"")</f>
        <v/>
      </c>
      <c r="R96" s="151" t="n">
        <f aca="false">IF(ISNUMBER(B96),IF(K96&gt;Q96,I96*'13_Mapa_Liq'!$C$16,0),0)</f>
        <v>0</v>
      </c>
      <c r="S96" s="151" t="str">
        <f aca="false">IF(ISNUMBER(B96),B96*(1+1/'13_Mapa_Liq'!$B$16-'13_Mapa_Liq'!$B$6),"")</f>
        <v/>
      </c>
      <c r="T96" s="151" t="n">
        <f aca="false">IF(ISNUMBER(B96),IF(L96&lt;S96,J96*'13_Mapa_Liq'!$C$16,0),0)</f>
        <v>0</v>
      </c>
      <c r="U96" s="151" t="str">
        <f aca="false">IF(ISNUMBER(B96),B96*(1-1/'13_Mapa_Liq'!$B$17+'13_Mapa_Liq'!$B$6),"")</f>
        <v/>
      </c>
      <c r="V96" s="151" t="n">
        <f aca="false">IF(ISNUMBER(B96),IF(K96&gt;U96,I96*'13_Mapa_Liq'!$C$17,0),0)</f>
        <v>0</v>
      </c>
      <c r="W96" s="151" t="str">
        <f aca="false">IF(ISNUMBER(B96),B96*(1+1/'13_Mapa_Liq'!$B$17-'13_Mapa_Liq'!$B$6),"")</f>
        <v/>
      </c>
      <c r="X96" s="151" t="n">
        <f aca="false">IF(ISNUMBER(B96),IF(L96&lt;W96,J96*'13_Mapa_Liq'!$C$17,0),0)</f>
        <v>0</v>
      </c>
      <c r="Y96" s="151" t="str">
        <f aca="false">IF(ISNUMBER(B96),B96*(1-1/'13_Mapa_Liq'!$B$18+'13_Mapa_Liq'!$B$6),"")</f>
        <v/>
      </c>
      <c r="Z96" s="151" t="n">
        <f aca="false">IF(ISNUMBER(B96),IF(K96&gt;Y96,I96*'13_Mapa_Liq'!$C$18,0),0)</f>
        <v>0</v>
      </c>
      <c r="AA96" s="151" t="str">
        <f aca="false">IF(ISNUMBER(B96),B96*(1+1/'13_Mapa_Liq'!$B$18-'13_Mapa_Liq'!$B$6),"")</f>
        <v/>
      </c>
      <c r="AB96" s="151" t="n">
        <f aca="false">IF(ISNUMBER(B96),IF(L96&lt;AA96,J96*'13_Mapa_Liq'!$C$18,0),0)</f>
        <v>0</v>
      </c>
      <c r="AC96" s="151" t="str">
        <f aca="false">IF(ISNUMBER(B96),B96*(1-1/'13_Mapa_Liq'!$B$19+'13_Mapa_Liq'!$B$6),"")</f>
        <v/>
      </c>
      <c r="AD96" s="151" t="n">
        <f aca="false">IF(ISNUMBER(B96),IF(K96&gt;AC96,I96*'13_Mapa_Liq'!$C$19,0),0)</f>
        <v>0</v>
      </c>
      <c r="AE96" s="151" t="str">
        <f aca="false">IF(ISNUMBER(B96),B96*(1+1/'13_Mapa_Liq'!$B$19-'13_Mapa_Liq'!$B$6),"")</f>
        <v/>
      </c>
      <c r="AF96" s="151" t="n">
        <f aca="false">IF(ISNUMBER(B96),IF(L96&lt;AE96,J96*'13_Mapa_Liq'!$C$19,0),0)</f>
        <v>0</v>
      </c>
      <c r="AG96" s="151"/>
      <c r="AH96" s="151" t="n">
        <f aca="false">IF(ISNUMBER(B96),E96*F96*((K96&lt;=M96)*'13_Mapa_Liq'!$C$15+(K96&lt;=Q96)*'13_Mapa_Liq'!$C$16+(K96&lt;=U96)*'13_Mapa_Liq'!$C$17+(K96&lt;=Y96)*'13_Mapa_Liq'!$C$18+(K96&lt;=AC96)*'13_Mapa_Liq'!$C$19),0)</f>
        <v>0</v>
      </c>
      <c r="AI96" s="151" t="n">
        <f aca="false">IF(ISNUMBER(B96),E96*(1-F96)*((L96&gt;=O96)*'13_Mapa_Liq'!$C$15+(L96&gt;=S96)*'13_Mapa_Liq'!$C$16+(L96&gt;=W96)*'13_Mapa_Liq'!$C$17+(L96&gt;=AA96)*'13_Mapa_Liq'!$C$18+(L96&gt;=AE96)*'13_Mapa_Liq'!$C$19),0)</f>
        <v>0</v>
      </c>
    </row>
    <row r="97" customFormat="false" ht="15" hidden="false" customHeight="false" outlineLevel="0" collapsed="false">
      <c r="A97" s="151" t="str">
        <f aca="false">IF(ISNUMBER('12_Datos_5m'!F97),ROW()-4,"")</f>
        <v/>
      </c>
      <c r="B97" s="151" t="str">
        <f aca="false">IF(ISNUMBER('12_Datos_5m'!F97),'12_Datos_5m'!F97,"")</f>
        <v/>
      </c>
      <c r="C97" s="151" t="str">
        <f aca="false">IF(ISNUMBER('12_Datos_5m'!A97),'12_Datos_5m'!A97,"")</f>
        <v/>
      </c>
      <c r="D97" s="151" t="n">
        <f aca="false">IF(AND(ISNUMBER('12_Datos_5m'!I97),ISNUMBER('12_Datos_5m'!I96)),'12_Datos_5m'!I97-'12_Datos_5m'!I96,0)</f>
        <v>0</v>
      </c>
      <c r="E97" s="151" t="n">
        <f aca="false">MAX(0,D97)</f>
        <v>0</v>
      </c>
      <c r="F97" s="151" t="n">
        <f aca="false">IF(AND(ISNUMBER('12_Datos_5m'!G97),N('12_Datos_5m'!G97)&gt;0),'12_Datos_5m'!H97/'12_Datos_5m'!G97,0.5)</f>
        <v>0.5</v>
      </c>
      <c r="G97" s="151" t="n">
        <f aca="false">IF(ISNUMBER(C97),($C$2-C97)/3600000,0)</f>
        <v>0</v>
      </c>
      <c r="H97" s="151" t="n">
        <f aca="false">EXP(-G97/'13_Mapa_Liq'!$B$7)</f>
        <v>1</v>
      </c>
      <c r="I97" s="151" t="n">
        <f aca="false">E97*F97*H97</f>
        <v>0</v>
      </c>
      <c r="J97" s="151" t="n">
        <f aca="false">E97*(1-F97)*H97</f>
        <v>0</v>
      </c>
      <c r="K97" s="151" t="n">
        <f aca="false">IF(COUNT('12_Datos_5m'!E98:E$504)=0,1000000000000,MIN('12_Datos_5m'!E98:E$504))</f>
        <v>1000000000000</v>
      </c>
      <c r="L97" s="151" t="n">
        <f aca="false">IF(COUNT('12_Datos_5m'!D98:D$504)=0,0,MAX('12_Datos_5m'!D98:D$504))</f>
        <v>0</v>
      </c>
      <c r="M97" s="151" t="str">
        <f aca="false">IF(ISNUMBER(B97),B97*(1-1/'13_Mapa_Liq'!$B$15+'13_Mapa_Liq'!$B$6),"")</f>
        <v/>
      </c>
      <c r="N97" s="151" t="n">
        <f aca="false">IF(ISNUMBER(B97),IF(K97&gt;M97,I97*'13_Mapa_Liq'!$C$15,0),0)</f>
        <v>0</v>
      </c>
      <c r="O97" s="151" t="str">
        <f aca="false">IF(ISNUMBER(B97),B97*(1+1/'13_Mapa_Liq'!$B$15-'13_Mapa_Liq'!$B$6),"")</f>
        <v/>
      </c>
      <c r="P97" s="151" t="n">
        <f aca="false">IF(ISNUMBER(B97),IF(L97&lt;O97,J97*'13_Mapa_Liq'!$C$15,0),0)</f>
        <v>0</v>
      </c>
      <c r="Q97" s="151" t="str">
        <f aca="false">IF(ISNUMBER(B97),B97*(1-1/'13_Mapa_Liq'!$B$16+'13_Mapa_Liq'!$B$6),"")</f>
        <v/>
      </c>
      <c r="R97" s="151" t="n">
        <f aca="false">IF(ISNUMBER(B97),IF(K97&gt;Q97,I97*'13_Mapa_Liq'!$C$16,0),0)</f>
        <v>0</v>
      </c>
      <c r="S97" s="151" t="str">
        <f aca="false">IF(ISNUMBER(B97),B97*(1+1/'13_Mapa_Liq'!$B$16-'13_Mapa_Liq'!$B$6),"")</f>
        <v/>
      </c>
      <c r="T97" s="151" t="n">
        <f aca="false">IF(ISNUMBER(B97),IF(L97&lt;S97,J97*'13_Mapa_Liq'!$C$16,0),0)</f>
        <v>0</v>
      </c>
      <c r="U97" s="151" t="str">
        <f aca="false">IF(ISNUMBER(B97),B97*(1-1/'13_Mapa_Liq'!$B$17+'13_Mapa_Liq'!$B$6),"")</f>
        <v/>
      </c>
      <c r="V97" s="151" t="n">
        <f aca="false">IF(ISNUMBER(B97),IF(K97&gt;U97,I97*'13_Mapa_Liq'!$C$17,0),0)</f>
        <v>0</v>
      </c>
      <c r="W97" s="151" t="str">
        <f aca="false">IF(ISNUMBER(B97),B97*(1+1/'13_Mapa_Liq'!$B$17-'13_Mapa_Liq'!$B$6),"")</f>
        <v/>
      </c>
      <c r="X97" s="151" t="n">
        <f aca="false">IF(ISNUMBER(B97),IF(L97&lt;W97,J97*'13_Mapa_Liq'!$C$17,0),0)</f>
        <v>0</v>
      </c>
      <c r="Y97" s="151" t="str">
        <f aca="false">IF(ISNUMBER(B97),B97*(1-1/'13_Mapa_Liq'!$B$18+'13_Mapa_Liq'!$B$6),"")</f>
        <v/>
      </c>
      <c r="Z97" s="151" t="n">
        <f aca="false">IF(ISNUMBER(B97),IF(K97&gt;Y97,I97*'13_Mapa_Liq'!$C$18,0),0)</f>
        <v>0</v>
      </c>
      <c r="AA97" s="151" t="str">
        <f aca="false">IF(ISNUMBER(B97),B97*(1+1/'13_Mapa_Liq'!$B$18-'13_Mapa_Liq'!$B$6),"")</f>
        <v/>
      </c>
      <c r="AB97" s="151" t="n">
        <f aca="false">IF(ISNUMBER(B97),IF(L97&lt;AA97,J97*'13_Mapa_Liq'!$C$18,0),0)</f>
        <v>0</v>
      </c>
      <c r="AC97" s="151" t="str">
        <f aca="false">IF(ISNUMBER(B97),B97*(1-1/'13_Mapa_Liq'!$B$19+'13_Mapa_Liq'!$B$6),"")</f>
        <v/>
      </c>
      <c r="AD97" s="151" t="n">
        <f aca="false">IF(ISNUMBER(B97),IF(K97&gt;AC97,I97*'13_Mapa_Liq'!$C$19,0),0)</f>
        <v>0</v>
      </c>
      <c r="AE97" s="151" t="str">
        <f aca="false">IF(ISNUMBER(B97),B97*(1+1/'13_Mapa_Liq'!$B$19-'13_Mapa_Liq'!$B$6),"")</f>
        <v/>
      </c>
      <c r="AF97" s="151" t="n">
        <f aca="false">IF(ISNUMBER(B97),IF(L97&lt;AE97,J97*'13_Mapa_Liq'!$C$19,0),0)</f>
        <v>0</v>
      </c>
      <c r="AG97" s="151"/>
      <c r="AH97" s="151" t="n">
        <f aca="false">IF(ISNUMBER(B97),E97*F97*((K97&lt;=M97)*'13_Mapa_Liq'!$C$15+(K97&lt;=Q97)*'13_Mapa_Liq'!$C$16+(K97&lt;=U97)*'13_Mapa_Liq'!$C$17+(K97&lt;=Y97)*'13_Mapa_Liq'!$C$18+(K97&lt;=AC97)*'13_Mapa_Liq'!$C$19),0)</f>
        <v>0</v>
      </c>
      <c r="AI97" s="151" t="n">
        <f aca="false">IF(ISNUMBER(B97),E97*(1-F97)*((L97&gt;=O97)*'13_Mapa_Liq'!$C$15+(L97&gt;=S97)*'13_Mapa_Liq'!$C$16+(L97&gt;=W97)*'13_Mapa_Liq'!$C$17+(L97&gt;=AA97)*'13_Mapa_Liq'!$C$18+(L97&gt;=AE97)*'13_Mapa_Liq'!$C$19),0)</f>
        <v>0</v>
      </c>
    </row>
    <row r="98" customFormat="false" ht="15" hidden="false" customHeight="false" outlineLevel="0" collapsed="false">
      <c r="A98" s="151" t="str">
        <f aca="false">IF(ISNUMBER('12_Datos_5m'!F98),ROW()-4,"")</f>
        <v/>
      </c>
      <c r="B98" s="151" t="str">
        <f aca="false">IF(ISNUMBER('12_Datos_5m'!F98),'12_Datos_5m'!F98,"")</f>
        <v/>
      </c>
      <c r="C98" s="151" t="str">
        <f aca="false">IF(ISNUMBER('12_Datos_5m'!A98),'12_Datos_5m'!A98,"")</f>
        <v/>
      </c>
      <c r="D98" s="151" t="n">
        <f aca="false">IF(AND(ISNUMBER('12_Datos_5m'!I98),ISNUMBER('12_Datos_5m'!I97)),'12_Datos_5m'!I98-'12_Datos_5m'!I97,0)</f>
        <v>0</v>
      </c>
      <c r="E98" s="151" t="n">
        <f aca="false">MAX(0,D98)</f>
        <v>0</v>
      </c>
      <c r="F98" s="151" t="n">
        <f aca="false">IF(AND(ISNUMBER('12_Datos_5m'!G98),N('12_Datos_5m'!G98)&gt;0),'12_Datos_5m'!H98/'12_Datos_5m'!G98,0.5)</f>
        <v>0.5</v>
      </c>
      <c r="G98" s="151" t="n">
        <f aca="false">IF(ISNUMBER(C98),($C$2-C98)/3600000,0)</f>
        <v>0</v>
      </c>
      <c r="H98" s="151" t="n">
        <f aca="false">EXP(-G98/'13_Mapa_Liq'!$B$7)</f>
        <v>1</v>
      </c>
      <c r="I98" s="151" t="n">
        <f aca="false">E98*F98*H98</f>
        <v>0</v>
      </c>
      <c r="J98" s="151" t="n">
        <f aca="false">E98*(1-F98)*H98</f>
        <v>0</v>
      </c>
      <c r="K98" s="151" t="n">
        <f aca="false">IF(COUNT('12_Datos_5m'!E99:E$504)=0,1000000000000,MIN('12_Datos_5m'!E99:E$504))</f>
        <v>1000000000000</v>
      </c>
      <c r="L98" s="151" t="n">
        <f aca="false">IF(COUNT('12_Datos_5m'!D99:D$504)=0,0,MAX('12_Datos_5m'!D99:D$504))</f>
        <v>0</v>
      </c>
      <c r="M98" s="151" t="str">
        <f aca="false">IF(ISNUMBER(B98),B98*(1-1/'13_Mapa_Liq'!$B$15+'13_Mapa_Liq'!$B$6),"")</f>
        <v/>
      </c>
      <c r="N98" s="151" t="n">
        <f aca="false">IF(ISNUMBER(B98),IF(K98&gt;M98,I98*'13_Mapa_Liq'!$C$15,0),0)</f>
        <v>0</v>
      </c>
      <c r="O98" s="151" t="str">
        <f aca="false">IF(ISNUMBER(B98),B98*(1+1/'13_Mapa_Liq'!$B$15-'13_Mapa_Liq'!$B$6),"")</f>
        <v/>
      </c>
      <c r="P98" s="151" t="n">
        <f aca="false">IF(ISNUMBER(B98),IF(L98&lt;O98,J98*'13_Mapa_Liq'!$C$15,0),0)</f>
        <v>0</v>
      </c>
      <c r="Q98" s="151" t="str">
        <f aca="false">IF(ISNUMBER(B98),B98*(1-1/'13_Mapa_Liq'!$B$16+'13_Mapa_Liq'!$B$6),"")</f>
        <v/>
      </c>
      <c r="R98" s="151" t="n">
        <f aca="false">IF(ISNUMBER(B98),IF(K98&gt;Q98,I98*'13_Mapa_Liq'!$C$16,0),0)</f>
        <v>0</v>
      </c>
      <c r="S98" s="151" t="str">
        <f aca="false">IF(ISNUMBER(B98),B98*(1+1/'13_Mapa_Liq'!$B$16-'13_Mapa_Liq'!$B$6),"")</f>
        <v/>
      </c>
      <c r="T98" s="151" t="n">
        <f aca="false">IF(ISNUMBER(B98),IF(L98&lt;S98,J98*'13_Mapa_Liq'!$C$16,0),0)</f>
        <v>0</v>
      </c>
      <c r="U98" s="151" t="str">
        <f aca="false">IF(ISNUMBER(B98),B98*(1-1/'13_Mapa_Liq'!$B$17+'13_Mapa_Liq'!$B$6),"")</f>
        <v/>
      </c>
      <c r="V98" s="151" t="n">
        <f aca="false">IF(ISNUMBER(B98),IF(K98&gt;U98,I98*'13_Mapa_Liq'!$C$17,0),0)</f>
        <v>0</v>
      </c>
      <c r="W98" s="151" t="str">
        <f aca="false">IF(ISNUMBER(B98),B98*(1+1/'13_Mapa_Liq'!$B$17-'13_Mapa_Liq'!$B$6),"")</f>
        <v/>
      </c>
      <c r="X98" s="151" t="n">
        <f aca="false">IF(ISNUMBER(B98),IF(L98&lt;W98,J98*'13_Mapa_Liq'!$C$17,0),0)</f>
        <v>0</v>
      </c>
      <c r="Y98" s="151" t="str">
        <f aca="false">IF(ISNUMBER(B98),B98*(1-1/'13_Mapa_Liq'!$B$18+'13_Mapa_Liq'!$B$6),"")</f>
        <v/>
      </c>
      <c r="Z98" s="151" t="n">
        <f aca="false">IF(ISNUMBER(B98),IF(K98&gt;Y98,I98*'13_Mapa_Liq'!$C$18,0),0)</f>
        <v>0</v>
      </c>
      <c r="AA98" s="151" t="str">
        <f aca="false">IF(ISNUMBER(B98),B98*(1+1/'13_Mapa_Liq'!$B$18-'13_Mapa_Liq'!$B$6),"")</f>
        <v/>
      </c>
      <c r="AB98" s="151" t="n">
        <f aca="false">IF(ISNUMBER(B98),IF(L98&lt;AA98,J98*'13_Mapa_Liq'!$C$18,0),0)</f>
        <v>0</v>
      </c>
      <c r="AC98" s="151" t="str">
        <f aca="false">IF(ISNUMBER(B98),B98*(1-1/'13_Mapa_Liq'!$B$19+'13_Mapa_Liq'!$B$6),"")</f>
        <v/>
      </c>
      <c r="AD98" s="151" t="n">
        <f aca="false">IF(ISNUMBER(B98),IF(K98&gt;AC98,I98*'13_Mapa_Liq'!$C$19,0),0)</f>
        <v>0</v>
      </c>
      <c r="AE98" s="151" t="str">
        <f aca="false">IF(ISNUMBER(B98),B98*(1+1/'13_Mapa_Liq'!$B$19-'13_Mapa_Liq'!$B$6),"")</f>
        <v/>
      </c>
      <c r="AF98" s="151" t="n">
        <f aca="false">IF(ISNUMBER(B98),IF(L98&lt;AE98,J98*'13_Mapa_Liq'!$C$19,0),0)</f>
        <v>0</v>
      </c>
      <c r="AG98" s="151"/>
      <c r="AH98" s="151" t="n">
        <f aca="false">IF(ISNUMBER(B98),E98*F98*((K98&lt;=M98)*'13_Mapa_Liq'!$C$15+(K98&lt;=Q98)*'13_Mapa_Liq'!$C$16+(K98&lt;=U98)*'13_Mapa_Liq'!$C$17+(K98&lt;=Y98)*'13_Mapa_Liq'!$C$18+(K98&lt;=AC98)*'13_Mapa_Liq'!$C$19),0)</f>
        <v>0</v>
      </c>
      <c r="AI98" s="151" t="n">
        <f aca="false">IF(ISNUMBER(B98),E98*(1-F98)*((L98&gt;=O98)*'13_Mapa_Liq'!$C$15+(L98&gt;=S98)*'13_Mapa_Liq'!$C$16+(L98&gt;=W98)*'13_Mapa_Liq'!$C$17+(L98&gt;=AA98)*'13_Mapa_Liq'!$C$18+(L98&gt;=AE98)*'13_Mapa_Liq'!$C$19),0)</f>
        <v>0</v>
      </c>
    </row>
    <row r="99" customFormat="false" ht="15" hidden="false" customHeight="false" outlineLevel="0" collapsed="false">
      <c r="A99" s="151" t="str">
        <f aca="false">IF(ISNUMBER('12_Datos_5m'!F99),ROW()-4,"")</f>
        <v/>
      </c>
      <c r="B99" s="151" t="str">
        <f aca="false">IF(ISNUMBER('12_Datos_5m'!F99),'12_Datos_5m'!F99,"")</f>
        <v/>
      </c>
      <c r="C99" s="151" t="str">
        <f aca="false">IF(ISNUMBER('12_Datos_5m'!A99),'12_Datos_5m'!A99,"")</f>
        <v/>
      </c>
      <c r="D99" s="151" t="n">
        <f aca="false">IF(AND(ISNUMBER('12_Datos_5m'!I99),ISNUMBER('12_Datos_5m'!I98)),'12_Datos_5m'!I99-'12_Datos_5m'!I98,0)</f>
        <v>0</v>
      </c>
      <c r="E99" s="151" t="n">
        <f aca="false">MAX(0,D99)</f>
        <v>0</v>
      </c>
      <c r="F99" s="151" t="n">
        <f aca="false">IF(AND(ISNUMBER('12_Datos_5m'!G99),N('12_Datos_5m'!G99)&gt;0),'12_Datos_5m'!H99/'12_Datos_5m'!G99,0.5)</f>
        <v>0.5</v>
      </c>
      <c r="G99" s="151" t="n">
        <f aca="false">IF(ISNUMBER(C99),($C$2-C99)/3600000,0)</f>
        <v>0</v>
      </c>
      <c r="H99" s="151" t="n">
        <f aca="false">EXP(-G99/'13_Mapa_Liq'!$B$7)</f>
        <v>1</v>
      </c>
      <c r="I99" s="151" t="n">
        <f aca="false">E99*F99*H99</f>
        <v>0</v>
      </c>
      <c r="J99" s="151" t="n">
        <f aca="false">E99*(1-F99)*H99</f>
        <v>0</v>
      </c>
      <c r="K99" s="151" t="n">
        <f aca="false">IF(COUNT('12_Datos_5m'!E100:E$504)=0,1000000000000,MIN('12_Datos_5m'!E100:E$504))</f>
        <v>1000000000000</v>
      </c>
      <c r="L99" s="151" t="n">
        <f aca="false">IF(COUNT('12_Datos_5m'!D100:D$504)=0,0,MAX('12_Datos_5m'!D100:D$504))</f>
        <v>0</v>
      </c>
      <c r="M99" s="151" t="str">
        <f aca="false">IF(ISNUMBER(B99),B99*(1-1/'13_Mapa_Liq'!$B$15+'13_Mapa_Liq'!$B$6),"")</f>
        <v/>
      </c>
      <c r="N99" s="151" t="n">
        <f aca="false">IF(ISNUMBER(B99),IF(K99&gt;M99,I99*'13_Mapa_Liq'!$C$15,0),0)</f>
        <v>0</v>
      </c>
      <c r="O99" s="151" t="str">
        <f aca="false">IF(ISNUMBER(B99),B99*(1+1/'13_Mapa_Liq'!$B$15-'13_Mapa_Liq'!$B$6),"")</f>
        <v/>
      </c>
      <c r="P99" s="151" t="n">
        <f aca="false">IF(ISNUMBER(B99),IF(L99&lt;O99,J99*'13_Mapa_Liq'!$C$15,0),0)</f>
        <v>0</v>
      </c>
      <c r="Q99" s="151" t="str">
        <f aca="false">IF(ISNUMBER(B99),B99*(1-1/'13_Mapa_Liq'!$B$16+'13_Mapa_Liq'!$B$6),"")</f>
        <v/>
      </c>
      <c r="R99" s="151" t="n">
        <f aca="false">IF(ISNUMBER(B99),IF(K99&gt;Q99,I99*'13_Mapa_Liq'!$C$16,0),0)</f>
        <v>0</v>
      </c>
      <c r="S99" s="151" t="str">
        <f aca="false">IF(ISNUMBER(B99),B99*(1+1/'13_Mapa_Liq'!$B$16-'13_Mapa_Liq'!$B$6),"")</f>
        <v/>
      </c>
      <c r="T99" s="151" t="n">
        <f aca="false">IF(ISNUMBER(B99),IF(L99&lt;S99,J99*'13_Mapa_Liq'!$C$16,0),0)</f>
        <v>0</v>
      </c>
      <c r="U99" s="151" t="str">
        <f aca="false">IF(ISNUMBER(B99),B99*(1-1/'13_Mapa_Liq'!$B$17+'13_Mapa_Liq'!$B$6),"")</f>
        <v/>
      </c>
      <c r="V99" s="151" t="n">
        <f aca="false">IF(ISNUMBER(B99),IF(K99&gt;U99,I99*'13_Mapa_Liq'!$C$17,0),0)</f>
        <v>0</v>
      </c>
      <c r="W99" s="151" t="str">
        <f aca="false">IF(ISNUMBER(B99),B99*(1+1/'13_Mapa_Liq'!$B$17-'13_Mapa_Liq'!$B$6),"")</f>
        <v/>
      </c>
      <c r="X99" s="151" t="n">
        <f aca="false">IF(ISNUMBER(B99),IF(L99&lt;W99,J99*'13_Mapa_Liq'!$C$17,0),0)</f>
        <v>0</v>
      </c>
      <c r="Y99" s="151" t="str">
        <f aca="false">IF(ISNUMBER(B99),B99*(1-1/'13_Mapa_Liq'!$B$18+'13_Mapa_Liq'!$B$6),"")</f>
        <v/>
      </c>
      <c r="Z99" s="151" t="n">
        <f aca="false">IF(ISNUMBER(B99),IF(K99&gt;Y99,I99*'13_Mapa_Liq'!$C$18,0),0)</f>
        <v>0</v>
      </c>
      <c r="AA99" s="151" t="str">
        <f aca="false">IF(ISNUMBER(B99),B99*(1+1/'13_Mapa_Liq'!$B$18-'13_Mapa_Liq'!$B$6),"")</f>
        <v/>
      </c>
      <c r="AB99" s="151" t="n">
        <f aca="false">IF(ISNUMBER(B99),IF(L99&lt;AA99,J99*'13_Mapa_Liq'!$C$18,0),0)</f>
        <v>0</v>
      </c>
      <c r="AC99" s="151" t="str">
        <f aca="false">IF(ISNUMBER(B99),B99*(1-1/'13_Mapa_Liq'!$B$19+'13_Mapa_Liq'!$B$6),"")</f>
        <v/>
      </c>
      <c r="AD99" s="151" t="n">
        <f aca="false">IF(ISNUMBER(B99),IF(K99&gt;AC99,I99*'13_Mapa_Liq'!$C$19,0),0)</f>
        <v>0</v>
      </c>
      <c r="AE99" s="151" t="str">
        <f aca="false">IF(ISNUMBER(B99),B99*(1+1/'13_Mapa_Liq'!$B$19-'13_Mapa_Liq'!$B$6),"")</f>
        <v/>
      </c>
      <c r="AF99" s="151" t="n">
        <f aca="false">IF(ISNUMBER(B99),IF(L99&lt;AE99,J99*'13_Mapa_Liq'!$C$19,0),0)</f>
        <v>0</v>
      </c>
      <c r="AG99" s="151"/>
      <c r="AH99" s="151" t="n">
        <f aca="false">IF(ISNUMBER(B99),E99*F99*((K99&lt;=M99)*'13_Mapa_Liq'!$C$15+(K99&lt;=Q99)*'13_Mapa_Liq'!$C$16+(K99&lt;=U99)*'13_Mapa_Liq'!$C$17+(K99&lt;=Y99)*'13_Mapa_Liq'!$C$18+(K99&lt;=AC99)*'13_Mapa_Liq'!$C$19),0)</f>
        <v>0</v>
      </c>
      <c r="AI99" s="151" t="n">
        <f aca="false">IF(ISNUMBER(B99),E99*(1-F99)*((L99&gt;=O99)*'13_Mapa_Liq'!$C$15+(L99&gt;=S99)*'13_Mapa_Liq'!$C$16+(L99&gt;=W99)*'13_Mapa_Liq'!$C$17+(L99&gt;=AA99)*'13_Mapa_Liq'!$C$18+(L99&gt;=AE99)*'13_Mapa_Liq'!$C$19),0)</f>
        <v>0</v>
      </c>
    </row>
    <row r="100" customFormat="false" ht="15" hidden="false" customHeight="false" outlineLevel="0" collapsed="false">
      <c r="A100" s="151" t="str">
        <f aca="false">IF(ISNUMBER('12_Datos_5m'!F100),ROW()-4,"")</f>
        <v/>
      </c>
      <c r="B100" s="151" t="str">
        <f aca="false">IF(ISNUMBER('12_Datos_5m'!F100),'12_Datos_5m'!F100,"")</f>
        <v/>
      </c>
      <c r="C100" s="151" t="str">
        <f aca="false">IF(ISNUMBER('12_Datos_5m'!A100),'12_Datos_5m'!A100,"")</f>
        <v/>
      </c>
      <c r="D100" s="151" t="n">
        <f aca="false">IF(AND(ISNUMBER('12_Datos_5m'!I100),ISNUMBER('12_Datos_5m'!I99)),'12_Datos_5m'!I100-'12_Datos_5m'!I99,0)</f>
        <v>0</v>
      </c>
      <c r="E100" s="151" t="n">
        <f aca="false">MAX(0,D100)</f>
        <v>0</v>
      </c>
      <c r="F100" s="151" t="n">
        <f aca="false">IF(AND(ISNUMBER('12_Datos_5m'!G100),N('12_Datos_5m'!G100)&gt;0),'12_Datos_5m'!H100/'12_Datos_5m'!G100,0.5)</f>
        <v>0.5</v>
      </c>
      <c r="G100" s="151" t="n">
        <f aca="false">IF(ISNUMBER(C100),($C$2-C100)/3600000,0)</f>
        <v>0</v>
      </c>
      <c r="H100" s="151" t="n">
        <f aca="false">EXP(-G100/'13_Mapa_Liq'!$B$7)</f>
        <v>1</v>
      </c>
      <c r="I100" s="151" t="n">
        <f aca="false">E100*F100*H100</f>
        <v>0</v>
      </c>
      <c r="J100" s="151" t="n">
        <f aca="false">E100*(1-F100)*H100</f>
        <v>0</v>
      </c>
      <c r="K100" s="151" t="n">
        <f aca="false">IF(COUNT('12_Datos_5m'!E101:E$504)=0,1000000000000,MIN('12_Datos_5m'!E101:E$504))</f>
        <v>1000000000000</v>
      </c>
      <c r="L100" s="151" t="n">
        <f aca="false">IF(COUNT('12_Datos_5m'!D101:D$504)=0,0,MAX('12_Datos_5m'!D101:D$504))</f>
        <v>0</v>
      </c>
      <c r="M100" s="151" t="str">
        <f aca="false">IF(ISNUMBER(B100),B100*(1-1/'13_Mapa_Liq'!$B$15+'13_Mapa_Liq'!$B$6),"")</f>
        <v/>
      </c>
      <c r="N100" s="151" t="n">
        <f aca="false">IF(ISNUMBER(B100),IF(K100&gt;M100,I100*'13_Mapa_Liq'!$C$15,0),0)</f>
        <v>0</v>
      </c>
      <c r="O100" s="151" t="str">
        <f aca="false">IF(ISNUMBER(B100),B100*(1+1/'13_Mapa_Liq'!$B$15-'13_Mapa_Liq'!$B$6),"")</f>
        <v/>
      </c>
      <c r="P100" s="151" t="n">
        <f aca="false">IF(ISNUMBER(B100),IF(L100&lt;O100,J100*'13_Mapa_Liq'!$C$15,0),0)</f>
        <v>0</v>
      </c>
      <c r="Q100" s="151" t="str">
        <f aca="false">IF(ISNUMBER(B100),B100*(1-1/'13_Mapa_Liq'!$B$16+'13_Mapa_Liq'!$B$6),"")</f>
        <v/>
      </c>
      <c r="R100" s="151" t="n">
        <f aca="false">IF(ISNUMBER(B100),IF(K100&gt;Q100,I100*'13_Mapa_Liq'!$C$16,0),0)</f>
        <v>0</v>
      </c>
      <c r="S100" s="151" t="str">
        <f aca="false">IF(ISNUMBER(B100),B100*(1+1/'13_Mapa_Liq'!$B$16-'13_Mapa_Liq'!$B$6),"")</f>
        <v/>
      </c>
      <c r="T100" s="151" t="n">
        <f aca="false">IF(ISNUMBER(B100),IF(L100&lt;S100,J100*'13_Mapa_Liq'!$C$16,0),0)</f>
        <v>0</v>
      </c>
      <c r="U100" s="151" t="str">
        <f aca="false">IF(ISNUMBER(B100),B100*(1-1/'13_Mapa_Liq'!$B$17+'13_Mapa_Liq'!$B$6),"")</f>
        <v/>
      </c>
      <c r="V100" s="151" t="n">
        <f aca="false">IF(ISNUMBER(B100),IF(K100&gt;U100,I100*'13_Mapa_Liq'!$C$17,0),0)</f>
        <v>0</v>
      </c>
      <c r="W100" s="151" t="str">
        <f aca="false">IF(ISNUMBER(B100),B100*(1+1/'13_Mapa_Liq'!$B$17-'13_Mapa_Liq'!$B$6),"")</f>
        <v/>
      </c>
      <c r="X100" s="151" t="n">
        <f aca="false">IF(ISNUMBER(B100),IF(L100&lt;W100,J100*'13_Mapa_Liq'!$C$17,0),0)</f>
        <v>0</v>
      </c>
      <c r="Y100" s="151" t="str">
        <f aca="false">IF(ISNUMBER(B100),B100*(1-1/'13_Mapa_Liq'!$B$18+'13_Mapa_Liq'!$B$6),"")</f>
        <v/>
      </c>
      <c r="Z100" s="151" t="n">
        <f aca="false">IF(ISNUMBER(B100),IF(K100&gt;Y100,I100*'13_Mapa_Liq'!$C$18,0),0)</f>
        <v>0</v>
      </c>
      <c r="AA100" s="151" t="str">
        <f aca="false">IF(ISNUMBER(B100),B100*(1+1/'13_Mapa_Liq'!$B$18-'13_Mapa_Liq'!$B$6),"")</f>
        <v/>
      </c>
      <c r="AB100" s="151" t="n">
        <f aca="false">IF(ISNUMBER(B100),IF(L100&lt;AA100,J100*'13_Mapa_Liq'!$C$18,0),0)</f>
        <v>0</v>
      </c>
      <c r="AC100" s="151" t="str">
        <f aca="false">IF(ISNUMBER(B100),B100*(1-1/'13_Mapa_Liq'!$B$19+'13_Mapa_Liq'!$B$6),"")</f>
        <v/>
      </c>
      <c r="AD100" s="151" t="n">
        <f aca="false">IF(ISNUMBER(B100),IF(K100&gt;AC100,I100*'13_Mapa_Liq'!$C$19,0),0)</f>
        <v>0</v>
      </c>
      <c r="AE100" s="151" t="str">
        <f aca="false">IF(ISNUMBER(B100),B100*(1+1/'13_Mapa_Liq'!$B$19-'13_Mapa_Liq'!$B$6),"")</f>
        <v/>
      </c>
      <c r="AF100" s="151" t="n">
        <f aca="false">IF(ISNUMBER(B100),IF(L100&lt;AE100,J100*'13_Mapa_Liq'!$C$19,0),0)</f>
        <v>0</v>
      </c>
      <c r="AG100" s="151"/>
      <c r="AH100" s="151" t="n">
        <f aca="false">IF(ISNUMBER(B100),E100*F100*((K100&lt;=M100)*'13_Mapa_Liq'!$C$15+(K100&lt;=Q100)*'13_Mapa_Liq'!$C$16+(K100&lt;=U100)*'13_Mapa_Liq'!$C$17+(K100&lt;=Y100)*'13_Mapa_Liq'!$C$18+(K100&lt;=AC100)*'13_Mapa_Liq'!$C$19),0)</f>
        <v>0</v>
      </c>
      <c r="AI100" s="151" t="n">
        <f aca="false">IF(ISNUMBER(B100),E100*(1-F100)*((L100&gt;=O100)*'13_Mapa_Liq'!$C$15+(L100&gt;=S100)*'13_Mapa_Liq'!$C$16+(L100&gt;=W100)*'13_Mapa_Liq'!$C$17+(L100&gt;=AA100)*'13_Mapa_Liq'!$C$18+(L100&gt;=AE100)*'13_Mapa_Liq'!$C$19),0)</f>
        <v>0</v>
      </c>
    </row>
    <row r="101" customFormat="false" ht="15" hidden="false" customHeight="false" outlineLevel="0" collapsed="false">
      <c r="A101" s="151" t="str">
        <f aca="false">IF(ISNUMBER('12_Datos_5m'!F101),ROW()-4,"")</f>
        <v/>
      </c>
      <c r="B101" s="151" t="str">
        <f aca="false">IF(ISNUMBER('12_Datos_5m'!F101),'12_Datos_5m'!F101,"")</f>
        <v/>
      </c>
      <c r="C101" s="151" t="str">
        <f aca="false">IF(ISNUMBER('12_Datos_5m'!A101),'12_Datos_5m'!A101,"")</f>
        <v/>
      </c>
      <c r="D101" s="151" t="n">
        <f aca="false">IF(AND(ISNUMBER('12_Datos_5m'!I101),ISNUMBER('12_Datos_5m'!I100)),'12_Datos_5m'!I101-'12_Datos_5m'!I100,0)</f>
        <v>0</v>
      </c>
      <c r="E101" s="151" t="n">
        <f aca="false">MAX(0,D101)</f>
        <v>0</v>
      </c>
      <c r="F101" s="151" t="n">
        <f aca="false">IF(AND(ISNUMBER('12_Datos_5m'!G101),N('12_Datos_5m'!G101)&gt;0),'12_Datos_5m'!H101/'12_Datos_5m'!G101,0.5)</f>
        <v>0.5</v>
      </c>
      <c r="G101" s="151" t="n">
        <f aca="false">IF(ISNUMBER(C101),($C$2-C101)/3600000,0)</f>
        <v>0</v>
      </c>
      <c r="H101" s="151" t="n">
        <f aca="false">EXP(-G101/'13_Mapa_Liq'!$B$7)</f>
        <v>1</v>
      </c>
      <c r="I101" s="151" t="n">
        <f aca="false">E101*F101*H101</f>
        <v>0</v>
      </c>
      <c r="J101" s="151" t="n">
        <f aca="false">E101*(1-F101)*H101</f>
        <v>0</v>
      </c>
      <c r="K101" s="151" t="n">
        <f aca="false">IF(COUNT('12_Datos_5m'!E102:E$504)=0,1000000000000,MIN('12_Datos_5m'!E102:E$504))</f>
        <v>1000000000000</v>
      </c>
      <c r="L101" s="151" t="n">
        <f aca="false">IF(COUNT('12_Datos_5m'!D102:D$504)=0,0,MAX('12_Datos_5m'!D102:D$504))</f>
        <v>0</v>
      </c>
      <c r="M101" s="151" t="str">
        <f aca="false">IF(ISNUMBER(B101),B101*(1-1/'13_Mapa_Liq'!$B$15+'13_Mapa_Liq'!$B$6),"")</f>
        <v/>
      </c>
      <c r="N101" s="151" t="n">
        <f aca="false">IF(ISNUMBER(B101),IF(K101&gt;M101,I101*'13_Mapa_Liq'!$C$15,0),0)</f>
        <v>0</v>
      </c>
      <c r="O101" s="151" t="str">
        <f aca="false">IF(ISNUMBER(B101),B101*(1+1/'13_Mapa_Liq'!$B$15-'13_Mapa_Liq'!$B$6),"")</f>
        <v/>
      </c>
      <c r="P101" s="151" t="n">
        <f aca="false">IF(ISNUMBER(B101),IF(L101&lt;O101,J101*'13_Mapa_Liq'!$C$15,0),0)</f>
        <v>0</v>
      </c>
      <c r="Q101" s="151" t="str">
        <f aca="false">IF(ISNUMBER(B101),B101*(1-1/'13_Mapa_Liq'!$B$16+'13_Mapa_Liq'!$B$6),"")</f>
        <v/>
      </c>
      <c r="R101" s="151" t="n">
        <f aca="false">IF(ISNUMBER(B101),IF(K101&gt;Q101,I101*'13_Mapa_Liq'!$C$16,0),0)</f>
        <v>0</v>
      </c>
      <c r="S101" s="151" t="str">
        <f aca="false">IF(ISNUMBER(B101),B101*(1+1/'13_Mapa_Liq'!$B$16-'13_Mapa_Liq'!$B$6),"")</f>
        <v/>
      </c>
      <c r="T101" s="151" t="n">
        <f aca="false">IF(ISNUMBER(B101),IF(L101&lt;S101,J101*'13_Mapa_Liq'!$C$16,0),0)</f>
        <v>0</v>
      </c>
      <c r="U101" s="151" t="str">
        <f aca="false">IF(ISNUMBER(B101),B101*(1-1/'13_Mapa_Liq'!$B$17+'13_Mapa_Liq'!$B$6),"")</f>
        <v/>
      </c>
      <c r="V101" s="151" t="n">
        <f aca="false">IF(ISNUMBER(B101),IF(K101&gt;U101,I101*'13_Mapa_Liq'!$C$17,0),0)</f>
        <v>0</v>
      </c>
      <c r="W101" s="151" t="str">
        <f aca="false">IF(ISNUMBER(B101),B101*(1+1/'13_Mapa_Liq'!$B$17-'13_Mapa_Liq'!$B$6),"")</f>
        <v/>
      </c>
      <c r="X101" s="151" t="n">
        <f aca="false">IF(ISNUMBER(B101),IF(L101&lt;W101,J101*'13_Mapa_Liq'!$C$17,0),0)</f>
        <v>0</v>
      </c>
      <c r="Y101" s="151" t="str">
        <f aca="false">IF(ISNUMBER(B101),B101*(1-1/'13_Mapa_Liq'!$B$18+'13_Mapa_Liq'!$B$6),"")</f>
        <v/>
      </c>
      <c r="Z101" s="151" t="n">
        <f aca="false">IF(ISNUMBER(B101),IF(K101&gt;Y101,I101*'13_Mapa_Liq'!$C$18,0),0)</f>
        <v>0</v>
      </c>
      <c r="AA101" s="151" t="str">
        <f aca="false">IF(ISNUMBER(B101),B101*(1+1/'13_Mapa_Liq'!$B$18-'13_Mapa_Liq'!$B$6),"")</f>
        <v/>
      </c>
      <c r="AB101" s="151" t="n">
        <f aca="false">IF(ISNUMBER(B101),IF(L101&lt;AA101,J101*'13_Mapa_Liq'!$C$18,0),0)</f>
        <v>0</v>
      </c>
      <c r="AC101" s="151" t="str">
        <f aca="false">IF(ISNUMBER(B101),B101*(1-1/'13_Mapa_Liq'!$B$19+'13_Mapa_Liq'!$B$6),"")</f>
        <v/>
      </c>
      <c r="AD101" s="151" t="n">
        <f aca="false">IF(ISNUMBER(B101),IF(K101&gt;AC101,I101*'13_Mapa_Liq'!$C$19,0),0)</f>
        <v>0</v>
      </c>
      <c r="AE101" s="151" t="str">
        <f aca="false">IF(ISNUMBER(B101),B101*(1+1/'13_Mapa_Liq'!$B$19-'13_Mapa_Liq'!$B$6),"")</f>
        <v/>
      </c>
      <c r="AF101" s="151" t="n">
        <f aca="false">IF(ISNUMBER(B101),IF(L101&lt;AE101,J101*'13_Mapa_Liq'!$C$19,0),0)</f>
        <v>0</v>
      </c>
      <c r="AG101" s="151"/>
      <c r="AH101" s="151" t="n">
        <f aca="false">IF(ISNUMBER(B101),E101*F101*((K101&lt;=M101)*'13_Mapa_Liq'!$C$15+(K101&lt;=Q101)*'13_Mapa_Liq'!$C$16+(K101&lt;=U101)*'13_Mapa_Liq'!$C$17+(K101&lt;=Y101)*'13_Mapa_Liq'!$C$18+(K101&lt;=AC101)*'13_Mapa_Liq'!$C$19),0)</f>
        <v>0</v>
      </c>
      <c r="AI101" s="151" t="n">
        <f aca="false">IF(ISNUMBER(B101),E101*(1-F101)*((L101&gt;=O101)*'13_Mapa_Liq'!$C$15+(L101&gt;=S101)*'13_Mapa_Liq'!$C$16+(L101&gt;=W101)*'13_Mapa_Liq'!$C$17+(L101&gt;=AA101)*'13_Mapa_Liq'!$C$18+(L101&gt;=AE101)*'13_Mapa_Liq'!$C$19),0)</f>
        <v>0</v>
      </c>
    </row>
    <row r="102" customFormat="false" ht="15" hidden="false" customHeight="false" outlineLevel="0" collapsed="false">
      <c r="A102" s="151" t="str">
        <f aca="false">IF(ISNUMBER('12_Datos_5m'!F102),ROW()-4,"")</f>
        <v/>
      </c>
      <c r="B102" s="151" t="str">
        <f aca="false">IF(ISNUMBER('12_Datos_5m'!F102),'12_Datos_5m'!F102,"")</f>
        <v/>
      </c>
      <c r="C102" s="151" t="str">
        <f aca="false">IF(ISNUMBER('12_Datos_5m'!A102),'12_Datos_5m'!A102,"")</f>
        <v/>
      </c>
      <c r="D102" s="151" t="n">
        <f aca="false">IF(AND(ISNUMBER('12_Datos_5m'!I102),ISNUMBER('12_Datos_5m'!I101)),'12_Datos_5m'!I102-'12_Datos_5m'!I101,0)</f>
        <v>0</v>
      </c>
      <c r="E102" s="151" t="n">
        <f aca="false">MAX(0,D102)</f>
        <v>0</v>
      </c>
      <c r="F102" s="151" t="n">
        <f aca="false">IF(AND(ISNUMBER('12_Datos_5m'!G102),N('12_Datos_5m'!G102)&gt;0),'12_Datos_5m'!H102/'12_Datos_5m'!G102,0.5)</f>
        <v>0.5</v>
      </c>
      <c r="G102" s="151" t="n">
        <f aca="false">IF(ISNUMBER(C102),($C$2-C102)/3600000,0)</f>
        <v>0</v>
      </c>
      <c r="H102" s="151" t="n">
        <f aca="false">EXP(-G102/'13_Mapa_Liq'!$B$7)</f>
        <v>1</v>
      </c>
      <c r="I102" s="151" t="n">
        <f aca="false">E102*F102*H102</f>
        <v>0</v>
      </c>
      <c r="J102" s="151" t="n">
        <f aca="false">E102*(1-F102)*H102</f>
        <v>0</v>
      </c>
      <c r="K102" s="151" t="n">
        <f aca="false">IF(COUNT('12_Datos_5m'!E103:E$504)=0,1000000000000,MIN('12_Datos_5m'!E103:E$504))</f>
        <v>1000000000000</v>
      </c>
      <c r="L102" s="151" t="n">
        <f aca="false">IF(COUNT('12_Datos_5m'!D103:D$504)=0,0,MAX('12_Datos_5m'!D103:D$504))</f>
        <v>0</v>
      </c>
      <c r="M102" s="151" t="str">
        <f aca="false">IF(ISNUMBER(B102),B102*(1-1/'13_Mapa_Liq'!$B$15+'13_Mapa_Liq'!$B$6),"")</f>
        <v/>
      </c>
      <c r="N102" s="151" t="n">
        <f aca="false">IF(ISNUMBER(B102),IF(K102&gt;M102,I102*'13_Mapa_Liq'!$C$15,0),0)</f>
        <v>0</v>
      </c>
      <c r="O102" s="151" t="str">
        <f aca="false">IF(ISNUMBER(B102),B102*(1+1/'13_Mapa_Liq'!$B$15-'13_Mapa_Liq'!$B$6),"")</f>
        <v/>
      </c>
      <c r="P102" s="151" t="n">
        <f aca="false">IF(ISNUMBER(B102),IF(L102&lt;O102,J102*'13_Mapa_Liq'!$C$15,0),0)</f>
        <v>0</v>
      </c>
      <c r="Q102" s="151" t="str">
        <f aca="false">IF(ISNUMBER(B102),B102*(1-1/'13_Mapa_Liq'!$B$16+'13_Mapa_Liq'!$B$6),"")</f>
        <v/>
      </c>
      <c r="R102" s="151" t="n">
        <f aca="false">IF(ISNUMBER(B102),IF(K102&gt;Q102,I102*'13_Mapa_Liq'!$C$16,0),0)</f>
        <v>0</v>
      </c>
      <c r="S102" s="151" t="str">
        <f aca="false">IF(ISNUMBER(B102),B102*(1+1/'13_Mapa_Liq'!$B$16-'13_Mapa_Liq'!$B$6),"")</f>
        <v/>
      </c>
      <c r="T102" s="151" t="n">
        <f aca="false">IF(ISNUMBER(B102),IF(L102&lt;S102,J102*'13_Mapa_Liq'!$C$16,0),0)</f>
        <v>0</v>
      </c>
      <c r="U102" s="151" t="str">
        <f aca="false">IF(ISNUMBER(B102),B102*(1-1/'13_Mapa_Liq'!$B$17+'13_Mapa_Liq'!$B$6),"")</f>
        <v/>
      </c>
      <c r="V102" s="151" t="n">
        <f aca="false">IF(ISNUMBER(B102),IF(K102&gt;U102,I102*'13_Mapa_Liq'!$C$17,0),0)</f>
        <v>0</v>
      </c>
      <c r="W102" s="151" t="str">
        <f aca="false">IF(ISNUMBER(B102),B102*(1+1/'13_Mapa_Liq'!$B$17-'13_Mapa_Liq'!$B$6),"")</f>
        <v/>
      </c>
      <c r="X102" s="151" t="n">
        <f aca="false">IF(ISNUMBER(B102),IF(L102&lt;W102,J102*'13_Mapa_Liq'!$C$17,0),0)</f>
        <v>0</v>
      </c>
      <c r="Y102" s="151" t="str">
        <f aca="false">IF(ISNUMBER(B102),B102*(1-1/'13_Mapa_Liq'!$B$18+'13_Mapa_Liq'!$B$6),"")</f>
        <v/>
      </c>
      <c r="Z102" s="151" t="n">
        <f aca="false">IF(ISNUMBER(B102),IF(K102&gt;Y102,I102*'13_Mapa_Liq'!$C$18,0),0)</f>
        <v>0</v>
      </c>
      <c r="AA102" s="151" t="str">
        <f aca="false">IF(ISNUMBER(B102),B102*(1+1/'13_Mapa_Liq'!$B$18-'13_Mapa_Liq'!$B$6),"")</f>
        <v/>
      </c>
      <c r="AB102" s="151" t="n">
        <f aca="false">IF(ISNUMBER(B102),IF(L102&lt;AA102,J102*'13_Mapa_Liq'!$C$18,0),0)</f>
        <v>0</v>
      </c>
      <c r="AC102" s="151" t="str">
        <f aca="false">IF(ISNUMBER(B102),B102*(1-1/'13_Mapa_Liq'!$B$19+'13_Mapa_Liq'!$B$6),"")</f>
        <v/>
      </c>
      <c r="AD102" s="151" t="n">
        <f aca="false">IF(ISNUMBER(B102),IF(K102&gt;AC102,I102*'13_Mapa_Liq'!$C$19,0),0)</f>
        <v>0</v>
      </c>
      <c r="AE102" s="151" t="str">
        <f aca="false">IF(ISNUMBER(B102),B102*(1+1/'13_Mapa_Liq'!$B$19-'13_Mapa_Liq'!$B$6),"")</f>
        <v/>
      </c>
      <c r="AF102" s="151" t="n">
        <f aca="false">IF(ISNUMBER(B102),IF(L102&lt;AE102,J102*'13_Mapa_Liq'!$C$19,0),0)</f>
        <v>0</v>
      </c>
      <c r="AG102" s="151"/>
      <c r="AH102" s="151" t="n">
        <f aca="false">IF(ISNUMBER(B102),E102*F102*((K102&lt;=M102)*'13_Mapa_Liq'!$C$15+(K102&lt;=Q102)*'13_Mapa_Liq'!$C$16+(K102&lt;=U102)*'13_Mapa_Liq'!$C$17+(K102&lt;=Y102)*'13_Mapa_Liq'!$C$18+(K102&lt;=AC102)*'13_Mapa_Liq'!$C$19),0)</f>
        <v>0</v>
      </c>
      <c r="AI102" s="151" t="n">
        <f aca="false">IF(ISNUMBER(B102),E102*(1-F102)*((L102&gt;=O102)*'13_Mapa_Liq'!$C$15+(L102&gt;=S102)*'13_Mapa_Liq'!$C$16+(L102&gt;=W102)*'13_Mapa_Liq'!$C$17+(L102&gt;=AA102)*'13_Mapa_Liq'!$C$18+(L102&gt;=AE102)*'13_Mapa_Liq'!$C$19),0)</f>
        <v>0</v>
      </c>
    </row>
    <row r="103" customFormat="false" ht="15" hidden="false" customHeight="false" outlineLevel="0" collapsed="false">
      <c r="A103" s="151" t="str">
        <f aca="false">IF(ISNUMBER('12_Datos_5m'!F103),ROW()-4,"")</f>
        <v/>
      </c>
      <c r="B103" s="151" t="str">
        <f aca="false">IF(ISNUMBER('12_Datos_5m'!F103),'12_Datos_5m'!F103,"")</f>
        <v/>
      </c>
      <c r="C103" s="151" t="str">
        <f aca="false">IF(ISNUMBER('12_Datos_5m'!A103),'12_Datos_5m'!A103,"")</f>
        <v/>
      </c>
      <c r="D103" s="151" t="n">
        <f aca="false">IF(AND(ISNUMBER('12_Datos_5m'!I103),ISNUMBER('12_Datos_5m'!I102)),'12_Datos_5m'!I103-'12_Datos_5m'!I102,0)</f>
        <v>0</v>
      </c>
      <c r="E103" s="151" t="n">
        <f aca="false">MAX(0,D103)</f>
        <v>0</v>
      </c>
      <c r="F103" s="151" t="n">
        <f aca="false">IF(AND(ISNUMBER('12_Datos_5m'!G103),N('12_Datos_5m'!G103)&gt;0),'12_Datos_5m'!H103/'12_Datos_5m'!G103,0.5)</f>
        <v>0.5</v>
      </c>
      <c r="G103" s="151" t="n">
        <f aca="false">IF(ISNUMBER(C103),($C$2-C103)/3600000,0)</f>
        <v>0</v>
      </c>
      <c r="H103" s="151" t="n">
        <f aca="false">EXP(-G103/'13_Mapa_Liq'!$B$7)</f>
        <v>1</v>
      </c>
      <c r="I103" s="151" t="n">
        <f aca="false">E103*F103*H103</f>
        <v>0</v>
      </c>
      <c r="J103" s="151" t="n">
        <f aca="false">E103*(1-F103)*H103</f>
        <v>0</v>
      </c>
      <c r="K103" s="151" t="n">
        <f aca="false">IF(COUNT('12_Datos_5m'!E104:E$504)=0,1000000000000,MIN('12_Datos_5m'!E104:E$504))</f>
        <v>1000000000000</v>
      </c>
      <c r="L103" s="151" t="n">
        <f aca="false">IF(COUNT('12_Datos_5m'!D104:D$504)=0,0,MAX('12_Datos_5m'!D104:D$504))</f>
        <v>0</v>
      </c>
      <c r="M103" s="151" t="str">
        <f aca="false">IF(ISNUMBER(B103),B103*(1-1/'13_Mapa_Liq'!$B$15+'13_Mapa_Liq'!$B$6),"")</f>
        <v/>
      </c>
      <c r="N103" s="151" t="n">
        <f aca="false">IF(ISNUMBER(B103),IF(K103&gt;M103,I103*'13_Mapa_Liq'!$C$15,0),0)</f>
        <v>0</v>
      </c>
      <c r="O103" s="151" t="str">
        <f aca="false">IF(ISNUMBER(B103),B103*(1+1/'13_Mapa_Liq'!$B$15-'13_Mapa_Liq'!$B$6),"")</f>
        <v/>
      </c>
      <c r="P103" s="151" t="n">
        <f aca="false">IF(ISNUMBER(B103),IF(L103&lt;O103,J103*'13_Mapa_Liq'!$C$15,0),0)</f>
        <v>0</v>
      </c>
      <c r="Q103" s="151" t="str">
        <f aca="false">IF(ISNUMBER(B103),B103*(1-1/'13_Mapa_Liq'!$B$16+'13_Mapa_Liq'!$B$6),"")</f>
        <v/>
      </c>
      <c r="R103" s="151" t="n">
        <f aca="false">IF(ISNUMBER(B103),IF(K103&gt;Q103,I103*'13_Mapa_Liq'!$C$16,0),0)</f>
        <v>0</v>
      </c>
      <c r="S103" s="151" t="str">
        <f aca="false">IF(ISNUMBER(B103),B103*(1+1/'13_Mapa_Liq'!$B$16-'13_Mapa_Liq'!$B$6),"")</f>
        <v/>
      </c>
      <c r="T103" s="151" t="n">
        <f aca="false">IF(ISNUMBER(B103),IF(L103&lt;S103,J103*'13_Mapa_Liq'!$C$16,0),0)</f>
        <v>0</v>
      </c>
      <c r="U103" s="151" t="str">
        <f aca="false">IF(ISNUMBER(B103),B103*(1-1/'13_Mapa_Liq'!$B$17+'13_Mapa_Liq'!$B$6),"")</f>
        <v/>
      </c>
      <c r="V103" s="151" t="n">
        <f aca="false">IF(ISNUMBER(B103),IF(K103&gt;U103,I103*'13_Mapa_Liq'!$C$17,0),0)</f>
        <v>0</v>
      </c>
      <c r="W103" s="151" t="str">
        <f aca="false">IF(ISNUMBER(B103),B103*(1+1/'13_Mapa_Liq'!$B$17-'13_Mapa_Liq'!$B$6),"")</f>
        <v/>
      </c>
      <c r="X103" s="151" t="n">
        <f aca="false">IF(ISNUMBER(B103),IF(L103&lt;W103,J103*'13_Mapa_Liq'!$C$17,0),0)</f>
        <v>0</v>
      </c>
      <c r="Y103" s="151" t="str">
        <f aca="false">IF(ISNUMBER(B103),B103*(1-1/'13_Mapa_Liq'!$B$18+'13_Mapa_Liq'!$B$6),"")</f>
        <v/>
      </c>
      <c r="Z103" s="151" t="n">
        <f aca="false">IF(ISNUMBER(B103),IF(K103&gt;Y103,I103*'13_Mapa_Liq'!$C$18,0),0)</f>
        <v>0</v>
      </c>
      <c r="AA103" s="151" t="str">
        <f aca="false">IF(ISNUMBER(B103),B103*(1+1/'13_Mapa_Liq'!$B$18-'13_Mapa_Liq'!$B$6),"")</f>
        <v/>
      </c>
      <c r="AB103" s="151" t="n">
        <f aca="false">IF(ISNUMBER(B103),IF(L103&lt;AA103,J103*'13_Mapa_Liq'!$C$18,0),0)</f>
        <v>0</v>
      </c>
      <c r="AC103" s="151" t="str">
        <f aca="false">IF(ISNUMBER(B103),B103*(1-1/'13_Mapa_Liq'!$B$19+'13_Mapa_Liq'!$B$6),"")</f>
        <v/>
      </c>
      <c r="AD103" s="151" t="n">
        <f aca="false">IF(ISNUMBER(B103),IF(K103&gt;AC103,I103*'13_Mapa_Liq'!$C$19,0),0)</f>
        <v>0</v>
      </c>
      <c r="AE103" s="151" t="str">
        <f aca="false">IF(ISNUMBER(B103),B103*(1+1/'13_Mapa_Liq'!$B$19-'13_Mapa_Liq'!$B$6),"")</f>
        <v/>
      </c>
      <c r="AF103" s="151" t="n">
        <f aca="false">IF(ISNUMBER(B103),IF(L103&lt;AE103,J103*'13_Mapa_Liq'!$C$19,0),0)</f>
        <v>0</v>
      </c>
      <c r="AG103" s="151"/>
      <c r="AH103" s="151" t="n">
        <f aca="false">IF(ISNUMBER(B103),E103*F103*((K103&lt;=M103)*'13_Mapa_Liq'!$C$15+(K103&lt;=Q103)*'13_Mapa_Liq'!$C$16+(K103&lt;=U103)*'13_Mapa_Liq'!$C$17+(K103&lt;=Y103)*'13_Mapa_Liq'!$C$18+(K103&lt;=AC103)*'13_Mapa_Liq'!$C$19),0)</f>
        <v>0</v>
      </c>
      <c r="AI103" s="151" t="n">
        <f aca="false">IF(ISNUMBER(B103),E103*(1-F103)*((L103&gt;=O103)*'13_Mapa_Liq'!$C$15+(L103&gt;=S103)*'13_Mapa_Liq'!$C$16+(L103&gt;=W103)*'13_Mapa_Liq'!$C$17+(L103&gt;=AA103)*'13_Mapa_Liq'!$C$18+(L103&gt;=AE103)*'13_Mapa_Liq'!$C$19),0)</f>
        <v>0</v>
      </c>
    </row>
    <row r="104" customFormat="false" ht="15" hidden="false" customHeight="false" outlineLevel="0" collapsed="false">
      <c r="A104" s="151" t="str">
        <f aca="false">IF(ISNUMBER('12_Datos_5m'!F104),ROW()-4,"")</f>
        <v/>
      </c>
      <c r="B104" s="151" t="str">
        <f aca="false">IF(ISNUMBER('12_Datos_5m'!F104),'12_Datos_5m'!F104,"")</f>
        <v/>
      </c>
      <c r="C104" s="151" t="str">
        <f aca="false">IF(ISNUMBER('12_Datos_5m'!A104),'12_Datos_5m'!A104,"")</f>
        <v/>
      </c>
      <c r="D104" s="151" t="n">
        <f aca="false">IF(AND(ISNUMBER('12_Datos_5m'!I104),ISNUMBER('12_Datos_5m'!I103)),'12_Datos_5m'!I104-'12_Datos_5m'!I103,0)</f>
        <v>0</v>
      </c>
      <c r="E104" s="151" t="n">
        <f aca="false">MAX(0,D104)</f>
        <v>0</v>
      </c>
      <c r="F104" s="151" t="n">
        <f aca="false">IF(AND(ISNUMBER('12_Datos_5m'!G104),N('12_Datos_5m'!G104)&gt;0),'12_Datos_5m'!H104/'12_Datos_5m'!G104,0.5)</f>
        <v>0.5</v>
      </c>
      <c r="G104" s="151" t="n">
        <f aca="false">IF(ISNUMBER(C104),($C$2-C104)/3600000,0)</f>
        <v>0</v>
      </c>
      <c r="H104" s="151" t="n">
        <f aca="false">EXP(-G104/'13_Mapa_Liq'!$B$7)</f>
        <v>1</v>
      </c>
      <c r="I104" s="151" t="n">
        <f aca="false">E104*F104*H104</f>
        <v>0</v>
      </c>
      <c r="J104" s="151" t="n">
        <f aca="false">E104*(1-F104)*H104</f>
        <v>0</v>
      </c>
      <c r="K104" s="151" t="n">
        <f aca="false">IF(COUNT('12_Datos_5m'!E105:E$504)=0,1000000000000,MIN('12_Datos_5m'!E105:E$504))</f>
        <v>1000000000000</v>
      </c>
      <c r="L104" s="151" t="n">
        <f aca="false">IF(COUNT('12_Datos_5m'!D105:D$504)=0,0,MAX('12_Datos_5m'!D105:D$504))</f>
        <v>0</v>
      </c>
      <c r="M104" s="151" t="str">
        <f aca="false">IF(ISNUMBER(B104),B104*(1-1/'13_Mapa_Liq'!$B$15+'13_Mapa_Liq'!$B$6),"")</f>
        <v/>
      </c>
      <c r="N104" s="151" t="n">
        <f aca="false">IF(ISNUMBER(B104),IF(K104&gt;M104,I104*'13_Mapa_Liq'!$C$15,0),0)</f>
        <v>0</v>
      </c>
      <c r="O104" s="151" t="str">
        <f aca="false">IF(ISNUMBER(B104),B104*(1+1/'13_Mapa_Liq'!$B$15-'13_Mapa_Liq'!$B$6),"")</f>
        <v/>
      </c>
      <c r="P104" s="151" t="n">
        <f aca="false">IF(ISNUMBER(B104),IF(L104&lt;O104,J104*'13_Mapa_Liq'!$C$15,0),0)</f>
        <v>0</v>
      </c>
      <c r="Q104" s="151" t="str">
        <f aca="false">IF(ISNUMBER(B104),B104*(1-1/'13_Mapa_Liq'!$B$16+'13_Mapa_Liq'!$B$6),"")</f>
        <v/>
      </c>
      <c r="R104" s="151" t="n">
        <f aca="false">IF(ISNUMBER(B104),IF(K104&gt;Q104,I104*'13_Mapa_Liq'!$C$16,0),0)</f>
        <v>0</v>
      </c>
      <c r="S104" s="151" t="str">
        <f aca="false">IF(ISNUMBER(B104),B104*(1+1/'13_Mapa_Liq'!$B$16-'13_Mapa_Liq'!$B$6),"")</f>
        <v/>
      </c>
      <c r="T104" s="151" t="n">
        <f aca="false">IF(ISNUMBER(B104),IF(L104&lt;S104,J104*'13_Mapa_Liq'!$C$16,0),0)</f>
        <v>0</v>
      </c>
      <c r="U104" s="151" t="str">
        <f aca="false">IF(ISNUMBER(B104),B104*(1-1/'13_Mapa_Liq'!$B$17+'13_Mapa_Liq'!$B$6),"")</f>
        <v/>
      </c>
      <c r="V104" s="151" t="n">
        <f aca="false">IF(ISNUMBER(B104),IF(K104&gt;U104,I104*'13_Mapa_Liq'!$C$17,0),0)</f>
        <v>0</v>
      </c>
      <c r="W104" s="151" t="str">
        <f aca="false">IF(ISNUMBER(B104),B104*(1+1/'13_Mapa_Liq'!$B$17-'13_Mapa_Liq'!$B$6),"")</f>
        <v/>
      </c>
      <c r="X104" s="151" t="n">
        <f aca="false">IF(ISNUMBER(B104),IF(L104&lt;W104,J104*'13_Mapa_Liq'!$C$17,0),0)</f>
        <v>0</v>
      </c>
      <c r="Y104" s="151" t="str">
        <f aca="false">IF(ISNUMBER(B104),B104*(1-1/'13_Mapa_Liq'!$B$18+'13_Mapa_Liq'!$B$6),"")</f>
        <v/>
      </c>
      <c r="Z104" s="151" t="n">
        <f aca="false">IF(ISNUMBER(B104),IF(K104&gt;Y104,I104*'13_Mapa_Liq'!$C$18,0),0)</f>
        <v>0</v>
      </c>
      <c r="AA104" s="151" t="str">
        <f aca="false">IF(ISNUMBER(B104),B104*(1+1/'13_Mapa_Liq'!$B$18-'13_Mapa_Liq'!$B$6),"")</f>
        <v/>
      </c>
      <c r="AB104" s="151" t="n">
        <f aca="false">IF(ISNUMBER(B104),IF(L104&lt;AA104,J104*'13_Mapa_Liq'!$C$18,0),0)</f>
        <v>0</v>
      </c>
      <c r="AC104" s="151" t="str">
        <f aca="false">IF(ISNUMBER(B104),B104*(1-1/'13_Mapa_Liq'!$B$19+'13_Mapa_Liq'!$B$6),"")</f>
        <v/>
      </c>
      <c r="AD104" s="151" t="n">
        <f aca="false">IF(ISNUMBER(B104),IF(K104&gt;AC104,I104*'13_Mapa_Liq'!$C$19,0),0)</f>
        <v>0</v>
      </c>
      <c r="AE104" s="151" t="str">
        <f aca="false">IF(ISNUMBER(B104),B104*(1+1/'13_Mapa_Liq'!$B$19-'13_Mapa_Liq'!$B$6),"")</f>
        <v/>
      </c>
      <c r="AF104" s="151" t="n">
        <f aca="false">IF(ISNUMBER(B104),IF(L104&lt;AE104,J104*'13_Mapa_Liq'!$C$19,0),0)</f>
        <v>0</v>
      </c>
      <c r="AG104" s="151"/>
      <c r="AH104" s="151" t="n">
        <f aca="false">IF(ISNUMBER(B104),E104*F104*((K104&lt;=M104)*'13_Mapa_Liq'!$C$15+(K104&lt;=Q104)*'13_Mapa_Liq'!$C$16+(K104&lt;=U104)*'13_Mapa_Liq'!$C$17+(K104&lt;=Y104)*'13_Mapa_Liq'!$C$18+(K104&lt;=AC104)*'13_Mapa_Liq'!$C$19),0)</f>
        <v>0</v>
      </c>
      <c r="AI104" s="151" t="n">
        <f aca="false">IF(ISNUMBER(B104),E104*(1-F104)*((L104&gt;=O104)*'13_Mapa_Liq'!$C$15+(L104&gt;=S104)*'13_Mapa_Liq'!$C$16+(L104&gt;=W104)*'13_Mapa_Liq'!$C$17+(L104&gt;=AA104)*'13_Mapa_Liq'!$C$18+(L104&gt;=AE104)*'13_Mapa_Liq'!$C$19),0)</f>
        <v>0</v>
      </c>
    </row>
    <row r="105" customFormat="false" ht="15" hidden="false" customHeight="false" outlineLevel="0" collapsed="false">
      <c r="A105" s="151" t="str">
        <f aca="false">IF(ISNUMBER('12_Datos_5m'!F105),ROW()-4,"")</f>
        <v/>
      </c>
      <c r="B105" s="151" t="str">
        <f aca="false">IF(ISNUMBER('12_Datos_5m'!F105),'12_Datos_5m'!F105,"")</f>
        <v/>
      </c>
      <c r="C105" s="151" t="str">
        <f aca="false">IF(ISNUMBER('12_Datos_5m'!A105),'12_Datos_5m'!A105,"")</f>
        <v/>
      </c>
      <c r="D105" s="151" t="n">
        <f aca="false">IF(AND(ISNUMBER('12_Datos_5m'!I105),ISNUMBER('12_Datos_5m'!I104)),'12_Datos_5m'!I105-'12_Datos_5m'!I104,0)</f>
        <v>0</v>
      </c>
      <c r="E105" s="151" t="n">
        <f aca="false">MAX(0,D105)</f>
        <v>0</v>
      </c>
      <c r="F105" s="151" t="n">
        <f aca="false">IF(AND(ISNUMBER('12_Datos_5m'!G105),N('12_Datos_5m'!G105)&gt;0),'12_Datos_5m'!H105/'12_Datos_5m'!G105,0.5)</f>
        <v>0.5</v>
      </c>
      <c r="G105" s="151" t="n">
        <f aca="false">IF(ISNUMBER(C105),($C$2-C105)/3600000,0)</f>
        <v>0</v>
      </c>
      <c r="H105" s="151" t="n">
        <f aca="false">EXP(-G105/'13_Mapa_Liq'!$B$7)</f>
        <v>1</v>
      </c>
      <c r="I105" s="151" t="n">
        <f aca="false">E105*F105*H105</f>
        <v>0</v>
      </c>
      <c r="J105" s="151" t="n">
        <f aca="false">E105*(1-F105)*H105</f>
        <v>0</v>
      </c>
      <c r="K105" s="151" t="n">
        <f aca="false">IF(COUNT('12_Datos_5m'!E106:E$504)=0,1000000000000,MIN('12_Datos_5m'!E106:E$504))</f>
        <v>1000000000000</v>
      </c>
      <c r="L105" s="151" t="n">
        <f aca="false">IF(COUNT('12_Datos_5m'!D106:D$504)=0,0,MAX('12_Datos_5m'!D106:D$504))</f>
        <v>0</v>
      </c>
      <c r="M105" s="151" t="str">
        <f aca="false">IF(ISNUMBER(B105),B105*(1-1/'13_Mapa_Liq'!$B$15+'13_Mapa_Liq'!$B$6),"")</f>
        <v/>
      </c>
      <c r="N105" s="151" t="n">
        <f aca="false">IF(ISNUMBER(B105),IF(K105&gt;M105,I105*'13_Mapa_Liq'!$C$15,0),0)</f>
        <v>0</v>
      </c>
      <c r="O105" s="151" t="str">
        <f aca="false">IF(ISNUMBER(B105),B105*(1+1/'13_Mapa_Liq'!$B$15-'13_Mapa_Liq'!$B$6),"")</f>
        <v/>
      </c>
      <c r="P105" s="151" t="n">
        <f aca="false">IF(ISNUMBER(B105),IF(L105&lt;O105,J105*'13_Mapa_Liq'!$C$15,0),0)</f>
        <v>0</v>
      </c>
      <c r="Q105" s="151" t="str">
        <f aca="false">IF(ISNUMBER(B105),B105*(1-1/'13_Mapa_Liq'!$B$16+'13_Mapa_Liq'!$B$6),"")</f>
        <v/>
      </c>
      <c r="R105" s="151" t="n">
        <f aca="false">IF(ISNUMBER(B105),IF(K105&gt;Q105,I105*'13_Mapa_Liq'!$C$16,0),0)</f>
        <v>0</v>
      </c>
      <c r="S105" s="151" t="str">
        <f aca="false">IF(ISNUMBER(B105),B105*(1+1/'13_Mapa_Liq'!$B$16-'13_Mapa_Liq'!$B$6),"")</f>
        <v/>
      </c>
      <c r="T105" s="151" t="n">
        <f aca="false">IF(ISNUMBER(B105),IF(L105&lt;S105,J105*'13_Mapa_Liq'!$C$16,0),0)</f>
        <v>0</v>
      </c>
      <c r="U105" s="151" t="str">
        <f aca="false">IF(ISNUMBER(B105),B105*(1-1/'13_Mapa_Liq'!$B$17+'13_Mapa_Liq'!$B$6),"")</f>
        <v/>
      </c>
      <c r="V105" s="151" t="n">
        <f aca="false">IF(ISNUMBER(B105),IF(K105&gt;U105,I105*'13_Mapa_Liq'!$C$17,0),0)</f>
        <v>0</v>
      </c>
      <c r="W105" s="151" t="str">
        <f aca="false">IF(ISNUMBER(B105),B105*(1+1/'13_Mapa_Liq'!$B$17-'13_Mapa_Liq'!$B$6),"")</f>
        <v/>
      </c>
      <c r="X105" s="151" t="n">
        <f aca="false">IF(ISNUMBER(B105),IF(L105&lt;W105,J105*'13_Mapa_Liq'!$C$17,0),0)</f>
        <v>0</v>
      </c>
      <c r="Y105" s="151" t="str">
        <f aca="false">IF(ISNUMBER(B105),B105*(1-1/'13_Mapa_Liq'!$B$18+'13_Mapa_Liq'!$B$6),"")</f>
        <v/>
      </c>
      <c r="Z105" s="151" t="n">
        <f aca="false">IF(ISNUMBER(B105),IF(K105&gt;Y105,I105*'13_Mapa_Liq'!$C$18,0),0)</f>
        <v>0</v>
      </c>
      <c r="AA105" s="151" t="str">
        <f aca="false">IF(ISNUMBER(B105),B105*(1+1/'13_Mapa_Liq'!$B$18-'13_Mapa_Liq'!$B$6),"")</f>
        <v/>
      </c>
      <c r="AB105" s="151" t="n">
        <f aca="false">IF(ISNUMBER(B105),IF(L105&lt;AA105,J105*'13_Mapa_Liq'!$C$18,0),0)</f>
        <v>0</v>
      </c>
      <c r="AC105" s="151" t="str">
        <f aca="false">IF(ISNUMBER(B105),B105*(1-1/'13_Mapa_Liq'!$B$19+'13_Mapa_Liq'!$B$6),"")</f>
        <v/>
      </c>
      <c r="AD105" s="151" t="n">
        <f aca="false">IF(ISNUMBER(B105),IF(K105&gt;AC105,I105*'13_Mapa_Liq'!$C$19,0),0)</f>
        <v>0</v>
      </c>
      <c r="AE105" s="151" t="str">
        <f aca="false">IF(ISNUMBER(B105),B105*(1+1/'13_Mapa_Liq'!$B$19-'13_Mapa_Liq'!$B$6),"")</f>
        <v/>
      </c>
      <c r="AF105" s="151" t="n">
        <f aca="false">IF(ISNUMBER(B105),IF(L105&lt;AE105,J105*'13_Mapa_Liq'!$C$19,0),0)</f>
        <v>0</v>
      </c>
      <c r="AG105" s="151"/>
      <c r="AH105" s="151" t="n">
        <f aca="false">IF(ISNUMBER(B105),E105*F105*((K105&lt;=M105)*'13_Mapa_Liq'!$C$15+(K105&lt;=Q105)*'13_Mapa_Liq'!$C$16+(K105&lt;=U105)*'13_Mapa_Liq'!$C$17+(K105&lt;=Y105)*'13_Mapa_Liq'!$C$18+(K105&lt;=AC105)*'13_Mapa_Liq'!$C$19),0)</f>
        <v>0</v>
      </c>
      <c r="AI105" s="151" t="n">
        <f aca="false">IF(ISNUMBER(B105),E105*(1-F105)*((L105&gt;=O105)*'13_Mapa_Liq'!$C$15+(L105&gt;=S105)*'13_Mapa_Liq'!$C$16+(L105&gt;=W105)*'13_Mapa_Liq'!$C$17+(L105&gt;=AA105)*'13_Mapa_Liq'!$C$18+(L105&gt;=AE105)*'13_Mapa_Liq'!$C$19),0)</f>
        <v>0</v>
      </c>
    </row>
    <row r="106" customFormat="false" ht="15" hidden="false" customHeight="false" outlineLevel="0" collapsed="false">
      <c r="A106" s="151" t="str">
        <f aca="false">IF(ISNUMBER('12_Datos_5m'!F106),ROW()-4,"")</f>
        <v/>
      </c>
      <c r="B106" s="151" t="str">
        <f aca="false">IF(ISNUMBER('12_Datos_5m'!F106),'12_Datos_5m'!F106,"")</f>
        <v/>
      </c>
      <c r="C106" s="151" t="str">
        <f aca="false">IF(ISNUMBER('12_Datos_5m'!A106),'12_Datos_5m'!A106,"")</f>
        <v/>
      </c>
      <c r="D106" s="151" t="n">
        <f aca="false">IF(AND(ISNUMBER('12_Datos_5m'!I106),ISNUMBER('12_Datos_5m'!I105)),'12_Datos_5m'!I106-'12_Datos_5m'!I105,0)</f>
        <v>0</v>
      </c>
      <c r="E106" s="151" t="n">
        <f aca="false">MAX(0,D106)</f>
        <v>0</v>
      </c>
      <c r="F106" s="151" t="n">
        <f aca="false">IF(AND(ISNUMBER('12_Datos_5m'!G106),N('12_Datos_5m'!G106)&gt;0),'12_Datos_5m'!H106/'12_Datos_5m'!G106,0.5)</f>
        <v>0.5</v>
      </c>
      <c r="G106" s="151" t="n">
        <f aca="false">IF(ISNUMBER(C106),($C$2-C106)/3600000,0)</f>
        <v>0</v>
      </c>
      <c r="H106" s="151" t="n">
        <f aca="false">EXP(-G106/'13_Mapa_Liq'!$B$7)</f>
        <v>1</v>
      </c>
      <c r="I106" s="151" t="n">
        <f aca="false">E106*F106*H106</f>
        <v>0</v>
      </c>
      <c r="J106" s="151" t="n">
        <f aca="false">E106*(1-F106)*H106</f>
        <v>0</v>
      </c>
      <c r="K106" s="151" t="n">
        <f aca="false">IF(COUNT('12_Datos_5m'!E107:E$504)=0,1000000000000,MIN('12_Datos_5m'!E107:E$504))</f>
        <v>1000000000000</v>
      </c>
      <c r="L106" s="151" t="n">
        <f aca="false">IF(COUNT('12_Datos_5m'!D107:D$504)=0,0,MAX('12_Datos_5m'!D107:D$504))</f>
        <v>0</v>
      </c>
      <c r="M106" s="151" t="str">
        <f aca="false">IF(ISNUMBER(B106),B106*(1-1/'13_Mapa_Liq'!$B$15+'13_Mapa_Liq'!$B$6),"")</f>
        <v/>
      </c>
      <c r="N106" s="151" t="n">
        <f aca="false">IF(ISNUMBER(B106),IF(K106&gt;M106,I106*'13_Mapa_Liq'!$C$15,0),0)</f>
        <v>0</v>
      </c>
      <c r="O106" s="151" t="str">
        <f aca="false">IF(ISNUMBER(B106),B106*(1+1/'13_Mapa_Liq'!$B$15-'13_Mapa_Liq'!$B$6),"")</f>
        <v/>
      </c>
      <c r="P106" s="151" t="n">
        <f aca="false">IF(ISNUMBER(B106),IF(L106&lt;O106,J106*'13_Mapa_Liq'!$C$15,0),0)</f>
        <v>0</v>
      </c>
      <c r="Q106" s="151" t="str">
        <f aca="false">IF(ISNUMBER(B106),B106*(1-1/'13_Mapa_Liq'!$B$16+'13_Mapa_Liq'!$B$6),"")</f>
        <v/>
      </c>
      <c r="R106" s="151" t="n">
        <f aca="false">IF(ISNUMBER(B106),IF(K106&gt;Q106,I106*'13_Mapa_Liq'!$C$16,0),0)</f>
        <v>0</v>
      </c>
      <c r="S106" s="151" t="str">
        <f aca="false">IF(ISNUMBER(B106),B106*(1+1/'13_Mapa_Liq'!$B$16-'13_Mapa_Liq'!$B$6),"")</f>
        <v/>
      </c>
      <c r="T106" s="151" t="n">
        <f aca="false">IF(ISNUMBER(B106),IF(L106&lt;S106,J106*'13_Mapa_Liq'!$C$16,0),0)</f>
        <v>0</v>
      </c>
      <c r="U106" s="151" t="str">
        <f aca="false">IF(ISNUMBER(B106),B106*(1-1/'13_Mapa_Liq'!$B$17+'13_Mapa_Liq'!$B$6),"")</f>
        <v/>
      </c>
      <c r="V106" s="151" t="n">
        <f aca="false">IF(ISNUMBER(B106),IF(K106&gt;U106,I106*'13_Mapa_Liq'!$C$17,0),0)</f>
        <v>0</v>
      </c>
      <c r="W106" s="151" t="str">
        <f aca="false">IF(ISNUMBER(B106),B106*(1+1/'13_Mapa_Liq'!$B$17-'13_Mapa_Liq'!$B$6),"")</f>
        <v/>
      </c>
      <c r="X106" s="151" t="n">
        <f aca="false">IF(ISNUMBER(B106),IF(L106&lt;W106,J106*'13_Mapa_Liq'!$C$17,0),0)</f>
        <v>0</v>
      </c>
      <c r="Y106" s="151" t="str">
        <f aca="false">IF(ISNUMBER(B106),B106*(1-1/'13_Mapa_Liq'!$B$18+'13_Mapa_Liq'!$B$6),"")</f>
        <v/>
      </c>
      <c r="Z106" s="151" t="n">
        <f aca="false">IF(ISNUMBER(B106),IF(K106&gt;Y106,I106*'13_Mapa_Liq'!$C$18,0),0)</f>
        <v>0</v>
      </c>
      <c r="AA106" s="151" t="str">
        <f aca="false">IF(ISNUMBER(B106),B106*(1+1/'13_Mapa_Liq'!$B$18-'13_Mapa_Liq'!$B$6),"")</f>
        <v/>
      </c>
      <c r="AB106" s="151" t="n">
        <f aca="false">IF(ISNUMBER(B106),IF(L106&lt;AA106,J106*'13_Mapa_Liq'!$C$18,0),0)</f>
        <v>0</v>
      </c>
      <c r="AC106" s="151" t="str">
        <f aca="false">IF(ISNUMBER(B106),B106*(1-1/'13_Mapa_Liq'!$B$19+'13_Mapa_Liq'!$B$6),"")</f>
        <v/>
      </c>
      <c r="AD106" s="151" t="n">
        <f aca="false">IF(ISNUMBER(B106),IF(K106&gt;AC106,I106*'13_Mapa_Liq'!$C$19,0),0)</f>
        <v>0</v>
      </c>
      <c r="AE106" s="151" t="str">
        <f aca="false">IF(ISNUMBER(B106),B106*(1+1/'13_Mapa_Liq'!$B$19-'13_Mapa_Liq'!$B$6),"")</f>
        <v/>
      </c>
      <c r="AF106" s="151" t="n">
        <f aca="false">IF(ISNUMBER(B106),IF(L106&lt;AE106,J106*'13_Mapa_Liq'!$C$19,0),0)</f>
        <v>0</v>
      </c>
      <c r="AG106" s="151"/>
      <c r="AH106" s="151" t="n">
        <f aca="false">IF(ISNUMBER(B106),E106*F106*((K106&lt;=M106)*'13_Mapa_Liq'!$C$15+(K106&lt;=Q106)*'13_Mapa_Liq'!$C$16+(K106&lt;=U106)*'13_Mapa_Liq'!$C$17+(K106&lt;=Y106)*'13_Mapa_Liq'!$C$18+(K106&lt;=AC106)*'13_Mapa_Liq'!$C$19),0)</f>
        <v>0</v>
      </c>
      <c r="AI106" s="151" t="n">
        <f aca="false">IF(ISNUMBER(B106),E106*(1-F106)*((L106&gt;=O106)*'13_Mapa_Liq'!$C$15+(L106&gt;=S106)*'13_Mapa_Liq'!$C$16+(L106&gt;=W106)*'13_Mapa_Liq'!$C$17+(L106&gt;=AA106)*'13_Mapa_Liq'!$C$18+(L106&gt;=AE106)*'13_Mapa_Liq'!$C$19),0)</f>
        <v>0</v>
      </c>
    </row>
    <row r="107" customFormat="false" ht="15" hidden="false" customHeight="false" outlineLevel="0" collapsed="false">
      <c r="A107" s="151" t="str">
        <f aca="false">IF(ISNUMBER('12_Datos_5m'!F107),ROW()-4,"")</f>
        <v/>
      </c>
      <c r="B107" s="151" t="str">
        <f aca="false">IF(ISNUMBER('12_Datos_5m'!F107),'12_Datos_5m'!F107,"")</f>
        <v/>
      </c>
      <c r="C107" s="151" t="str">
        <f aca="false">IF(ISNUMBER('12_Datos_5m'!A107),'12_Datos_5m'!A107,"")</f>
        <v/>
      </c>
      <c r="D107" s="151" t="n">
        <f aca="false">IF(AND(ISNUMBER('12_Datos_5m'!I107),ISNUMBER('12_Datos_5m'!I106)),'12_Datos_5m'!I107-'12_Datos_5m'!I106,0)</f>
        <v>0</v>
      </c>
      <c r="E107" s="151" t="n">
        <f aca="false">MAX(0,D107)</f>
        <v>0</v>
      </c>
      <c r="F107" s="151" t="n">
        <f aca="false">IF(AND(ISNUMBER('12_Datos_5m'!G107),N('12_Datos_5m'!G107)&gt;0),'12_Datos_5m'!H107/'12_Datos_5m'!G107,0.5)</f>
        <v>0.5</v>
      </c>
      <c r="G107" s="151" t="n">
        <f aca="false">IF(ISNUMBER(C107),($C$2-C107)/3600000,0)</f>
        <v>0</v>
      </c>
      <c r="H107" s="151" t="n">
        <f aca="false">EXP(-G107/'13_Mapa_Liq'!$B$7)</f>
        <v>1</v>
      </c>
      <c r="I107" s="151" t="n">
        <f aca="false">E107*F107*H107</f>
        <v>0</v>
      </c>
      <c r="J107" s="151" t="n">
        <f aca="false">E107*(1-F107)*H107</f>
        <v>0</v>
      </c>
      <c r="K107" s="151" t="n">
        <f aca="false">IF(COUNT('12_Datos_5m'!E108:E$504)=0,1000000000000,MIN('12_Datos_5m'!E108:E$504))</f>
        <v>1000000000000</v>
      </c>
      <c r="L107" s="151" t="n">
        <f aca="false">IF(COUNT('12_Datos_5m'!D108:D$504)=0,0,MAX('12_Datos_5m'!D108:D$504))</f>
        <v>0</v>
      </c>
      <c r="M107" s="151" t="str">
        <f aca="false">IF(ISNUMBER(B107),B107*(1-1/'13_Mapa_Liq'!$B$15+'13_Mapa_Liq'!$B$6),"")</f>
        <v/>
      </c>
      <c r="N107" s="151" t="n">
        <f aca="false">IF(ISNUMBER(B107),IF(K107&gt;M107,I107*'13_Mapa_Liq'!$C$15,0),0)</f>
        <v>0</v>
      </c>
      <c r="O107" s="151" t="str">
        <f aca="false">IF(ISNUMBER(B107),B107*(1+1/'13_Mapa_Liq'!$B$15-'13_Mapa_Liq'!$B$6),"")</f>
        <v/>
      </c>
      <c r="P107" s="151" t="n">
        <f aca="false">IF(ISNUMBER(B107),IF(L107&lt;O107,J107*'13_Mapa_Liq'!$C$15,0),0)</f>
        <v>0</v>
      </c>
      <c r="Q107" s="151" t="str">
        <f aca="false">IF(ISNUMBER(B107),B107*(1-1/'13_Mapa_Liq'!$B$16+'13_Mapa_Liq'!$B$6),"")</f>
        <v/>
      </c>
      <c r="R107" s="151" t="n">
        <f aca="false">IF(ISNUMBER(B107),IF(K107&gt;Q107,I107*'13_Mapa_Liq'!$C$16,0),0)</f>
        <v>0</v>
      </c>
      <c r="S107" s="151" t="str">
        <f aca="false">IF(ISNUMBER(B107),B107*(1+1/'13_Mapa_Liq'!$B$16-'13_Mapa_Liq'!$B$6),"")</f>
        <v/>
      </c>
      <c r="T107" s="151" t="n">
        <f aca="false">IF(ISNUMBER(B107),IF(L107&lt;S107,J107*'13_Mapa_Liq'!$C$16,0),0)</f>
        <v>0</v>
      </c>
      <c r="U107" s="151" t="str">
        <f aca="false">IF(ISNUMBER(B107),B107*(1-1/'13_Mapa_Liq'!$B$17+'13_Mapa_Liq'!$B$6),"")</f>
        <v/>
      </c>
      <c r="V107" s="151" t="n">
        <f aca="false">IF(ISNUMBER(B107),IF(K107&gt;U107,I107*'13_Mapa_Liq'!$C$17,0),0)</f>
        <v>0</v>
      </c>
      <c r="W107" s="151" t="str">
        <f aca="false">IF(ISNUMBER(B107),B107*(1+1/'13_Mapa_Liq'!$B$17-'13_Mapa_Liq'!$B$6),"")</f>
        <v/>
      </c>
      <c r="X107" s="151" t="n">
        <f aca="false">IF(ISNUMBER(B107),IF(L107&lt;W107,J107*'13_Mapa_Liq'!$C$17,0),0)</f>
        <v>0</v>
      </c>
      <c r="Y107" s="151" t="str">
        <f aca="false">IF(ISNUMBER(B107),B107*(1-1/'13_Mapa_Liq'!$B$18+'13_Mapa_Liq'!$B$6),"")</f>
        <v/>
      </c>
      <c r="Z107" s="151" t="n">
        <f aca="false">IF(ISNUMBER(B107),IF(K107&gt;Y107,I107*'13_Mapa_Liq'!$C$18,0),0)</f>
        <v>0</v>
      </c>
      <c r="AA107" s="151" t="str">
        <f aca="false">IF(ISNUMBER(B107),B107*(1+1/'13_Mapa_Liq'!$B$18-'13_Mapa_Liq'!$B$6),"")</f>
        <v/>
      </c>
      <c r="AB107" s="151" t="n">
        <f aca="false">IF(ISNUMBER(B107),IF(L107&lt;AA107,J107*'13_Mapa_Liq'!$C$18,0),0)</f>
        <v>0</v>
      </c>
      <c r="AC107" s="151" t="str">
        <f aca="false">IF(ISNUMBER(B107),B107*(1-1/'13_Mapa_Liq'!$B$19+'13_Mapa_Liq'!$B$6),"")</f>
        <v/>
      </c>
      <c r="AD107" s="151" t="n">
        <f aca="false">IF(ISNUMBER(B107),IF(K107&gt;AC107,I107*'13_Mapa_Liq'!$C$19,0),0)</f>
        <v>0</v>
      </c>
      <c r="AE107" s="151" t="str">
        <f aca="false">IF(ISNUMBER(B107),B107*(1+1/'13_Mapa_Liq'!$B$19-'13_Mapa_Liq'!$B$6),"")</f>
        <v/>
      </c>
      <c r="AF107" s="151" t="n">
        <f aca="false">IF(ISNUMBER(B107),IF(L107&lt;AE107,J107*'13_Mapa_Liq'!$C$19,0),0)</f>
        <v>0</v>
      </c>
      <c r="AG107" s="151"/>
      <c r="AH107" s="151" t="n">
        <f aca="false">IF(ISNUMBER(B107),E107*F107*((K107&lt;=M107)*'13_Mapa_Liq'!$C$15+(K107&lt;=Q107)*'13_Mapa_Liq'!$C$16+(K107&lt;=U107)*'13_Mapa_Liq'!$C$17+(K107&lt;=Y107)*'13_Mapa_Liq'!$C$18+(K107&lt;=AC107)*'13_Mapa_Liq'!$C$19),0)</f>
        <v>0</v>
      </c>
      <c r="AI107" s="151" t="n">
        <f aca="false">IF(ISNUMBER(B107),E107*(1-F107)*((L107&gt;=O107)*'13_Mapa_Liq'!$C$15+(L107&gt;=S107)*'13_Mapa_Liq'!$C$16+(L107&gt;=W107)*'13_Mapa_Liq'!$C$17+(L107&gt;=AA107)*'13_Mapa_Liq'!$C$18+(L107&gt;=AE107)*'13_Mapa_Liq'!$C$19),0)</f>
        <v>0</v>
      </c>
    </row>
    <row r="108" customFormat="false" ht="15" hidden="false" customHeight="false" outlineLevel="0" collapsed="false">
      <c r="A108" s="151" t="str">
        <f aca="false">IF(ISNUMBER('12_Datos_5m'!F108),ROW()-4,"")</f>
        <v/>
      </c>
      <c r="B108" s="151" t="str">
        <f aca="false">IF(ISNUMBER('12_Datos_5m'!F108),'12_Datos_5m'!F108,"")</f>
        <v/>
      </c>
      <c r="C108" s="151" t="str">
        <f aca="false">IF(ISNUMBER('12_Datos_5m'!A108),'12_Datos_5m'!A108,"")</f>
        <v/>
      </c>
      <c r="D108" s="151" t="n">
        <f aca="false">IF(AND(ISNUMBER('12_Datos_5m'!I108),ISNUMBER('12_Datos_5m'!I107)),'12_Datos_5m'!I108-'12_Datos_5m'!I107,0)</f>
        <v>0</v>
      </c>
      <c r="E108" s="151" t="n">
        <f aca="false">MAX(0,D108)</f>
        <v>0</v>
      </c>
      <c r="F108" s="151" t="n">
        <f aca="false">IF(AND(ISNUMBER('12_Datos_5m'!G108),N('12_Datos_5m'!G108)&gt;0),'12_Datos_5m'!H108/'12_Datos_5m'!G108,0.5)</f>
        <v>0.5</v>
      </c>
      <c r="G108" s="151" t="n">
        <f aca="false">IF(ISNUMBER(C108),($C$2-C108)/3600000,0)</f>
        <v>0</v>
      </c>
      <c r="H108" s="151" t="n">
        <f aca="false">EXP(-G108/'13_Mapa_Liq'!$B$7)</f>
        <v>1</v>
      </c>
      <c r="I108" s="151" t="n">
        <f aca="false">E108*F108*H108</f>
        <v>0</v>
      </c>
      <c r="J108" s="151" t="n">
        <f aca="false">E108*(1-F108)*H108</f>
        <v>0</v>
      </c>
      <c r="K108" s="151" t="n">
        <f aca="false">IF(COUNT('12_Datos_5m'!E109:E$504)=0,1000000000000,MIN('12_Datos_5m'!E109:E$504))</f>
        <v>1000000000000</v>
      </c>
      <c r="L108" s="151" t="n">
        <f aca="false">IF(COUNT('12_Datos_5m'!D109:D$504)=0,0,MAX('12_Datos_5m'!D109:D$504))</f>
        <v>0</v>
      </c>
      <c r="M108" s="151" t="str">
        <f aca="false">IF(ISNUMBER(B108),B108*(1-1/'13_Mapa_Liq'!$B$15+'13_Mapa_Liq'!$B$6),"")</f>
        <v/>
      </c>
      <c r="N108" s="151" t="n">
        <f aca="false">IF(ISNUMBER(B108),IF(K108&gt;M108,I108*'13_Mapa_Liq'!$C$15,0),0)</f>
        <v>0</v>
      </c>
      <c r="O108" s="151" t="str">
        <f aca="false">IF(ISNUMBER(B108),B108*(1+1/'13_Mapa_Liq'!$B$15-'13_Mapa_Liq'!$B$6),"")</f>
        <v/>
      </c>
      <c r="P108" s="151" t="n">
        <f aca="false">IF(ISNUMBER(B108),IF(L108&lt;O108,J108*'13_Mapa_Liq'!$C$15,0),0)</f>
        <v>0</v>
      </c>
      <c r="Q108" s="151" t="str">
        <f aca="false">IF(ISNUMBER(B108),B108*(1-1/'13_Mapa_Liq'!$B$16+'13_Mapa_Liq'!$B$6),"")</f>
        <v/>
      </c>
      <c r="R108" s="151" t="n">
        <f aca="false">IF(ISNUMBER(B108),IF(K108&gt;Q108,I108*'13_Mapa_Liq'!$C$16,0),0)</f>
        <v>0</v>
      </c>
      <c r="S108" s="151" t="str">
        <f aca="false">IF(ISNUMBER(B108),B108*(1+1/'13_Mapa_Liq'!$B$16-'13_Mapa_Liq'!$B$6),"")</f>
        <v/>
      </c>
      <c r="T108" s="151" t="n">
        <f aca="false">IF(ISNUMBER(B108),IF(L108&lt;S108,J108*'13_Mapa_Liq'!$C$16,0),0)</f>
        <v>0</v>
      </c>
      <c r="U108" s="151" t="str">
        <f aca="false">IF(ISNUMBER(B108),B108*(1-1/'13_Mapa_Liq'!$B$17+'13_Mapa_Liq'!$B$6),"")</f>
        <v/>
      </c>
      <c r="V108" s="151" t="n">
        <f aca="false">IF(ISNUMBER(B108),IF(K108&gt;U108,I108*'13_Mapa_Liq'!$C$17,0),0)</f>
        <v>0</v>
      </c>
      <c r="W108" s="151" t="str">
        <f aca="false">IF(ISNUMBER(B108),B108*(1+1/'13_Mapa_Liq'!$B$17-'13_Mapa_Liq'!$B$6),"")</f>
        <v/>
      </c>
      <c r="X108" s="151" t="n">
        <f aca="false">IF(ISNUMBER(B108),IF(L108&lt;W108,J108*'13_Mapa_Liq'!$C$17,0),0)</f>
        <v>0</v>
      </c>
      <c r="Y108" s="151" t="str">
        <f aca="false">IF(ISNUMBER(B108),B108*(1-1/'13_Mapa_Liq'!$B$18+'13_Mapa_Liq'!$B$6),"")</f>
        <v/>
      </c>
      <c r="Z108" s="151" t="n">
        <f aca="false">IF(ISNUMBER(B108),IF(K108&gt;Y108,I108*'13_Mapa_Liq'!$C$18,0),0)</f>
        <v>0</v>
      </c>
      <c r="AA108" s="151" t="str">
        <f aca="false">IF(ISNUMBER(B108),B108*(1+1/'13_Mapa_Liq'!$B$18-'13_Mapa_Liq'!$B$6),"")</f>
        <v/>
      </c>
      <c r="AB108" s="151" t="n">
        <f aca="false">IF(ISNUMBER(B108),IF(L108&lt;AA108,J108*'13_Mapa_Liq'!$C$18,0),0)</f>
        <v>0</v>
      </c>
      <c r="AC108" s="151" t="str">
        <f aca="false">IF(ISNUMBER(B108),B108*(1-1/'13_Mapa_Liq'!$B$19+'13_Mapa_Liq'!$B$6),"")</f>
        <v/>
      </c>
      <c r="AD108" s="151" t="n">
        <f aca="false">IF(ISNUMBER(B108),IF(K108&gt;AC108,I108*'13_Mapa_Liq'!$C$19,0),0)</f>
        <v>0</v>
      </c>
      <c r="AE108" s="151" t="str">
        <f aca="false">IF(ISNUMBER(B108),B108*(1+1/'13_Mapa_Liq'!$B$19-'13_Mapa_Liq'!$B$6),"")</f>
        <v/>
      </c>
      <c r="AF108" s="151" t="n">
        <f aca="false">IF(ISNUMBER(B108),IF(L108&lt;AE108,J108*'13_Mapa_Liq'!$C$19,0),0)</f>
        <v>0</v>
      </c>
      <c r="AG108" s="151"/>
      <c r="AH108" s="151" t="n">
        <f aca="false">IF(ISNUMBER(B108),E108*F108*((K108&lt;=M108)*'13_Mapa_Liq'!$C$15+(K108&lt;=Q108)*'13_Mapa_Liq'!$C$16+(K108&lt;=U108)*'13_Mapa_Liq'!$C$17+(K108&lt;=Y108)*'13_Mapa_Liq'!$C$18+(K108&lt;=AC108)*'13_Mapa_Liq'!$C$19),0)</f>
        <v>0</v>
      </c>
      <c r="AI108" s="151" t="n">
        <f aca="false">IF(ISNUMBER(B108),E108*(1-F108)*((L108&gt;=O108)*'13_Mapa_Liq'!$C$15+(L108&gt;=S108)*'13_Mapa_Liq'!$C$16+(L108&gt;=W108)*'13_Mapa_Liq'!$C$17+(L108&gt;=AA108)*'13_Mapa_Liq'!$C$18+(L108&gt;=AE108)*'13_Mapa_Liq'!$C$19),0)</f>
        <v>0</v>
      </c>
    </row>
    <row r="109" customFormat="false" ht="15" hidden="false" customHeight="false" outlineLevel="0" collapsed="false">
      <c r="A109" s="151" t="str">
        <f aca="false">IF(ISNUMBER('12_Datos_5m'!F109),ROW()-4,"")</f>
        <v/>
      </c>
      <c r="B109" s="151" t="str">
        <f aca="false">IF(ISNUMBER('12_Datos_5m'!F109),'12_Datos_5m'!F109,"")</f>
        <v/>
      </c>
      <c r="C109" s="151" t="str">
        <f aca="false">IF(ISNUMBER('12_Datos_5m'!A109),'12_Datos_5m'!A109,"")</f>
        <v/>
      </c>
      <c r="D109" s="151" t="n">
        <f aca="false">IF(AND(ISNUMBER('12_Datos_5m'!I109),ISNUMBER('12_Datos_5m'!I108)),'12_Datos_5m'!I109-'12_Datos_5m'!I108,0)</f>
        <v>0</v>
      </c>
      <c r="E109" s="151" t="n">
        <f aca="false">MAX(0,D109)</f>
        <v>0</v>
      </c>
      <c r="F109" s="151" t="n">
        <f aca="false">IF(AND(ISNUMBER('12_Datos_5m'!G109),N('12_Datos_5m'!G109)&gt;0),'12_Datos_5m'!H109/'12_Datos_5m'!G109,0.5)</f>
        <v>0.5</v>
      </c>
      <c r="G109" s="151" t="n">
        <f aca="false">IF(ISNUMBER(C109),($C$2-C109)/3600000,0)</f>
        <v>0</v>
      </c>
      <c r="H109" s="151" t="n">
        <f aca="false">EXP(-G109/'13_Mapa_Liq'!$B$7)</f>
        <v>1</v>
      </c>
      <c r="I109" s="151" t="n">
        <f aca="false">E109*F109*H109</f>
        <v>0</v>
      </c>
      <c r="J109" s="151" t="n">
        <f aca="false">E109*(1-F109)*H109</f>
        <v>0</v>
      </c>
      <c r="K109" s="151" t="n">
        <f aca="false">IF(COUNT('12_Datos_5m'!E110:E$504)=0,1000000000000,MIN('12_Datos_5m'!E110:E$504))</f>
        <v>1000000000000</v>
      </c>
      <c r="L109" s="151" t="n">
        <f aca="false">IF(COUNT('12_Datos_5m'!D110:D$504)=0,0,MAX('12_Datos_5m'!D110:D$504))</f>
        <v>0</v>
      </c>
      <c r="M109" s="151" t="str">
        <f aca="false">IF(ISNUMBER(B109),B109*(1-1/'13_Mapa_Liq'!$B$15+'13_Mapa_Liq'!$B$6),"")</f>
        <v/>
      </c>
      <c r="N109" s="151" t="n">
        <f aca="false">IF(ISNUMBER(B109),IF(K109&gt;M109,I109*'13_Mapa_Liq'!$C$15,0),0)</f>
        <v>0</v>
      </c>
      <c r="O109" s="151" t="str">
        <f aca="false">IF(ISNUMBER(B109),B109*(1+1/'13_Mapa_Liq'!$B$15-'13_Mapa_Liq'!$B$6),"")</f>
        <v/>
      </c>
      <c r="P109" s="151" t="n">
        <f aca="false">IF(ISNUMBER(B109),IF(L109&lt;O109,J109*'13_Mapa_Liq'!$C$15,0),0)</f>
        <v>0</v>
      </c>
      <c r="Q109" s="151" t="str">
        <f aca="false">IF(ISNUMBER(B109),B109*(1-1/'13_Mapa_Liq'!$B$16+'13_Mapa_Liq'!$B$6),"")</f>
        <v/>
      </c>
      <c r="R109" s="151" t="n">
        <f aca="false">IF(ISNUMBER(B109),IF(K109&gt;Q109,I109*'13_Mapa_Liq'!$C$16,0),0)</f>
        <v>0</v>
      </c>
      <c r="S109" s="151" t="str">
        <f aca="false">IF(ISNUMBER(B109),B109*(1+1/'13_Mapa_Liq'!$B$16-'13_Mapa_Liq'!$B$6),"")</f>
        <v/>
      </c>
      <c r="T109" s="151" t="n">
        <f aca="false">IF(ISNUMBER(B109),IF(L109&lt;S109,J109*'13_Mapa_Liq'!$C$16,0),0)</f>
        <v>0</v>
      </c>
      <c r="U109" s="151" t="str">
        <f aca="false">IF(ISNUMBER(B109),B109*(1-1/'13_Mapa_Liq'!$B$17+'13_Mapa_Liq'!$B$6),"")</f>
        <v/>
      </c>
      <c r="V109" s="151" t="n">
        <f aca="false">IF(ISNUMBER(B109),IF(K109&gt;U109,I109*'13_Mapa_Liq'!$C$17,0),0)</f>
        <v>0</v>
      </c>
      <c r="W109" s="151" t="str">
        <f aca="false">IF(ISNUMBER(B109),B109*(1+1/'13_Mapa_Liq'!$B$17-'13_Mapa_Liq'!$B$6),"")</f>
        <v/>
      </c>
      <c r="X109" s="151" t="n">
        <f aca="false">IF(ISNUMBER(B109),IF(L109&lt;W109,J109*'13_Mapa_Liq'!$C$17,0),0)</f>
        <v>0</v>
      </c>
      <c r="Y109" s="151" t="str">
        <f aca="false">IF(ISNUMBER(B109),B109*(1-1/'13_Mapa_Liq'!$B$18+'13_Mapa_Liq'!$B$6),"")</f>
        <v/>
      </c>
      <c r="Z109" s="151" t="n">
        <f aca="false">IF(ISNUMBER(B109),IF(K109&gt;Y109,I109*'13_Mapa_Liq'!$C$18,0),0)</f>
        <v>0</v>
      </c>
      <c r="AA109" s="151" t="str">
        <f aca="false">IF(ISNUMBER(B109),B109*(1+1/'13_Mapa_Liq'!$B$18-'13_Mapa_Liq'!$B$6),"")</f>
        <v/>
      </c>
      <c r="AB109" s="151" t="n">
        <f aca="false">IF(ISNUMBER(B109),IF(L109&lt;AA109,J109*'13_Mapa_Liq'!$C$18,0),0)</f>
        <v>0</v>
      </c>
      <c r="AC109" s="151" t="str">
        <f aca="false">IF(ISNUMBER(B109),B109*(1-1/'13_Mapa_Liq'!$B$19+'13_Mapa_Liq'!$B$6),"")</f>
        <v/>
      </c>
      <c r="AD109" s="151" t="n">
        <f aca="false">IF(ISNUMBER(B109),IF(K109&gt;AC109,I109*'13_Mapa_Liq'!$C$19,0),0)</f>
        <v>0</v>
      </c>
      <c r="AE109" s="151" t="str">
        <f aca="false">IF(ISNUMBER(B109),B109*(1+1/'13_Mapa_Liq'!$B$19-'13_Mapa_Liq'!$B$6),"")</f>
        <v/>
      </c>
      <c r="AF109" s="151" t="n">
        <f aca="false">IF(ISNUMBER(B109),IF(L109&lt;AE109,J109*'13_Mapa_Liq'!$C$19,0),0)</f>
        <v>0</v>
      </c>
      <c r="AG109" s="151"/>
      <c r="AH109" s="151" t="n">
        <f aca="false">IF(ISNUMBER(B109),E109*F109*((K109&lt;=M109)*'13_Mapa_Liq'!$C$15+(K109&lt;=Q109)*'13_Mapa_Liq'!$C$16+(K109&lt;=U109)*'13_Mapa_Liq'!$C$17+(K109&lt;=Y109)*'13_Mapa_Liq'!$C$18+(K109&lt;=AC109)*'13_Mapa_Liq'!$C$19),0)</f>
        <v>0</v>
      </c>
      <c r="AI109" s="151" t="n">
        <f aca="false">IF(ISNUMBER(B109),E109*(1-F109)*((L109&gt;=O109)*'13_Mapa_Liq'!$C$15+(L109&gt;=S109)*'13_Mapa_Liq'!$C$16+(L109&gt;=W109)*'13_Mapa_Liq'!$C$17+(L109&gt;=AA109)*'13_Mapa_Liq'!$C$18+(L109&gt;=AE109)*'13_Mapa_Liq'!$C$19),0)</f>
        <v>0</v>
      </c>
    </row>
    <row r="110" customFormat="false" ht="15" hidden="false" customHeight="false" outlineLevel="0" collapsed="false">
      <c r="A110" s="151" t="str">
        <f aca="false">IF(ISNUMBER('12_Datos_5m'!F110),ROW()-4,"")</f>
        <v/>
      </c>
      <c r="B110" s="151" t="str">
        <f aca="false">IF(ISNUMBER('12_Datos_5m'!F110),'12_Datos_5m'!F110,"")</f>
        <v/>
      </c>
      <c r="C110" s="151" t="str">
        <f aca="false">IF(ISNUMBER('12_Datos_5m'!A110),'12_Datos_5m'!A110,"")</f>
        <v/>
      </c>
      <c r="D110" s="151" t="n">
        <f aca="false">IF(AND(ISNUMBER('12_Datos_5m'!I110),ISNUMBER('12_Datos_5m'!I109)),'12_Datos_5m'!I110-'12_Datos_5m'!I109,0)</f>
        <v>0</v>
      </c>
      <c r="E110" s="151" t="n">
        <f aca="false">MAX(0,D110)</f>
        <v>0</v>
      </c>
      <c r="F110" s="151" t="n">
        <f aca="false">IF(AND(ISNUMBER('12_Datos_5m'!G110),N('12_Datos_5m'!G110)&gt;0),'12_Datos_5m'!H110/'12_Datos_5m'!G110,0.5)</f>
        <v>0.5</v>
      </c>
      <c r="G110" s="151" t="n">
        <f aca="false">IF(ISNUMBER(C110),($C$2-C110)/3600000,0)</f>
        <v>0</v>
      </c>
      <c r="H110" s="151" t="n">
        <f aca="false">EXP(-G110/'13_Mapa_Liq'!$B$7)</f>
        <v>1</v>
      </c>
      <c r="I110" s="151" t="n">
        <f aca="false">E110*F110*H110</f>
        <v>0</v>
      </c>
      <c r="J110" s="151" t="n">
        <f aca="false">E110*(1-F110)*H110</f>
        <v>0</v>
      </c>
      <c r="K110" s="151" t="n">
        <f aca="false">IF(COUNT('12_Datos_5m'!E111:E$504)=0,1000000000000,MIN('12_Datos_5m'!E111:E$504))</f>
        <v>1000000000000</v>
      </c>
      <c r="L110" s="151" t="n">
        <f aca="false">IF(COUNT('12_Datos_5m'!D111:D$504)=0,0,MAX('12_Datos_5m'!D111:D$504))</f>
        <v>0</v>
      </c>
      <c r="M110" s="151" t="str">
        <f aca="false">IF(ISNUMBER(B110),B110*(1-1/'13_Mapa_Liq'!$B$15+'13_Mapa_Liq'!$B$6),"")</f>
        <v/>
      </c>
      <c r="N110" s="151" t="n">
        <f aca="false">IF(ISNUMBER(B110),IF(K110&gt;M110,I110*'13_Mapa_Liq'!$C$15,0),0)</f>
        <v>0</v>
      </c>
      <c r="O110" s="151" t="str">
        <f aca="false">IF(ISNUMBER(B110),B110*(1+1/'13_Mapa_Liq'!$B$15-'13_Mapa_Liq'!$B$6),"")</f>
        <v/>
      </c>
      <c r="P110" s="151" t="n">
        <f aca="false">IF(ISNUMBER(B110),IF(L110&lt;O110,J110*'13_Mapa_Liq'!$C$15,0),0)</f>
        <v>0</v>
      </c>
      <c r="Q110" s="151" t="str">
        <f aca="false">IF(ISNUMBER(B110),B110*(1-1/'13_Mapa_Liq'!$B$16+'13_Mapa_Liq'!$B$6),"")</f>
        <v/>
      </c>
      <c r="R110" s="151" t="n">
        <f aca="false">IF(ISNUMBER(B110),IF(K110&gt;Q110,I110*'13_Mapa_Liq'!$C$16,0),0)</f>
        <v>0</v>
      </c>
      <c r="S110" s="151" t="str">
        <f aca="false">IF(ISNUMBER(B110),B110*(1+1/'13_Mapa_Liq'!$B$16-'13_Mapa_Liq'!$B$6),"")</f>
        <v/>
      </c>
      <c r="T110" s="151" t="n">
        <f aca="false">IF(ISNUMBER(B110),IF(L110&lt;S110,J110*'13_Mapa_Liq'!$C$16,0),0)</f>
        <v>0</v>
      </c>
      <c r="U110" s="151" t="str">
        <f aca="false">IF(ISNUMBER(B110),B110*(1-1/'13_Mapa_Liq'!$B$17+'13_Mapa_Liq'!$B$6),"")</f>
        <v/>
      </c>
      <c r="V110" s="151" t="n">
        <f aca="false">IF(ISNUMBER(B110),IF(K110&gt;U110,I110*'13_Mapa_Liq'!$C$17,0),0)</f>
        <v>0</v>
      </c>
      <c r="W110" s="151" t="str">
        <f aca="false">IF(ISNUMBER(B110),B110*(1+1/'13_Mapa_Liq'!$B$17-'13_Mapa_Liq'!$B$6),"")</f>
        <v/>
      </c>
      <c r="X110" s="151" t="n">
        <f aca="false">IF(ISNUMBER(B110),IF(L110&lt;W110,J110*'13_Mapa_Liq'!$C$17,0),0)</f>
        <v>0</v>
      </c>
      <c r="Y110" s="151" t="str">
        <f aca="false">IF(ISNUMBER(B110),B110*(1-1/'13_Mapa_Liq'!$B$18+'13_Mapa_Liq'!$B$6),"")</f>
        <v/>
      </c>
      <c r="Z110" s="151" t="n">
        <f aca="false">IF(ISNUMBER(B110),IF(K110&gt;Y110,I110*'13_Mapa_Liq'!$C$18,0),0)</f>
        <v>0</v>
      </c>
      <c r="AA110" s="151" t="str">
        <f aca="false">IF(ISNUMBER(B110),B110*(1+1/'13_Mapa_Liq'!$B$18-'13_Mapa_Liq'!$B$6),"")</f>
        <v/>
      </c>
      <c r="AB110" s="151" t="n">
        <f aca="false">IF(ISNUMBER(B110),IF(L110&lt;AA110,J110*'13_Mapa_Liq'!$C$18,0),0)</f>
        <v>0</v>
      </c>
      <c r="AC110" s="151" t="str">
        <f aca="false">IF(ISNUMBER(B110),B110*(1-1/'13_Mapa_Liq'!$B$19+'13_Mapa_Liq'!$B$6),"")</f>
        <v/>
      </c>
      <c r="AD110" s="151" t="n">
        <f aca="false">IF(ISNUMBER(B110),IF(K110&gt;AC110,I110*'13_Mapa_Liq'!$C$19,0),0)</f>
        <v>0</v>
      </c>
      <c r="AE110" s="151" t="str">
        <f aca="false">IF(ISNUMBER(B110),B110*(1+1/'13_Mapa_Liq'!$B$19-'13_Mapa_Liq'!$B$6),"")</f>
        <v/>
      </c>
      <c r="AF110" s="151" t="n">
        <f aca="false">IF(ISNUMBER(B110),IF(L110&lt;AE110,J110*'13_Mapa_Liq'!$C$19,0),0)</f>
        <v>0</v>
      </c>
      <c r="AG110" s="151"/>
      <c r="AH110" s="151" t="n">
        <f aca="false">IF(ISNUMBER(B110),E110*F110*((K110&lt;=M110)*'13_Mapa_Liq'!$C$15+(K110&lt;=Q110)*'13_Mapa_Liq'!$C$16+(K110&lt;=U110)*'13_Mapa_Liq'!$C$17+(K110&lt;=Y110)*'13_Mapa_Liq'!$C$18+(K110&lt;=AC110)*'13_Mapa_Liq'!$C$19),0)</f>
        <v>0</v>
      </c>
      <c r="AI110" s="151" t="n">
        <f aca="false">IF(ISNUMBER(B110),E110*(1-F110)*((L110&gt;=O110)*'13_Mapa_Liq'!$C$15+(L110&gt;=S110)*'13_Mapa_Liq'!$C$16+(L110&gt;=W110)*'13_Mapa_Liq'!$C$17+(L110&gt;=AA110)*'13_Mapa_Liq'!$C$18+(L110&gt;=AE110)*'13_Mapa_Liq'!$C$19),0)</f>
        <v>0</v>
      </c>
    </row>
    <row r="111" customFormat="false" ht="15" hidden="false" customHeight="false" outlineLevel="0" collapsed="false">
      <c r="A111" s="151" t="str">
        <f aca="false">IF(ISNUMBER('12_Datos_5m'!F111),ROW()-4,"")</f>
        <v/>
      </c>
      <c r="B111" s="151" t="str">
        <f aca="false">IF(ISNUMBER('12_Datos_5m'!F111),'12_Datos_5m'!F111,"")</f>
        <v/>
      </c>
      <c r="C111" s="151" t="str">
        <f aca="false">IF(ISNUMBER('12_Datos_5m'!A111),'12_Datos_5m'!A111,"")</f>
        <v/>
      </c>
      <c r="D111" s="151" t="n">
        <f aca="false">IF(AND(ISNUMBER('12_Datos_5m'!I111),ISNUMBER('12_Datos_5m'!I110)),'12_Datos_5m'!I111-'12_Datos_5m'!I110,0)</f>
        <v>0</v>
      </c>
      <c r="E111" s="151" t="n">
        <f aca="false">MAX(0,D111)</f>
        <v>0</v>
      </c>
      <c r="F111" s="151" t="n">
        <f aca="false">IF(AND(ISNUMBER('12_Datos_5m'!G111),N('12_Datos_5m'!G111)&gt;0),'12_Datos_5m'!H111/'12_Datos_5m'!G111,0.5)</f>
        <v>0.5</v>
      </c>
      <c r="G111" s="151" t="n">
        <f aca="false">IF(ISNUMBER(C111),($C$2-C111)/3600000,0)</f>
        <v>0</v>
      </c>
      <c r="H111" s="151" t="n">
        <f aca="false">EXP(-G111/'13_Mapa_Liq'!$B$7)</f>
        <v>1</v>
      </c>
      <c r="I111" s="151" t="n">
        <f aca="false">E111*F111*H111</f>
        <v>0</v>
      </c>
      <c r="J111" s="151" t="n">
        <f aca="false">E111*(1-F111)*H111</f>
        <v>0</v>
      </c>
      <c r="K111" s="151" t="n">
        <f aca="false">IF(COUNT('12_Datos_5m'!E112:E$504)=0,1000000000000,MIN('12_Datos_5m'!E112:E$504))</f>
        <v>1000000000000</v>
      </c>
      <c r="L111" s="151" t="n">
        <f aca="false">IF(COUNT('12_Datos_5m'!D112:D$504)=0,0,MAX('12_Datos_5m'!D112:D$504))</f>
        <v>0</v>
      </c>
      <c r="M111" s="151" t="str">
        <f aca="false">IF(ISNUMBER(B111),B111*(1-1/'13_Mapa_Liq'!$B$15+'13_Mapa_Liq'!$B$6),"")</f>
        <v/>
      </c>
      <c r="N111" s="151" t="n">
        <f aca="false">IF(ISNUMBER(B111),IF(K111&gt;M111,I111*'13_Mapa_Liq'!$C$15,0),0)</f>
        <v>0</v>
      </c>
      <c r="O111" s="151" t="str">
        <f aca="false">IF(ISNUMBER(B111),B111*(1+1/'13_Mapa_Liq'!$B$15-'13_Mapa_Liq'!$B$6),"")</f>
        <v/>
      </c>
      <c r="P111" s="151" t="n">
        <f aca="false">IF(ISNUMBER(B111),IF(L111&lt;O111,J111*'13_Mapa_Liq'!$C$15,0),0)</f>
        <v>0</v>
      </c>
      <c r="Q111" s="151" t="str">
        <f aca="false">IF(ISNUMBER(B111),B111*(1-1/'13_Mapa_Liq'!$B$16+'13_Mapa_Liq'!$B$6),"")</f>
        <v/>
      </c>
      <c r="R111" s="151" t="n">
        <f aca="false">IF(ISNUMBER(B111),IF(K111&gt;Q111,I111*'13_Mapa_Liq'!$C$16,0),0)</f>
        <v>0</v>
      </c>
      <c r="S111" s="151" t="str">
        <f aca="false">IF(ISNUMBER(B111),B111*(1+1/'13_Mapa_Liq'!$B$16-'13_Mapa_Liq'!$B$6),"")</f>
        <v/>
      </c>
      <c r="T111" s="151" t="n">
        <f aca="false">IF(ISNUMBER(B111),IF(L111&lt;S111,J111*'13_Mapa_Liq'!$C$16,0),0)</f>
        <v>0</v>
      </c>
      <c r="U111" s="151" t="str">
        <f aca="false">IF(ISNUMBER(B111),B111*(1-1/'13_Mapa_Liq'!$B$17+'13_Mapa_Liq'!$B$6),"")</f>
        <v/>
      </c>
      <c r="V111" s="151" t="n">
        <f aca="false">IF(ISNUMBER(B111),IF(K111&gt;U111,I111*'13_Mapa_Liq'!$C$17,0),0)</f>
        <v>0</v>
      </c>
      <c r="W111" s="151" t="str">
        <f aca="false">IF(ISNUMBER(B111),B111*(1+1/'13_Mapa_Liq'!$B$17-'13_Mapa_Liq'!$B$6),"")</f>
        <v/>
      </c>
      <c r="X111" s="151" t="n">
        <f aca="false">IF(ISNUMBER(B111),IF(L111&lt;W111,J111*'13_Mapa_Liq'!$C$17,0),0)</f>
        <v>0</v>
      </c>
      <c r="Y111" s="151" t="str">
        <f aca="false">IF(ISNUMBER(B111),B111*(1-1/'13_Mapa_Liq'!$B$18+'13_Mapa_Liq'!$B$6),"")</f>
        <v/>
      </c>
      <c r="Z111" s="151" t="n">
        <f aca="false">IF(ISNUMBER(B111),IF(K111&gt;Y111,I111*'13_Mapa_Liq'!$C$18,0),0)</f>
        <v>0</v>
      </c>
      <c r="AA111" s="151" t="str">
        <f aca="false">IF(ISNUMBER(B111),B111*(1+1/'13_Mapa_Liq'!$B$18-'13_Mapa_Liq'!$B$6),"")</f>
        <v/>
      </c>
      <c r="AB111" s="151" t="n">
        <f aca="false">IF(ISNUMBER(B111),IF(L111&lt;AA111,J111*'13_Mapa_Liq'!$C$18,0),0)</f>
        <v>0</v>
      </c>
      <c r="AC111" s="151" t="str">
        <f aca="false">IF(ISNUMBER(B111),B111*(1-1/'13_Mapa_Liq'!$B$19+'13_Mapa_Liq'!$B$6),"")</f>
        <v/>
      </c>
      <c r="AD111" s="151" t="n">
        <f aca="false">IF(ISNUMBER(B111),IF(K111&gt;AC111,I111*'13_Mapa_Liq'!$C$19,0),0)</f>
        <v>0</v>
      </c>
      <c r="AE111" s="151" t="str">
        <f aca="false">IF(ISNUMBER(B111),B111*(1+1/'13_Mapa_Liq'!$B$19-'13_Mapa_Liq'!$B$6),"")</f>
        <v/>
      </c>
      <c r="AF111" s="151" t="n">
        <f aca="false">IF(ISNUMBER(B111),IF(L111&lt;AE111,J111*'13_Mapa_Liq'!$C$19,0),0)</f>
        <v>0</v>
      </c>
      <c r="AG111" s="151"/>
      <c r="AH111" s="151" t="n">
        <f aca="false">IF(ISNUMBER(B111),E111*F111*((K111&lt;=M111)*'13_Mapa_Liq'!$C$15+(K111&lt;=Q111)*'13_Mapa_Liq'!$C$16+(K111&lt;=U111)*'13_Mapa_Liq'!$C$17+(K111&lt;=Y111)*'13_Mapa_Liq'!$C$18+(K111&lt;=AC111)*'13_Mapa_Liq'!$C$19),0)</f>
        <v>0</v>
      </c>
      <c r="AI111" s="151" t="n">
        <f aca="false">IF(ISNUMBER(B111),E111*(1-F111)*((L111&gt;=O111)*'13_Mapa_Liq'!$C$15+(L111&gt;=S111)*'13_Mapa_Liq'!$C$16+(L111&gt;=W111)*'13_Mapa_Liq'!$C$17+(L111&gt;=AA111)*'13_Mapa_Liq'!$C$18+(L111&gt;=AE111)*'13_Mapa_Liq'!$C$19),0)</f>
        <v>0</v>
      </c>
    </row>
    <row r="112" customFormat="false" ht="15" hidden="false" customHeight="false" outlineLevel="0" collapsed="false">
      <c r="A112" s="151" t="str">
        <f aca="false">IF(ISNUMBER('12_Datos_5m'!F112),ROW()-4,"")</f>
        <v/>
      </c>
      <c r="B112" s="151" t="str">
        <f aca="false">IF(ISNUMBER('12_Datos_5m'!F112),'12_Datos_5m'!F112,"")</f>
        <v/>
      </c>
      <c r="C112" s="151" t="str">
        <f aca="false">IF(ISNUMBER('12_Datos_5m'!A112),'12_Datos_5m'!A112,"")</f>
        <v/>
      </c>
      <c r="D112" s="151" t="n">
        <f aca="false">IF(AND(ISNUMBER('12_Datos_5m'!I112),ISNUMBER('12_Datos_5m'!I111)),'12_Datos_5m'!I112-'12_Datos_5m'!I111,0)</f>
        <v>0</v>
      </c>
      <c r="E112" s="151" t="n">
        <f aca="false">MAX(0,D112)</f>
        <v>0</v>
      </c>
      <c r="F112" s="151" t="n">
        <f aca="false">IF(AND(ISNUMBER('12_Datos_5m'!G112),N('12_Datos_5m'!G112)&gt;0),'12_Datos_5m'!H112/'12_Datos_5m'!G112,0.5)</f>
        <v>0.5</v>
      </c>
      <c r="G112" s="151" t="n">
        <f aca="false">IF(ISNUMBER(C112),($C$2-C112)/3600000,0)</f>
        <v>0</v>
      </c>
      <c r="H112" s="151" t="n">
        <f aca="false">EXP(-G112/'13_Mapa_Liq'!$B$7)</f>
        <v>1</v>
      </c>
      <c r="I112" s="151" t="n">
        <f aca="false">E112*F112*H112</f>
        <v>0</v>
      </c>
      <c r="J112" s="151" t="n">
        <f aca="false">E112*(1-F112)*H112</f>
        <v>0</v>
      </c>
      <c r="K112" s="151" t="n">
        <f aca="false">IF(COUNT('12_Datos_5m'!E113:E$504)=0,1000000000000,MIN('12_Datos_5m'!E113:E$504))</f>
        <v>1000000000000</v>
      </c>
      <c r="L112" s="151" t="n">
        <f aca="false">IF(COUNT('12_Datos_5m'!D113:D$504)=0,0,MAX('12_Datos_5m'!D113:D$504))</f>
        <v>0</v>
      </c>
      <c r="M112" s="151" t="str">
        <f aca="false">IF(ISNUMBER(B112),B112*(1-1/'13_Mapa_Liq'!$B$15+'13_Mapa_Liq'!$B$6),"")</f>
        <v/>
      </c>
      <c r="N112" s="151" t="n">
        <f aca="false">IF(ISNUMBER(B112),IF(K112&gt;M112,I112*'13_Mapa_Liq'!$C$15,0),0)</f>
        <v>0</v>
      </c>
      <c r="O112" s="151" t="str">
        <f aca="false">IF(ISNUMBER(B112),B112*(1+1/'13_Mapa_Liq'!$B$15-'13_Mapa_Liq'!$B$6),"")</f>
        <v/>
      </c>
      <c r="P112" s="151" t="n">
        <f aca="false">IF(ISNUMBER(B112),IF(L112&lt;O112,J112*'13_Mapa_Liq'!$C$15,0),0)</f>
        <v>0</v>
      </c>
      <c r="Q112" s="151" t="str">
        <f aca="false">IF(ISNUMBER(B112),B112*(1-1/'13_Mapa_Liq'!$B$16+'13_Mapa_Liq'!$B$6),"")</f>
        <v/>
      </c>
      <c r="R112" s="151" t="n">
        <f aca="false">IF(ISNUMBER(B112),IF(K112&gt;Q112,I112*'13_Mapa_Liq'!$C$16,0),0)</f>
        <v>0</v>
      </c>
      <c r="S112" s="151" t="str">
        <f aca="false">IF(ISNUMBER(B112),B112*(1+1/'13_Mapa_Liq'!$B$16-'13_Mapa_Liq'!$B$6),"")</f>
        <v/>
      </c>
      <c r="T112" s="151" t="n">
        <f aca="false">IF(ISNUMBER(B112),IF(L112&lt;S112,J112*'13_Mapa_Liq'!$C$16,0),0)</f>
        <v>0</v>
      </c>
      <c r="U112" s="151" t="str">
        <f aca="false">IF(ISNUMBER(B112),B112*(1-1/'13_Mapa_Liq'!$B$17+'13_Mapa_Liq'!$B$6),"")</f>
        <v/>
      </c>
      <c r="V112" s="151" t="n">
        <f aca="false">IF(ISNUMBER(B112),IF(K112&gt;U112,I112*'13_Mapa_Liq'!$C$17,0),0)</f>
        <v>0</v>
      </c>
      <c r="W112" s="151" t="str">
        <f aca="false">IF(ISNUMBER(B112),B112*(1+1/'13_Mapa_Liq'!$B$17-'13_Mapa_Liq'!$B$6),"")</f>
        <v/>
      </c>
      <c r="X112" s="151" t="n">
        <f aca="false">IF(ISNUMBER(B112),IF(L112&lt;W112,J112*'13_Mapa_Liq'!$C$17,0),0)</f>
        <v>0</v>
      </c>
      <c r="Y112" s="151" t="str">
        <f aca="false">IF(ISNUMBER(B112),B112*(1-1/'13_Mapa_Liq'!$B$18+'13_Mapa_Liq'!$B$6),"")</f>
        <v/>
      </c>
      <c r="Z112" s="151" t="n">
        <f aca="false">IF(ISNUMBER(B112),IF(K112&gt;Y112,I112*'13_Mapa_Liq'!$C$18,0),0)</f>
        <v>0</v>
      </c>
      <c r="AA112" s="151" t="str">
        <f aca="false">IF(ISNUMBER(B112),B112*(1+1/'13_Mapa_Liq'!$B$18-'13_Mapa_Liq'!$B$6),"")</f>
        <v/>
      </c>
      <c r="AB112" s="151" t="n">
        <f aca="false">IF(ISNUMBER(B112),IF(L112&lt;AA112,J112*'13_Mapa_Liq'!$C$18,0),0)</f>
        <v>0</v>
      </c>
      <c r="AC112" s="151" t="str">
        <f aca="false">IF(ISNUMBER(B112),B112*(1-1/'13_Mapa_Liq'!$B$19+'13_Mapa_Liq'!$B$6),"")</f>
        <v/>
      </c>
      <c r="AD112" s="151" t="n">
        <f aca="false">IF(ISNUMBER(B112),IF(K112&gt;AC112,I112*'13_Mapa_Liq'!$C$19,0),0)</f>
        <v>0</v>
      </c>
      <c r="AE112" s="151" t="str">
        <f aca="false">IF(ISNUMBER(B112),B112*(1+1/'13_Mapa_Liq'!$B$19-'13_Mapa_Liq'!$B$6),"")</f>
        <v/>
      </c>
      <c r="AF112" s="151" t="n">
        <f aca="false">IF(ISNUMBER(B112),IF(L112&lt;AE112,J112*'13_Mapa_Liq'!$C$19,0),0)</f>
        <v>0</v>
      </c>
      <c r="AG112" s="151"/>
      <c r="AH112" s="151" t="n">
        <f aca="false">IF(ISNUMBER(B112),E112*F112*((K112&lt;=M112)*'13_Mapa_Liq'!$C$15+(K112&lt;=Q112)*'13_Mapa_Liq'!$C$16+(K112&lt;=U112)*'13_Mapa_Liq'!$C$17+(K112&lt;=Y112)*'13_Mapa_Liq'!$C$18+(K112&lt;=AC112)*'13_Mapa_Liq'!$C$19),0)</f>
        <v>0</v>
      </c>
      <c r="AI112" s="151" t="n">
        <f aca="false">IF(ISNUMBER(B112),E112*(1-F112)*((L112&gt;=O112)*'13_Mapa_Liq'!$C$15+(L112&gt;=S112)*'13_Mapa_Liq'!$C$16+(L112&gt;=W112)*'13_Mapa_Liq'!$C$17+(L112&gt;=AA112)*'13_Mapa_Liq'!$C$18+(L112&gt;=AE112)*'13_Mapa_Liq'!$C$19),0)</f>
        <v>0</v>
      </c>
    </row>
    <row r="113" customFormat="false" ht="15" hidden="false" customHeight="false" outlineLevel="0" collapsed="false">
      <c r="A113" s="151" t="str">
        <f aca="false">IF(ISNUMBER('12_Datos_5m'!F113),ROW()-4,"")</f>
        <v/>
      </c>
      <c r="B113" s="151" t="str">
        <f aca="false">IF(ISNUMBER('12_Datos_5m'!F113),'12_Datos_5m'!F113,"")</f>
        <v/>
      </c>
      <c r="C113" s="151" t="str">
        <f aca="false">IF(ISNUMBER('12_Datos_5m'!A113),'12_Datos_5m'!A113,"")</f>
        <v/>
      </c>
      <c r="D113" s="151" t="n">
        <f aca="false">IF(AND(ISNUMBER('12_Datos_5m'!I113),ISNUMBER('12_Datos_5m'!I112)),'12_Datos_5m'!I113-'12_Datos_5m'!I112,0)</f>
        <v>0</v>
      </c>
      <c r="E113" s="151" t="n">
        <f aca="false">MAX(0,D113)</f>
        <v>0</v>
      </c>
      <c r="F113" s="151" t="n">
        <f aca="false">IF(AND(ISNUMBER('12_Datos_5m'!G113),N('12_Datos_5m'!G113)&gt;0),'12_Datos_5m'!H113/'12_Datos_5m'!G113,0.5)</f>
        <v>0.5</v>
      </c>
      <c r="G113" s="151" t="n">
        <f aca="false">IF(ISNUMBER(C113),($C$2-C113)/3600000,0)</f>
        <v>0</v>
      </c>
      <c r="H113" s="151" t="n">
        <f aca="false">EXP(-G113/'13_Mapa_Liq'!$B$7)</f>
        <v>1</v>
      </c>
      <c r="I113" s="151" t="n">
        <f aca="false">E113*F113*H113</f>
        <v>0</v>
      </c>
      <c r="J113" s="151" t="n">
        <f aca="false">E113*(1-F113)*H113</f>
        <v>0</v>
      </c>
      <c r="K113" s="151" t="n">
        <f aca="false">IF(COUNT('12_Datos_5m'!E114:E$504)=0,1000000000000,MIN('12_Datos_5m'!E114:E$504))</f>
        <v>1000000000000</v>
      </c>
      <c r="L113" s="151" t="n">
        <f aca="false">IF(COUNT('12_Datos_5m'!D114:D$504)=0,0,MAX('12_Datos_5m'!D114:D$504))</f>
        <v>0</v>
      </c>
      <c r="M113" s="151" t="str">
        <f aca="false">IF(ISNUMBER(B113),B113*(1-1/'13_Mapa_Liq'!$B$15+'13_Mapa_Liq'!$B$6),"")</f>
        <v/>
      </c>
      <c r="N113" s="151" t="n">
        <f aca="false">IF(ISNUMBER(B113),IF(K113&gt;M113,I113*'13_Mapa_Liq'!$C$15,0),0)</f>
        <v>0</v>
      </c>
      <c r="O113" s="151" t="str">
        <f aca="false">IF(ISNUMBER(B113),B113*(1+1/'13_Mapa_Liq'!$B$15-'13_Mapa_Liq'!$B$6),"")</f>
        <v/>
      </c>
      <c r="P113" s="151" t="n">
        <f aca="false">IF(ISNUMBER(B113),IF(L113&lt;O113,J113*'13_Mapa_Liq'!$C$15,0),0)</f>
        <v>0</v>
      </c>
      <c r="Q113" s="151" t="str">
        <f aca="false">IF(ISNUMBER(B113),B113*(1-1/'13_Mapa_Liq'!$B$16+'13_Mapa_Liq'!$B$6),"")</f>
        <v/>
      </c>
      <c r="R113" s="151" t="n">
        <f aca="false">IF(ISNUMBER(B113),IF(K113&gt;Q113,I113*'13_Mapa_Liq'!$C$16,0),0)</f>
        <v>0</v>
      </c>
      <c r="S113" s="151" t="str">
        <f aca="false">IF(ISNUMBER(B113),B113*(1+1/'13_Mapa_Liq'!$B$16-'13_Mapa_Liq'!$B$6),"")</f>
        <v/>
      </c>
      <c r="T113" s="151" t="n">
        <f aca="false">IF(ISNUMBER(B113),IF(L113&lt;S113,J113*'13_Mapa_Liq'!$C$16,0),0)</f>
        <v>0</v>
      </c>
      <c r="U113" s="151" t="str">
        <f aca="false">IF(ISNUMBER(B113),B113*(1-1/'13_Mapa_Liq'!$B$17+'13_Mapa_Liq'!$B$6),"")</f>
        <v/>
      </c>
      <c r="V113" s="151" t="n">
        <f aca="false">IF(ISNUMBER(B113),IF(K113&gt;U113,I113*'13_Mapa_Liq'!$C$17,0),0)</f>
        <v>0</v>
      </c>
      <c r="W113" s="151" t="str">
        <f aca="false">IF(ISNUMBER(B113),B113*(1+1/'13_Mapa_Liq'!$B$17-'13_Mapa_Liq'!$B$6),"")</f>
        <v/>
      </c>
      <c r="X113" s="151" t="n">
        <f aca="false">IF(ISNUMBER(B113),IF(L113&lt;W113,J113*'13_Mapa_Liq'!$C$17,0),0)</f>
        <v>0</v>
      </c>
      <c r="Y113" s="151" t="str">
        <f aca="false">IF(ISNUMBER(B113),B113*(1-1/'13_Mapa_Liq'!$B$18+'13_Mapa_Liq'!$B$6),"")</f>
        <v/>
      </c>
      <c r="Z113" s="151" t="n">
        <f aca="false">IF(ISNUMBER(B113),IF(K113&gt;Y113,I113*'13_Mapa_Liq'!$C$18,0),0)</f>
        <v>0</v>
      </c>
      <c r="AA113" s="151" t="str">
        <f aca="false">IF(ISNUMBER(B113),B113*(1+1/'13_Mapa_Liq'!$B$18-'13_Mapa_Liq'!$B$6),"")</f>
        <v/>
      </c>
      <c r="AB113" s="151" t="n">
        <f aca="false">IF(ISNUMBER(B113),IF(L113&lt;AA113,J113*'13_Mapa_Liq'!$C$18,0),0)</f>
        <v>0</v>
      </c>
      <c r="AC113" s="151" t="str">
        <f aca="false">IF(ISNUMBER(B113),B113*(1-1/'13_Mapa_Liq'!$B$19+'13_Mapa_Liq'!$B$6),"")</f>
        <v/>
      </c>
      <c r="AD113" s="151" t="n">
        <f aca="false">IF(ISNUMBER(B113),IF(K113&gt;AC113,I113*'13_Mapa_Liq'!$C$19,0),0)</f>
        <v>0</v>
      </c>
      <c r="AE113" s="151" t="str">
        <f aca="false">IF(ISNUMBER(B113),B113*(1+1/'13_Mapa_Liq'!$B$19-'13_Mapa_Liq'!$B$6),"")</f>
        <v/>
      </c>
      <c r="AF113" s="151" t="n">
        <f aca="false">IF(ISNUMBER(B113),IF(L113&lt;AE113,J113*'13_Mapa_Liq'!$C$19,0),0)</f>
        <v>0</v>
      </c>
      <c r="AG113" s="151"/>
      <c r="AH113" s="151" t="n">
        <f aca="false">IF(ISNUMBER(B113),E113*F113*((K113&lt;=M113)*'13_Mapa_Liq'!$C$15+(K113&lt;=Q113)*'13_Mapa_Liq'!$C$16+(K113&lt;=U113)*'13_Mapa_Liq'!$C$17+(K113&lt;=Y113)*'13_Mapa_Liq'!$C$18+(K113&lt;=AC113)*'13_Mapa_Liq'!$C$19),0)</f>
        <v>0</v>
      </c>
      <c r="AI113" s="151" t="n">
        <f aca="false">IF(ISNUMBER(B113),E113*(1-F113)*((L113&gt;=O113)*'13_Mapa_Liq'!$C$15+(L113&gt;=S113)*'13_Mapa_Liq'!$C$16+(L113&gt;=W113)*'13_Mapa_Liq'!$C$17+(L113&gt;=AA113)*'13_Mapa_Liq'!$C$18+(L113&gt;=AE113)*'13_Mapa_Liq'!$C$19),0)</f>
        <v>0</v>
      </c>
    </row>
    <row r="114" customFormat="false" ht="15" hidden="false" customHeight="false" outlineLevel="0" collapsed="false">
      <c r="A114" s="151" t="str">
        <f aca="false">IF(ISNUMBER('12_Datos_5m'!F114),ROW()-4,"")</f>
        <v/>
      </c>
      <c r="B114" s="151" t="str">
        <f aca="false">IF(ISNUMBER('12_Datos_5m'!F114),'12_Datos_5m'!F114,"")</f>
        <v/>
      </c>
      <c r="C114" s="151" t="str">
        <f aca="false">IF(ISNUMBER('12_Datos_5m'!A114),'12_Datos_5m'!A114,"")</f>
        <v/>
      </c>
      <c r="D114" s="151" t="n">
        <f aca="false">IF(AND(ISNUMBER('12_Datos_5m'!I114),ISNUMBER('12_Datos_5m'!I113)),'12_Datos_5m'!I114-'12_Datos_5m'!I113,0)</f>
        <v>0</v>
      </c>
      <c r="E114" s="151" t="n">
        <f aca="false">MAX(0,D114)</f>
        <v>0</v>
      </c>
      <c r="F114" s="151" t="n">
        <f aca="false">IF(AND(ISNUMBER('12_Datos_5m'!G114),N('12_Datos_5m'!G114)&gt;0),'12_Datos_5m'!H114/'12_Datos_5m'!G114,0.5)</f>
        <v>0.5</v>
      </c>
      <c r="G114" s="151" t="n">
        <f aca="false">IF(ISNUMBER(C114),($C$2-C114)/3600000,0)</f>
        <v>0</v>
      </c>
      <c r="H114" s="151" t="n">
        <f aca="false">EXP(-G114/'13_Mapa_Liq'!$B$7)</f>
        <v>1</v>
      </c>
      <c r="I114" s="151" t="n">
        <f aca="false">E114*F114*H114</f>
        <v>0</v>
      </c>
      <c r="J114" s="151" t="n">
        <f aca="false">E114*(1-F114)*H114</f>
        <v>0</v>
      </c>
      <c r="K114" s="151" t="n">
        <f aca="false">IF(COUNT('12_Datos_5m'!E115:E$504)=0,1000000000000,MIN('12_Datos_5m'!E115:E$504))</f>
        <v>1000000000000</v>
      </c>
      <c r="L114" s="151" t="n">
        <f aca="false">IF(COUNT('12_Datos_5m'!D115:D$504)=0,0,MAX('12_Datos_5m'!D115:D$504))</f>
        <v>0</v>
      </c>
      <c r="M114" s="151" t="str">
        <f aca="false">IF(ISNUMBER(B114),B114*(1-1/'13_Mapa_Liq'!$B$15+'13_Mapa_Liq'!$B$6),"")</f>
        <v/>
      </c>
      <c r="N114" s="151" t="n">
        <f aca="false">IF(ISNUMBER(B114),IF(K114&gt;M114,I114*'13_Mapa_Liq'!$C$15,0),0)</f>
        <v>0</v>
      </c>
      <c r="O114" s="151" t="str">
        <f aca="false">IF(ISNUMBER(B114),B114*(1+1/'13_Mapa_Liq'!$B$15-'13_Mapa_Liq'!$B$6),"")</f>
        <v/>
      </c>
      <c r="P114" s="151" t="n">
        <f aca="false">IF(ISNUMBER(B114),IF(L114&lt;O114,J114*'13_Mapa_Liq'!$C$15,0),0)</f>
        <v>0</v>
      </c>
      <c r="Q114" s="151" t="str">
        <f aca="false">IF(ISNUMBER(B114),B114*(1-1/'13_Mapa_Liq'!$B$16+'13_Mapa_Liq'!$B$6),"")</f>
        <v/>
      </c>
      <c r="R114" s="151" t="n">
        <f aca="false">IF(ISNUMBER(B114),IF(K114&gt;Q114,I114*'13_Mapa_Liq'!$C$16,0),0)</f>
        <v>0</v>
      </c>
      <c r="S114" s="151" t="str">
        <f aca="false">IF(ISNUMBER(B114),B114*(1+1/'13_Mapa_Liq'!$B$16-'13_Mapa_Liq'!$B$6),"")</f>
        <v/>
      </c>
      <c r="T114" s="151" t="n">
        <f aca="false">IF(ISNUMBER(B114),IF(L114&lt;S114,J114*'13_Mapa_Liq'!$C$16,0),0)</f>
        <v>0</v>
      </c>
      <c r="U114" s="151" t="str">
        <f aca="false">IF(ISNUMBER(B114),B114*(1-1/'13_Mapa_Liq'!$B$17+'13_Mapa_Liq'!$B$6),"")</f>
        <v/>
      </c>
      <c r="V114" s="151" t="n">
        <f aca="false">IF(ISNUMBER(B114),IF(K114&gt;U114,I114*'13_Mapa_Liq'!$C$17,0),0)</f>
        <v>0</v>
      </c>
      <c r="W114" s="151" t="str">
        <f aca="false">IF(ISNUMBER(B114),B114*(1+1/'13_Mapa_Liq'!$B$17-'13_Mapa_Liq'!$B$6),"")</f>
        <v/>
      </c>
      <c r="X114" s="151" t="n">
        <f aca="false">IF(ISNUMBER(B114),IF(L114&lt;W114,J114*'13_Mapa_Liq'!$C$17,0),0)</f>
        <v>0</v>
      </c>
      <c r="Y114" s="151" t="str">
        <f aca="false">IF(ISNUMBER(B114),B114*(1-1/'13_Mapa_Liq'!$B$18+'13_Mapa_Liq'!$B$6),"")</f>
        <v/>
      </c>
      <c r="Z114" s="151" t="n">
        <f aca="false">IF(ISNUMBER(B114),IF(K114&gt;Y114,I114*'13_Mapa_Liq'!$C$18,0),0)</f>
        <v>0</v>
      </c>
      <c r="AA114" s="151" t="str">
        <f aca="false">IF(ISNUMBER(B114),B114*(1+1/'13_Mapa_Liq'!$B$18-'13_Mapa_Liq'!$B$6),"")</f>
        <v/>
      </c>
      <c r="AB114" s="151" t="n">
        <f aca="false">IF(ISNUMBER(B114),IF(L114&lt;AA114,J114*'13_Mapa_Liq'!$C$18,0),0)</f>
        <v>0</v>
      </c>
      <c r="AC114" s="151" t="str">
        <f aca="false">IF(ISNUMBER(B114),B114*(1-1/'13_Mapa_Liq'!$B$19+'13_Mapa_Liq'!$B$6),"")</f>
        <v/>
      </c>
      <c r="AD114" s="151" t="n">
        <f aca="false">IF(ISNUMBER(B114),IF(K114&gt;AC114,I114*'13_Mapa_Liq'!$C$19,0),0)</f>
        <v>0</v>
      </c>
      <c r="AE114" s="151" t="str">
        <f aca="false">IF(ISNUMBER(B114),B114*(1+1/'13_Mapa_Liq'!$B$19-'13_Mapa_Liq'!$B$6),"")</f>
        <v/>
      </c>
      <c r="AF114" s="151" t="n">
        <f aca="false">IF(ISNUMBER(B114),IF(L114&lt;AE114,J114*'13_Mapa_Liq'!$C$19,0),0)</f>
        <v>0</v>
      </c>
      <c r="AG114" s="151"/>
      <c r="AH114" s="151" t="n">
        <f aca="false">IF(ISNUMBER(B114),E114*F114*((K114&lt;=M114)*'13_Mapa_Liq'!$C$15+(K114&lt;=Q114)*'13_Mapa_Liq'!$C$16+(K114&lt;=U114)*'13_Mapa_Liq'!$C$17+(K114&lt;=Y114)*'13_Mapa_Liq'!$C$18+(K114&lt;=AC114)*'13_Mapa_Liq'!$C$19),0)</f>
        <v>0</v>
      </c>
      <c r="AI114" s="151" t="n">
        <f aca="false">IF(ISNUMBER(B114),E114*(1-F114)*((L114&gt;=O114)*'13_Mapa_Liq'!$C$15+(L114&gt;=S114)*'13_Mapa_Liq'!$C$16+(L114&gt;=W114)*'13_Mapa_Liq'!$C$17+(L114&gt;=AA114)*'13_Mapa_Liq'!$C$18+(L114&gt;=AE114)*'13_Mapa_Liq'!$C$19),0)</f>
        <v>0</v>
      </c>
    </row>
    <row r="115" customFormat="false" ht="15" hidden="false" customHeight="false" outlineLevel="0" collapsed="false">
      <c r="A115" s="151" t="str">
        <f aca="false">IF(ISNUMBER('12_Datos_5m'!F115),ROW()-4,"")</f>
        <v/>
      </c>
      <c r="B115" s="151" t="str">
        <f aca="false">IF(ISNUMBER('12_Datos_5m'!F115),'12_Datos_5m'!F115,"")</f>
        <v/>
      </c>
      <c r="C115" s="151" t="str">
        <f aca="false">IF(ISNUMBER('12_Datos_5m'!A115),'12_Datos_5m'!A115,"")</f>
        <v/>
      </c>
      <c r="D115" s="151" t="n">
        <f aca="false">IF(AND(ISNUMBER('12_Datos_5m'!I115),ISNUMBER('12_Datos_5m'!I114)),'12_Datos_5m'!I115-'12_Datos_5m'!I114,0)</f>
        <v>0</v>
      </c>
      <c r="E115" s="151" t="n">
        <f aca="false">MAX(0,D115)</f>
        <v>0</v>
      </c>
      <c r="F115" s="151" t="n">
        <f aca="false">IF(AND(ISNUMBER('12_Datos_5m'!G115),N('12_Datos_5m'!G115)&gt;0),'12_Datos_5m'!H115/'12_Datos_5m'!G115,0.5)</f>
        <v>0.5</v>
      </c>
      <c r="G115" s="151" t="n">
        <f aca="false">IF(ISNUMBER(C115),($C$2-C115)/3600000,0)</f>
        <v>0</v>
      </c>
      <c r="H115" s="151" t="n">
        <f aca="false">EXP(-G115/'13_Mapa_Liq'!$B$7)</f>
        <v>1</v>
      </c>
      <c r="I115" s="151" t="n">
        <f aca="false">E115*F115*H115</f>
        <v>0</v>
      </c>
      <c r="J115" s="151" t="n">
        <f aca="false">E115*(1-F115)*H115</f>
        <v>0</v>
      </c>
      <c r="K115" s="151" t="n">
        <f aca="false">IF(COUNT('12_Datos_5m'!E116:E$504)=0,1000000000000,MIN('12_Datos_5m'!E116:E$504))</f>
        <v>1000000000000</v>
      </c>
      <c r="L115" s="151" t="n">
        <f aca="false">IF(COUNT('12_Datos_5m'!D116:D$504)=0,0,MAX('12_Datos_5m'!D116:D$504))</f>
        <v>0</v>
      </c>
      <c r="M115" s="151" t="str">
        <f aca="false">IF(ISNUMBER(B115),B115*(1-1/'13_Mapa_Liq'!$B$15+'13_Mapa_Liq'!$B$6),"")</f>
        <v/>
      </c>
      <c r="N115" s="151" t="n">
        <f aca="false">IF(ISNUMBER(B115),IF(K115&gt;M115,I115*'13_Mapa_Liq'!$C$15,0),0)</f>
        <v>0</v>
      </c>
      <c r="O115" s="151" t="str">
        <f aca="false">IF(ISNUMBER(B115),B115*(1+1/'13_Mapa_Liq'!$B$15-'13_Mapa_Liq'!$B$6),"")</f>
        <v/>
      </c>
      <c r="P115" s="151" t="n">
        <f aca="false">IF(ISNUMBER(B115),IF(L115&lt;O115,J115*'13_Mapa_Liq'!$C$15,0),0)</f>
        <v>0</v>
      </c>
      <c r="Q115" s="151" t="str">
        <f aca="false">IF(ISNUMBER(B115),B115*(1-1/'13_Mapa_Liq'!$B$16+'13_Mapa_Liq'!$B$6),"")</f>
        <v/>
      </c>
      <c r="R115" s="151" t="n">
        <f aca="false">IF(ISNUMBER(B115),IF(K115&gt;Q115,I115*'13_Mapa_Liq'!$C$16,0),0)</f>
        <v>0</v>
      </c>
      <c r="S115" s="151" t="str">
        <f aca="false">IF(ISNUMBER(B115),B115*(1+1/'13_Mapa_Liq'!$B$16-'13_Mapa_Liq'!$B$6),"")</f>
        <v/>
      </c>
      <c r="T115" s="151" t="n">
        <f aca="false">IF(ISNUMBER(B115),IF(L115&lt;S115,J115*'13_Mapa_Liq'!$C$16,0),0)</f>
        <v>0</v>
      </c>
      <c r="U115" s="151" t="str">
        <f aca="false">IF(ISNUMBER(B115),B115*(1-1/'13_Mapa_Liq'!$B$17+'13_Mapa_Liq'!$B$6),"")</f>
        <v/>
      </c>
      <c r="V115" s="151" t="n">
        <f aca="false">IF(ISNUMBER(B115),IF(K115&gt;U115,I115*'13_Mapa_Liq'!$C$17,0),0)</f>
        <v>0</v>
      </c>
      <c r="W115" s="151" t="str">
        <f aca="false">IF(ISNUMBER(B115),B115*(1+1/'13_Mapa_Liq'!$B$17-'13_Mapa_Liq'!$B$6),"")</f>
        <v/>
      </c>
      <c r="X115" s="151" t="n">
        <f aca="false">IF(ISNUMBER(B115),IF(L115&lt;W115,J115*'13_Mapa_Liq'!$C$17,0),0)</f>
        <v>0</v>
      </c>
      <c r="Y115" s="151" t="str">
        <f aca="false">IF(ISNUMBER(B115),B115*(1-1/'13_Mapa_Liq'!$B$18+'13_Mapa_Liq'!$B$6),"")</f>
        <v/>
      </c>
      <c r="Z115" s="151" t="n">
        <f aca="false">IF(ISNUMBER(B115),IF(K115&gt;Y115,I115*'13_Mapa_Liq'!$C$18,0),0)</f>
        <v>0</v>
      </c>
      <c r="AA115" s="151" t="str">
        <f aca="false">IF(ISNUMBER(B115),B115*(1+1/'13_Mapa_Liq'!$B$18-'13_Mapa_Liq'!$B$6),"")</f>
        <v/>
      </c>
      <c r="AB115" s="151" t="n">
        <f aca="false">IF(ISNUMBER(B115),IF(L115&lt;AA115,J115*'13_Mapa_Liq'!$C$18,0),0)</f>
        <v>0</v>
      </c>
      <c r="AC115" s="151" t="str">
        <f aca="false">IF(ISNUMBER(B115),B115*(1-1/'13_Mapa_Liq'!$B$19+'13_Mapa_Liq'!$B$6),"")</f>
        <v/>
      </c>
      <c r="AD115" s="151" t="n">
        <f aca="false">IF(ISNUMBER(B115),IF(K115&gt;AC115,I115*'13_Mapa_Liq'!$C$19,0),0)</f>
        <v>0</v>
      </c>
      <c r="AE115" s="151" t="str">
        <f aca="false">IF(ISNUMBER(B115),B115*(1+1/'13_Mapa_Liq'!$B$19-'13_Mapa_Liq'!$B$6),"")</f>
        <v/>
      </c>
      <c r="AF115" s="151" t="n">
        <f aca="false">IF(ISNUMBER(B115),IF(L115&lt;AE115,J115*'13_Mapa_Liq'!$C$19,0),0)</f>
        <v>0</v>
      </c>
      <c r="AG115" s="151"/>
      <c r="AH115" s="151" t="n">
        <f aca="false">IF(ISNUMBER(B115),E115*F115*((K115&lt;=M115)*'13_Mapa_Liq'!$C$15+(K115&lt;=Q115)*'13_Mapa_Liq'!$C$16+(K115&lt;=U115)*'13_Mapa_Liq'!$C$17+(K115&lt;=Y115)*'13_Mapa_Liq'!$C$18+(K115&lt;=AC115)*'13_Mapa_Liq'!$C$19),0)</f>
        <v>0</v>
      </c>
      <c r="AI115" s="151" t="n">
        <f aca="false">IF(ISNUMBER(B115),E115*(1-F115)*((L115&gt;=O115)*'13_Mapa_Liq'!$C$15+(L115&gt;=S115)*'13_Mapa_Liq'!$C$16+(L115&gt;=W115)*'13_Mapa_Liq'!$C$17+(L115&gt;=AA115)*'13_Mapa_Liq'!$C$18+(L115&gt;=AE115)*'13_Mapa_Liq'!$C$19),0)</f>
        <v>0</v>
      </c>
    </row>
    <row r="116" customFormat="false" ht="15" hidden="false" customHeight="false" outlineLevel="0" collapsed="false">
      <c r="A116" s="151" t="str">
        <f aca="false">IF(ISNUMBER('12_Datos_5m'!F116),ROW()-4,"")</f>
        <v/>
      </c>
      <c r="B116" s="151" t="str">
        <f aca="false">IF(ISNUMBER('12_Datos_5m'!F116),'12_Datos_5m'!F116,"")</f>
        <v/>
      </c>
      <c r="C116" s="151" t="str">
        <f aca="false">IF(ISNUMBER('12_Datos_5m'!A116),'12_Datos_5m'!A116,"")</f>
        <v/>
      </c>
      <c r="D116" s="151" t="n">
        <f aca="false">IF(AND(ISNUMBER('12_Datos_5m'!I116),ISNUMBER('12_Datos_5m'!I115)),'12_Datos_5m'!I116-'12_Datos_5m'!I115,0)</f>
        <v>0</v>
      </c>
      <c r="E116" s="151" t="n">
        <f aca="false">MAX(0,D116)</f>
        <v>0</v>
      </c>
      <c r="F116" s="151" t="n">
        <f aca="false">IF(AND(ISNUMBER('12_Datos_5m'!G116),N('12_Datos_5m'!G116)&gt;0),'12_Datos_5m'!H116/'12_Datos_5m'!G116,0.5)</f>
        <v>0.5</v>
      </c>
      <c r="G116" s="151" t="n">
        <f aca="false">IF(ISNUMBER(C116),($C$2-C116)/3600000,0)</f>
        <v>0</v>
      </c>
      <c r="H116" s="151" t="n">
        <f aca="false">EXP(-G116/'13_Mapa_Liq'!$B$7)</f>
        <v>1</v>
      </c>
      <c r="I116" s="151" t="n">
        <f aca="false">E116*F116*H116</f>
        <v>0</v>
      </c>
      <c r="J116" s="151" t="n">
        <f aca="false">E116*(1-F116)*H116</f>
        <v>0</v>
      </c>
      <c r="K116" s="151" t="n">
        <f aca="false">IF(COUNT('12_Datos_5m'!E117:E$504)=0,1000000000000,MIN('12_Datos_5m'!E117:E$504))</f>
        <v>1000000000000</v>
      </c>
      <c r="L116" s="151" t="n">
        <f aca="false">IF(COUNT('12_Datos_5m'!D117:D$504)=0,0,MAX('12_Datos_5m'!D117:D$504))</f>
        <v>0</v>
      </c>
      <c r="M116" s="151" t="str">
        <f aca="false">IF(ISNUMBER(B116),B116*(1-1/'13_Mapa_Liq'!$B$15+'13_Mapa_Liq'!$B$6),"")</f>
        <v/>
      </c>
      <c r="N116" s="151" t="n">
        <f aca="false">IF(ISNUMBER(B116),IF(K116&gt;M116,I116*'13_Mapa_Liq'!$C$15,0),0)</f>
        <v>0</v>
      </c>
      <c r="O116" s="151" t="str">
        <f aca="false">IF(ISNUMBER(B116),B116*(1+1/'13_Mapa_Liq'!$B$15-'13_Mapa_Liq'!$B$6),"")</f>
        <v/>
      </c>
      <c r="P116" s="151" t="n">
        <f aca="false">IF(ISNUMBER(B116),IF(L116&lt;O116,J116*'13_Mapa_Liq'!$C$15,0),0)</f>
        <v>0</v>
      </c>
      <c r="Q116" s="151" t="str">
        <f aca="false">IF(ISNUMBER(B116),B116*(1-1/'13_Mapa_Liq'!$B$16+'13_Mapa_Liq'!$B$6),"")</f>
        <v/>
      </c>
      <c r="R116" s="151" t="n">
        <f aca="false">IF(ISNUMBER(B116),IF(K116&gt;Q116,I116*'13_Mapa_Liq'!$C$16,0),0)</f>
        <v>0</v>
      </c>
      <c r="S116" s="151" t="str">
        <f aca="false">IF(ISNUMBER(B116),B116*(1+1/'13_Mapa_Liq'!$B$16-'13_Mapa_Liq'!$B$6),"")</f>
        <v/>
      </c>
      <c r="T116" s="151" t="n">
        <f aca="false">IF(ISNUMBER(B116),IF(L116&lt;S116,J116*'13_Mapa_Liq'!$C$16,0),0)</f>
        <v>0</v>
      </c>
      <c r="U116" s="151" t="str">
        <f aca="false">IF(ISNUMBER(B116),B116*(1-1/'13_Mapa_Liq'!$B$17+'13_Mapa_Liq'!$B$6),"")</f>
        <v/>
      </c>
      <c r="V116" s="151" t="n">
        <f aca="false">IF(ISNUMBER(B116),IF(K116&gt;U116,I116*'13_Mapa_Liq'!$C$17,0),0)</f>
        <v>0</v>
      </c>
      <c r="W116" s="151" t="str">
        <f aca="false">IF(ISNUMBER(B116),B116*(1+1/'13_Mapa_Liq'!$B$17-'13_Mapa_Liq'!$B$6),"")</f>
        <v/>
      </c>
      <c r="X116" s="151" t="n">
        <f aca="false">IF(ISNUMBER(B116),IF(L116&lt;W116,J116*'13_Mapa_Liq'!$C$17,0),0)</f>
        <v>0</v>
      </c>
      <c r="Y116" s="151" t="str">
        <f aca="false">IF(ISNUMBER(B116),B116*(1-1/'13_Mapa_Liq'!$B$18+'13_Mapa_Liq'!$B$6),"")</f>
        <v/>
      </c>
      <c r="Z116" s="151" t="n">
        <f aca="false">IF(ISNUMBER(B116),IF(K116&gt;Y116,I116*'13_Mapa_Liq'!$C$18,0),0)</f>
        <v>0</v>
      </c>
      <c r="AA116" s="151" t="str">
        <f aca="false">IF(ISNUMBER(B116),B116*(1+1/'13_Mapa_Liq'!$B$18-'13_Mapa_Liq'!$B$6),"")</f>
        <v/>
      </c>
      <c r="AB116" s="151" t="n">
        <f aca="false">IF(ISNUMBER(B116),IF(L116&lt;AA116,J116*'13_Mapa_Liq'!$C$18,0),0)</f>
        <v>0</v>
      </c>
      <c r="AC116" s="151" t="str">
        <f aca="false">IF(ISNUMBER(B116),B116*(1-1/'13_Mapa_Liq'!$B$19+'13_Mapa_Liq'!$B$6),"")</f>
        <v/>
      </c>
      <c r="AD116" s="151" t="n">
        <f aca="false">IF(ISNUMBER(B116),IF(K116&gt;AC116,I116*'13_Mapa_Liq'!$C$19,0),0)</f>
        <v>0</v>
      </c>
      <c r="AE116" s="151" t="str">
        <f aca="false">IF(ISNUMBER(B116),B116*(1+1/'13_Mapa_Liq'!$B$19-'13_Mapa_Liq'!$B$6),"")</f>
        <v/>
      </c>
      <c r="AF116" s="151" t="n">
        <f aca="false">IF(ISNUMBER(B116),IF(L116&lt;AE116,J116*'13_Mapa_Liq'!$C$19,0),0)</f>
        <v>0</v>
      </c>
      <c r="AG116" s="151"/>
      <c r="AH116" s="151" t="n">
        <f aca="false">IF(ISNUMBER(B116),E116*F116*((K116&lt;=M116)*'13_Mapa_Liq'!$C$15+(K116&lt;=Q116)*'13_Mapa_Liq'!$C$16+(K116&lt;=U116)*'13_Mapa_Liq'!$C$17+(K116&lt;=Y116)*'13_Mapa_Liq'!$C$18+(K116&lt;=AC116)*'13_Mapa_Liq'!$C$19),0)</f>
        <v>0</v>
      </c>
      <c r="AI116" s="151" t="n">
        <f aca="false">IF(ISNUMBER(B116),E116*(1-F116)*((L116&gt;=O116)*'13_Mapa_Liq'!$C$15+(L116&gt;=S116)*'13_Mapa_Liq'!$C$16+(L116&gt;=W116)*'13_Mapa_Liq'!$C$17+(L116&gt;=AA116)*'13_Mapa_Liq'!$C$18+(L116&gt;=AE116)*'13_Mapa_Liq'!$C$19),0)</f>
        <v>0</v>
      </c>
    </row>
    <row r="117" customFormat="false" ht="15" hidden="false" customHeight="false" outlineLevel="0" collapsed="false">
      <c r="A117" s="151" t="str">
        <f aca="false">IF(ISNUMBER('12_Datos_5m'!F117),ROW()-4,"")</f>
        <v/>
      </c>
      <c r="B117" s="151" t="str">
        <f aca="false">IF(ISNUMBER('12_Datos_5m'!F117),'12_Datos_5m'!F117,"")</f>
        <v/>
      </c>
      <c r="C117" s="151" t="str">
        <f aca="false">IF(ISNUMBER('12_Datos_5m'!A117),'12_Datos_5m'!A117,"")</f>
        <v/>
      </c>
      <c r="D117" s="151" t="n">
        <f aca="false">IF(AND(ISNUMBER('12_Datos_5m'!I117),ISNUMBER('12_Datos_5m'!I116)),'12_Datos_5m'!I117-'12_Datos_5m'!I116,0)</f>
        <v>0</v>
      </c>
      <c r="E117" s="151" t="n">
        <f aca="false">MAX(0,D117)</f>
        <v>0</v>
      </c>
      <c r="F117" s="151" t="n">
        <f aca="false">IF(AND(ISNUMBER('12_Datos_5m'!G117),N('12_Datos_5m'!G117)&gt;0),'12_Datos_5m'!H117/'12_Datos_5m'!G117,0.5)</f>
        <v>0.5</v>
      </c>
      <c r="G117" s="151" t="n">
        <f aca="false">IF(ISNUMBER(C117),($C$2-C117)/3600000,0)</f>
        <v>0</v>
      </c>
      <c r="H117" s="151" t="n">
        <f aca="false">EXP(-G117/'13_Mapa_Liq'!$B$7)</f>
        <v>1</v>
      </c>
      <c r="I117" s="151" t="n">
        <f aca="false">E117*F117*H117</f>
        <v>0</v>
      </c>
      <c r="J117" s="151" t="n">
        <f aca="false">E117*(1-F117)*H117</f>
        <v>0</v>
      </c>
      <c r="K117" s="151" t="n">
        <f aca="false">IF(COUNT('12_Datos_5m'!E118:E$504)=0,1000000000000,MIN('12_Datos_5m'!E118:E$504))</f>
        <v>1000000000000</v>
      </c>
      <c r="L117" s="151" t="n">
        <f aca="false">IF(COUNT('12_Datos_5m'!D118:D$504)=0,0,MAX('12_Datos_5m'!D118:D$504))</f>
        <v>0</v>
      </c>
      <c r="M117" s="151" t="str">
        <f aca="false">IF(ISNUMBER(B117),B117*(1-1/'13_Mapa_Liq'!$B$15+'13_Mapa_Liq'!$B$6),"")</f>
        <v/>
      </c>
      <c r="N117" s="151" t="n">
        <f aca="false">IF(ISNUMBER(B117),IF(K117&gt;M117,I117*'13_Mapa_Liq'!$C$15,0),0)</f>
        <v>0</v>
      </c>
      <c r="O117" s="151" t="str">
        <f aca="false">IF(ISNUMBER(B117),B117*(1+1/'13_Mapa_Liq'!$B$15-'13_Mapa_Liq'!$B$6),"")</f>
        <v/>
      </c>
      <c r="P117" s="151" t="n">
        <f aca="false">IF(ISNUMBER(B117),IF(L117&lt;O117,J117*'13_Mapa_Liq'!$C$15,0),0)</f>
        <v>0</v>
      </c>
      <c r="Q117" s="151" t="str">
        <f aca="false">IF(ISNUMBER(B117),B117*(1-1/'13_Mapa_Liq'!$B$16+'13_Mapa_Liq'!$B$6),"")</f>
        <v/>
      </c>
      <c r="R117" s="151" t="n">
        <f aca="false">IF(ISNUMBER(B117),IF(K117&gt;Q117,I117*'13_Mapa_Liq'!$C$16,0),0)</f>
        <v>0</v>
      </c>
      <c r="S117" s="151" t="str">
        <f aca="false">IF(ISNUMBER(B117),B117*(1+1/'13_Mapa_Liq'!$B$16-'13_Mapa_Liq'!$B$6),"")</f>
        <v/>
      </c>
      <c r="T117" s="151" t="n">
        <f aca="false">IF(ISNUMBER(B117),IF(L117&lt;S117,J117*'13_Mapa_Liq'!$C$16,0),0)</f>
        <v>0</v>
      </c>
      <c r="U117" s="151" t="str">
        <f aca="false">IF(ISNUMBER(B117),B117*(1-1/'13_Mapa_Liq'!$B$17+'13_Mapa_Liq'!$B$6),"")</f>
        <v/>
      </c>
      <c r="V117" s="151" t="n">
        <f aca="false">IF(ISNUMBER(B117),IF(K117&gt;U117,I117*'13_Mapa_Liq'!$C$17,0),0)</f>
        <v>0</v>
      </c>
      <c r="W117" s="151" t="str">
        <f aca="false">IF(ISNUMBER(B117),B117*(1+1/'13_Mapa_Liq'!$B$17-'13_Mapa_Liq'!$B$6),"")</f>
        <v/>
      </c>
      <c r="X117" s="151" t="n">
        <f aca="false">IF(ISNUMBER(B117),IF(L117&lt;W117,J117*'13_Mapa_Liq'!$C$17,0),0)</f>
        <v>0</v>
      </c>
      <c r="Y117" s="151" t="str">
        <f aca="false">IF(ISNUMBER(B117),B117*(1-1/'13_Mapa_Liq'!$B$18+'13_Mapa_Liq'!$B$6),"")</f>
        <v/>
      </c>
      <c r="Z117" s="151" t="n">
        <f aca="false">IF(ISNUMBER(B117),IF(K117&gt;Y117,I117*'13_Mapa_Liq'!$C$18,0),0)</f>
        <v>0</v>
      </c>
      <c r="AA117" s="151" t="str">
        <f aca="false">IF(ISNUMBER(B117),B117*(1+1/'13_Mapa_Liq'!$B$18-'13_Mapa_Liq'!$B$6),"")</f>
        <v/>
      </c>
      <c r="AB117" s="151" t="n">
        <f aca="false">IF(ISNUMBER(B117),IF(L117&lt;AA117,J117*'13_Mapa_Liq'!$C$18,0),0)</f>
        <v>0</v>
      </c>
      <c r="AC117" s="151" t="str">
        <f aca="false">IF(ISNUMBER(B117),B117*(1-1/'13_Mapa_Liq'!$B$19+'13_Mapa_Liq'!$B$6),"")</f>
        <v/>
      </c>
      <c r="AD117" s="151" t="n">
        <f aca="false">IF(ISNUMBER(B117),IF(K117&gt;AC117,I117*'13_Mapa_Liq'!$C$19,0),0)</f>
        <v>0</v>
      </c>
      <c r="AE117" s="151" t="str">
        <f aca="false">IF(ISNUMBER(B117),B117*(1+1/'13_Mapa_Liq'!$B$19-'13_Mapa_Liq'!$B$6),"")</f>
        <v/>
      </c>
      <c r="AF117" s="151" t="n">
        <f aca="false">IF(ISNUMBER(B117),IF(L117&lt;AE117,J117*'13_Mapa_Liq'!$C$19,0),0)</f>
        <v>0</v>
      </c>
      <c r="AG117" s="151"/>
      <c r="AH117" s="151" t="n">
        <f aca="false">IF(ISNUMBER(B117),E117*F117*((K117&lt;=M117)*'13_Mapa_Liq'!$C$15+(K117&lt;=Q117)*'13_Mapa_Liq'!$C$16+(K117&lt;=U117)*'13_Mapa_Liq'!$C$17+(K117&lt;=Y117)*'13_Mapa_Liq'!$C$18+(K117&lt;=AC117)*'13_Mapa_Liq'!$C$19),0)</f>
        <v>0</v>
      </c>
      <c r="AI117" s="151" t="n">
        <f aca="false">IF(ISNUMBER(B117),E117*(1-F117)*((L117&gt;=O117)*'13_Mapa_Liq'!$C$15+(L117&gt;=S117)*'13_Mapa_Liq'!$C$16+(L117&gt;=W117)*'13_Mapa_Liq'!$C$17+(L117&gt;=AA117)*'13_Mapa_Liq'!$C$18+(L117&gt;=AE117)*'13_Mapa_Liq'!$C$19),0)</f>
        <v>0</v>
      </c>
    </row>
    <row r="118" customFormat="false" ht="15" hidden="false" customHeight="false" outlineLevel="0" collapsed="false">
      <c r="A118" s="151" t="str">
        <f aca="false">IF(ISNUMBER('12_Datos_5m'!F118),ROW()-4,"")</f>
        <v/>
      </c>
      <c r="B118" s="151" t="str">
        <f aca="false">IF(ISNUMBER('12_Datos_5m'!F118),'12_Datos_5m'!F118,"")</f>
        <v/>
      </c>
      <c r="C118" s="151" t="str">
        <f aca="false">IF(ISNUMBER('12_Datos_5m'!A118),'12_Datos_5m'!A118,"")</f>
        <v/>
      </c>
      <c r="D118" s="151" t="n">
        <f aca="false">IF(AND(ISNUMBER('12_Datos_5m'!I118),ISNUMBER('12_Datos_5m'!I117)),'12_Datos_5m'!I118-'12_Datos_5m'!I117,0)</f>
        <v>0</v>
      </c>
      <c r="E118" s="151" t="n">
        <f aca="false">MAX(0,D118)</f>
        <v>0</v>
      </c>
      <c r="F118" s="151" t="n">
        <f aca="false">IF(AND(ISNUMBER('12_Datos_5m'!G118),N('12_Datos_5m'!G118)&gt;0),'12_Datos_5m'!H118/'12_Datos_5m'!G118,0.5)</f>
        <v>0.5</v>
      </c>
      <c r="G118" s="151" t="n">
        <f aca="false">IF(ISNUMBER(C118),($C$2-C118)/3600000,0)</f>
        <v>0</v>
      </c>
      <c r="H118" s="151" t="n">
        <f aca="false">EXP(-G118/'13_Mapa_Liq'!$B$7)</f>
        <v>1</v>
      </c>
      <c r="I118" s="151" t="n">
        <f aca="false">E118*F118*H118</f>
        <v>0</v>
      </c>
      <c r="J118" s="151" t="n">
        <f aca="false">E118*(1-F118)*H118</f>
        <v>0</v>
      </c>
      <c r="K118" s="151" t="n">
        <f aca="false">IF(COUNT('12_Datos_5m'!E119:E$504)=0,1000000000000,MIN('12_Datos_5m'!E119:E$504))</f>
        <v>1000000000000</v>
      </c>
      <c r="L118" s="151" t="n">
        <f aca="false">IF(COUNT('12_Datos_5m'!D119:D$504)=0,0,MAX('12_Datos_5m'!D119:D$504))</f>
        <v>0</v>
      </c>
      <c r="M118" s="151" t="str">
        <f aca="false">IF(ISNUMBER(B118),B118*(1-1/'13_Mapa_Liq'!$B$15+'13_Mapa_Liq'!$B$6),"")</f>
        <v/>
      </c>
      <c r="N118" s="151" t="n">
        <f aca="false">IF(ISNUMBER(B118),IF(K118&gt;M118,I118*'13_Mapa_Liq'!$C$15,0),0)</f>
        <v>0</v>
      </c>
      <c r="O118" s="151" t="str">
        <f aca="false">IF(ISNUMBER(B118),B118*(1+1/'13_Mapa_Liq'!$B$15-'13_Mapa_Liq'!$B$6),"")</f>
        <v/>
      </c>
      <c r="P118" s="151" t="n">
        <f aca="false">IF(ISNUMBER(B118),IF(L118&lt;O118,J118*'13_Mapa_Liq'!$C$15,0),0)</f>
        <v>0</v>
      </c>
      <c r="Q118" s="151" t="str">
        <f aca="false">IF(ISNUMBER(B118),B118*(1-1/'13_Mapa_Liq'!$B$16+'13_Mapa_Liq'!$B$6),"")</f>
        <v/>
      </c>
      <c r="R118" s="151" t="n">
        <f aca="false">IF(ISNUMBER(B118),IF(K118&gt;Q118,I118*'13_Mapa_Liq'!$C$16,0),0)</f>
        <v>0</v>
      </c>
      <c r="S118" s="151" t="str">
        <f aca="false">IF(ISNUMBER(B118),B118*(1+1/'13_Mapa_Liq'!$B$16-'13_Mapa_Liq'!$B$6),"")</f>
        <v/>
      </c>
      <c r="T118" s="151" t="n">
        <f aca="false">IF(ISNUMBER(B118),IF(L118&lt;S118,J118*'13_Mapa_Liq'!$C$16,0),0)</f>
        <v>0</v>
      </c>
      <c r="U118" s="151" t="str">
        <f aca="false">IF(ISNUMBER(B118),B118*(1-1/'13_Mapa_Liq'!$B$17+'13_Mapa_Liq'!$B$6),"")</f>
        <v/>
      </c>
      <c r="V118" s="151" t="n">
        <f aca="false">IF(ISNUMBER(B118),IF(K118&gt;U118,I118*'13_Mapa_Liq'!$C$17,0),0)</f>
        <v>0</v>
      </c>
      <c r="W118" s="151" t="str">
        <f aca="false">IF(ISNUMBER(B118),B118*(1+1/'13_Mapa_Liq'!$B$17-'13_Mapa_Liq'!$B$6),"")</f>
        <v/>
      </c>
      <c r="X118" s="151" t="n">
        <f aca="false">IF(ISNUMBER(B118),IF(L118&lt;W118,J118*'13_Mapa_Liq'!$C$17,0),0)</f>
        <v>0</v>
      </c>
      <c r="Y118" s="151" t="str">
        <f aca="false">IF(ISNUMBER(B118),B118*(1-1/'13_Mapa_Liq'!$B$18+'13_Mapa_Liq'!$B$6),"")</f>
        <v/>
      </c>
      <c r="Z118" s="151" t="n">
        <f aca="false">IF(ISNUMBER(B118),IF(K118&gt;Y118,I118*'13_Mapa_Liq'!$C$18,0),0)</f>
        <v>0</v>
      </c>
      <c r="AA118" s="151" t="str">
        <f aca="false">IF(ISNUMBER(B118),B118*(1+1/'13_Mapa_Liq'!$B$18-'13_Mapa_Liq'!$B$6),"")</f>
        <v/>
      </c>
      <c r="AB118" s="151" t="n">
        <f aca="false">IF(ISNUMBER(B118),IF(L118&lt;AA118,J118*'13_Mapa_Liq'!$C$18,0),0)</f>
        <v>0</v>
      </c>
      <c r="AC118" s="151" t="str">
        <f aca="false">IF(ISNUMBER(B118),B118*(1-1/'13_Mapa_Liq'!$B$19+'13_Mapa_Liq'!$B$6),"")</f>
        <v/>
      </c>
      <c r="AD118" s="151" t="n">
        <f aca="false">IF(ISNUMBER(B118),IF(K118&gt;AC118,I118*'13_Mapa_Liq'!$C$19,0),0)</f>
        <v>0</v>
      </c>
      <c r="AE118" s="151" t="str">
        <f aca="false">IF(ISNUMBER(B118),B118*(1+1/'13_Mapa_Liq'!$B$19-'13_Mapa_Liq'!$B$6),"")</f>
        <v/>
      </c>
      <c r="AF118" s="151" t="n">
        <f aca="false">IF(ISNUMBER(B118),IF(L118&lt;AE118,J118*'13_Mapa_Liq'!$C$19,0),0)</f>
        <v>0</v>
      </c>
      <c r="AG118" s="151"/>
      <c r="AH118" s="151" t="n">
        <f aca="false">IF(ISNUMBER(B118),E118*F118*((K118&lt;=M118)*'13_Mapa_Liq'!$C$15+(K118&lt;=Q118)*'13_Mapa_Liq'!$C$16+(K118&lt;=U118)*'13_Mapa_Liq'!$C$17+(K118&lt;=Y118)*'13_Mapa_Liq'!$C$18+(K118&lt;=AC118)*'13_Mapa_Liq'!$C$19),0)</f>
        <v>0</v>
      </c>
      <c r="AI118" s="151" t="n">
        <f aca="false">IF(ISNUMBER(B118),E118*(1-F118)*((L118&gt;=O118)*'13_Mapa_Liq'!$C$15+(L118&gt;=S118)*'13_Mapa_Liq'!$C$16+(L118&gt;=W118)*'13_Mapa_Liq'!$C$17+(L118&gt;=AA118)*'13_Mapa_Liq'!$C$18+(L118&gt;=AE118)*'13_Mapa_Liq'!$C$19),0)</f>
        <v>0</v>
      </c>
    </row>
    <row r="119" customFormat="false" ht="15" hidden="false" customHeight="false" outlineLevel="0" collapsed="false">
      <c r="A119" s="151" t="str">
        <f aca="false">IF(ISNUMBER('12_Datos_5m'!F119),ROW()-4,"")</f>
        <v/>
      </c>
      <c r="B119" s="151" t="str">
        <f aca="false">IF(ISNUMBER('12_Datos_5m'!F119),'12_Datos_5m'!F119,"")</f>
        <v/>
      </c>
      <c r="C119" s="151" t="str">
        <f aca="false">IF(ISNUMBER('12_Datos_5m'!A119),'12_Datos_5m'!A119,"")</f>
        <v/>
      </c>
      <c r="D119" s="151" t="n">
        <f aca="false">IF(AND(ISNUMBER('12_Datos_5m'!I119),ISNUMBER('12_Datos_5m'!I118)),'12_Datos_5m'!I119-'12_Datos_5m'!I118,0)</f>
        <v>0</v>
      </c>
      <c r="E119" s="151" t="n">
        <f aca="false">MAX(0,D119)</f>
        <v>0</v>
      </c>
      <c r="F119" s="151" t="n">
        <f aca="false">IF(AND(ISNUMBER('12_Datos_5m'!G119),N('12_Datos_5m'!G119)&gt;0),'12_Datos_5m'!H119/'12_Datos_5m'!G119,0.5)</f>
        <v>0.5</v>
      </c>
      <c r="G119" s="151" t="n">
        <f aca="false">IF(ISNUMBER(C119),($C$2-C119)/3600000,0)</f>
        <v>0</v>
      </c>
      <c r="H119" s="151" t="n">
        <f aca="false">EXP(-G119/'13_Mapa_Liq'!$B$7)</f>
        <v>1</v>
      </c>
      <c r="I119" s="151" t="n">
        <f aca="false">E119*F119*H119</f>
        <v>0</v>
      </c>
      <c r="J119" s="151" t="n">
        <f aca="false">E119*(1-F119)*H119</f>
        <v>0</v>
      </c>
      <c r="K119" s="151" t="n">
        <f aca="false">IF(COUNT('12_Datos_5m'!E120:E$504)=0,1000000000000,MIN('12_Datos_5m'!E120:E$504))</f>
        <v>1000000000000</v>
      </c>
      <c r="L119" s="151" t="n">
        <f aca="false">IF(COUNT('12_Datos_5m'!D120:D$504)=0,0,MAX('12_Datos_5m'!D120:D$504))</f>
        <v>0</v>
      </c>
      <c r="M119" s="151" t="str">
        <f aca="false">IF(ISNUMBER(B119),B119*(1-1/'13_Mapa_Liq'!$B$15+'13_Mapa_Liq'!$B$6),"")</f>
        <v/>
      </c>
      <c r="N119" s="151" t="n">
        <f aca="false">IF(ISNUMBER(B119),IF(K119&gt;M119,I119*'13_Mapa_Liq'!$C$15,0),0)</f>
        <v>0</v>
      </c>
      <c r="O119" s="151" t="str">
        <f aca="false">IF(ISNUMBER(B119),B119*(1+1/'13_Mapa_Liq'!$B$15-'13_Mapa_Liq'!$B$6),"")</f>
        <v/>
      </c>
      <c r="P119" s="151" t="n">
        <f aca="false">IF(ISNUMBER(B119),IF(L119&lt;O119,J119*'13_Mapa_Liq'!$C$15,0),0)</f>
        <v>0</v>
      </c>
      <c r="Q119" s="151" t="str">
        <f aca="false">IF(ISNUMBER(B119),B119*(1-1/'13_Mapa_Liq'!$B$16+'13_Mapa_Liq'!$B$6),"")</f>
        <v/>
      </c>
      <c r="R119" s="151" t="n">
        <f aca="false">IF(ISNUMBER(B119),IF(K119&gt;Q119,I119*'13_Mapa_Liq'!$C$16,0),0)</f>
        <v>0</v>
      </c>
      <c r="S119" s="151" t="str">
        <f aca="false">IF(ISNUMBER(B119),B119*(1+1/'13_Mapa_Liq'!$B$16-'13_Mapa_Liq'!$B$6),"")</f>
        <v/>
      </c>
      <c r="T119" s="151" t="n">
        <f aca="false">IF(ISNUMBER(B119),IF(L119&lt;S119,J119*'13_Mapa_Liq'!$C$16,0),0)</f>
        <v>0</v>
      </c>
      <c r="U119" s="151" t="str">
        <f aca="false">IF(ISNUMBER(B119),B119*(1-1/'13_Mapa_Liq'!$B$17+'13_Mapa_Liq'!$B$6),"")</f>
        <v/>
      </c>
      <c r="V119" s="151" t="n">
        <f aca="false">IF(ISNUMBER(B119),IF(K119&gt;U119,I119*'13_Mapa_Liq'!$C$17,0),0)</f>
        <v>0</v>
      </c>
      <c r="W119" s="151" t="str">
        <f aca="false">IF(ISNUMBER(B119),B119*(1+1/'13_Mapa_Liq'!$B$17-'13_Mapa_Liq'!$B$6),"")</f>
        <v/>
      </c>
      <c r="X119" s="151" t="n">
        <f aca="false">IF(ISNUMBER(B119),IF(L119&lt;W119,J119*'13_Mapa_Liq'!$C$17,0),0)</f>
        <v>0</v>
      </c>
      <c r="Y119" s="151" t="str">
        <f aca="false">IF(ISNUMBER(B119),B119*(1-1/'13_Mapa_Liq'!$B$18+'13_Mapa_Liq'!$B$6),"")</f>
        <v/>
      </c>
      <c r="Z119" s="151" t="n">
        <f aca="false">IF(ISNUMBER(B119),IF(K119&gt;Y119,I119*'13_Mapa_Liq'!$C$18,0),0)</f>
        <v>0</v>
      </c>
      <c r="AA119" s="151" t="str">
        <f aca="false">IF(ISNUMBER(B119),B119*(1+1/'13_Mapa_Liq'!$B$18-'13_Mapa_Liq'!$B$6),"")</f>
        <v/>
      </c>
      <c r="AB119" s="151" t="n">
        <f aca="false">IF(ISNUMBER(B119),IF(L119&lt;AA119,J119*'13_Mapa_Liq'!$C$18,0),0)</f>
        <v>0</v>
      </c>
      <c r="AC119" s="151" t="str">
        <f aca="false">IF(ISNUMBER(B119),B119*(1-1/'13_Mapa_Liq'!$B$19+'13_Mapa_Liq'!$B$6),"")</f>
        <v/>
      </c>
      <c r="AD119" s="151" t="n">
        <f aca="false">IF(ISNUMBER(B119),IF(K119&gt;AC119,I119*'13_Mapa_Liq'!$C$19,0),0)</f>
        <v>0</v>
      </c>
      <c r="AE119" s="151" t="str">
        <f aca="false">IF(ISNUMBER(B119),B119*(1+1/'13_Mapa_Liq'!$B$19-'13_Mapa_Liq'!$B$6),"")</f>
        <v/>
      </c>
      <c r="AF119" s="151" t="n">
        <f aca="false">IF(ISNUMBER(B119),IF(L119&lt;AE119,J119*'13_Mapa_Liq'!$C$19,0),0)</f>
        <v>0</v>
      </c>
      <c r="AG119" s="151"/>
      <c r="AH119" s="151" t="n">
        <f aca="false">IF(ISNUMBER(B119),E119*F119*((K119&lt;=M119)*'13_Mapa_Liq'!$C$15+(K119&lt;=Q119)*'13_Mapa_Liq'!$C$16+(K119&lt;=U119)*'13_Mapa_Liq'!$C$17+(K119&lt;=Y119)*'13_Mapa_Liq'!$C$18+(K119&lt;=AC119)*'13_Mapa_Liq'!$C$19),0)</f>
        <v>0</v>
      </c>
      <c r="AI119" s="151" t="n">
        <f aca="false">IF(ISNUMBER(B119),E119*(1-F119)*((L119&gt;=O119)*'13_Mapa_Liq'!$C$15+(L119&gt;=S119)*'13_Mapa_Liq'!$C$16+(L119&gt;=W119)*'13_Mapa_Liq'!$C$17+(L119&gt;=AA119)*'13_Mapa_Liq'!$C$18+(L119&gt;=AE119)*'13_Mapa_Liq'!$C$19),0)</f>
        <v>0</v>
      </c>
    </row>
    <row r="120" customFormat="false" ht="15" hidden="false" customHeight="false" outlineLevel="0" collapsed="false">
      <c r="A120" s="151" t="str">
        <f aca="false">IF(ISNUMBER('12_Datos_5m'!F120),ROW()-4,"")</f>
        <v/>
      </c>
      <c r="B120" s="151" t="str">
        <f aca="false">IF(ISNUMBER('12_Datos_5m'!F120),'12_Datos_5m'!F120,"")</f>
        <v/>
      </c>
      <c r="C120" s="151" t="str">
        <f aca="false">IF(ISNUMBER('12_Datos_5m'!A120),'12_Datos_5m'!A120,"")</f>
        <v/>
      </c>
      <c r="D120" s="151" t="n">
        <f aca="false">IF(AND(ISNUMBER('12_Datos_5m'!I120),ISNUMBER('12_Datos_5m'!I119)),'12_Datos_5m'!I120-'12_Datos_5m'!I119,0)</f>
        <v>0</v>
      </c>
      <c r="E120" s="151" t="n">
        <f aca="false">MAX(0,D120)</f>
        <v>0</v>
      </c>
      <c r="F120" s="151" t="n">
        <f aca="false">IF(AND(ISNUMBER('12_Datos_5m'!G120),N('12_Datos_5m'!G120)&gt;0),'12_Datos_5m'!H120/'12_Datos_5m'!G120,0.5)</f>
        <v>0.5</v>
      </c>
      <c r="G120" s="151" t="n">
        <f aca="false">IF(ISNUMBER(C120),($C$2-C120)/3600000,0)</f>
        <v>0</v>
      </c>
      <c r="H120" s="151" t="n">
        <f aca="false">EXP(-G120/'13_Mapa_Liq'!$B$7)</f>
        <v>1</v>
      </c>
      <c r="I120" s="151" t="n">
        <f aca="false">E120*F120*H120</f>
        <v>0</v>
      </c>
      <c r="J120" s="151" t="n">
        <f aca="false">E120*(1-F120)*H120</f>
        <v>0</v>
      </c>
      <c r="K120" s="151" t="n">
        <f aca="false">IF(COUNT('12_Datos_5m'!E121:E$504)=0,1000000000000,MIN('12_Datos_5m'!E121:E$504))</f>
        <v>1000000000000</v>
      </c>
      <c r="L120" s="151" t="n">
        <f aca="false">IF(COUNT('12_Datos_5m'!D121:D$504)=0,0,MAX('12_Datos_5m'!D121:D$504))</f>
        <v>0</v>
      </c>
      <c r="M120" s="151" t="str">
        <f aca="false">IF(ISNUMBER(B120),B120*(1-1/'13_Mapa_Liq'!$B$15+'13_Mapa_Liq'!$B$6),"")</f>
        <v/>
      </c>
      <c r="N120" s="151" t="n">
        <f aca="false">IF(ISNUMBER(B120),IF(K120&gt;M120,I120*'13_Mapa_Liq'!$C$15,0),0)</f>
        <v>0</v>
      </c>
      <c r="O120" s="151" t="str">
        <f aca="false">IF(ISNUMBER(B120),B120*(1+1/'13_Mapa_Liq'!$B$15-'13_Mapa_Liq'!$B$6),"")</f>
        <v/>
      </c>
      <c r="P120" s="151" t="n">
        <f aca="false">IF(ISNUMBER(B120),IF(L120&lt;O120,J120*'13_Mapa_Liq'!$C$15,0),0)</f>
        <v>0</v>
      </c>
      <c r="Q120" s="151" t="str">
        <f aca="false">IF(ISNUMBER(B120),B120*(1-1/'13_Mapa_Liq'!$B$16+'13_Mapa_Liq'!$B$6),"")</f>
        <v/>
      </c>
      <c r="R120" s="151" t="n">
        <f aca="false">IF(ISNUMBER(B120),IF(K120&gt;Q120,I120*'13_Mapa_Liq'!$C$16,0),0)</f>
        <v>0</v>
      </c>
      <c r="S120" s="151" t="str">
        <f aca="false">IF(ISNUMBER(B120),B120*(1+1/'13_Mapa_Liq'!$B$16-'13_Mapa_Liq'!$B$6),"")</f>
        <v/>
      </c>
      <c r="T120" s="151" t="n">
        <f aca="false">IF(ISNUMBER(B120),IF(L120&lt;S120,J120*'13_Mapa_Liq'!$C$16,0),0)</f>
        <v>0</v>
      </c>
      <c r="U120" s="151" t="str">
        <f aca="false">IF(ISNUMBER(B120),B120*(1-1/'13_Mapa_Liq'!$B$17+'13_Mapa_Liq'!$B$6),"")</f>
        <v/>
      </c>
      <c r="V120" s="151" t="n">
        <f aca="false">IF(ISNUMBER(B120),IF(K120&gt;U120,I120*'13_Mapa_Liq'!$C$17,0),0)</f>
        <v>0</v>
      </c>
      <c r="W120" s="151" t="str">
        <f aca="false">IF(ISNUMBER(B120),B120*(1+1/'13_Mapa_Liq'!$B$17-'13_Mapa_Liq'!$B$6),"")</f>
        <v/>
      </c>
      <c r="X120" s="151" t="n">
        <f aca="false">IF(ISNUMBER(B120),IF(L120&lt;W120,J120*'13_Mapa_Liq'!$C$17,0),0)</f>
        <v>0</v>
      </c>
      <c r="Y120" s="151" t="str">
        <f aca="false">IF(ISNUMBER(B120),B120*(1-1/'13_Mapa_Liq'!$B$18+'13_Mapa_Liq'!$B$6),"")</f>
        <v/>
      </c>
      <c r="Z120" s="151" t="n">
        <f aca="false">IF(ISNUMBER(B120),IF(K120&gt;Y120,I120*'13_Mapa_Liq'!$C$18,0),0)</f>
        <v>0</v>
      </c>
      <c r="AA120" s="151" t="str">
        <f aca="false">IF(ISNUMBER(B120),B120*(1+1/'13_Mapa_Liq'!$B$18-'13_Mapa_Liq'!$B$6),"")</f>
        <v/>
      </c>
      <c r="AB120" s="151" t="n">
        <f aca="false">IF(ISNUMBER(B120),IF(L120&lt;AA120,J120*'13_Mapa_Liq'!$C$18,0),0)</f>
        <v>0</v>
      </c>
      <c r="AC120" s="151" t="str">
        <f aca="false">IF(ISNUMBER(B120),B120*(1-1/'13_Mapa_Liq'!$B$19+'13_Mapa_Liq'!$B$6),"")</f>
        <v/>
      </c>
      <c r="AD120" s="151" t="n">
        <f aca="false">IF(ISNUMBER(B120),IF(K120&gt;AC120,I120*'13_Mapa_Liq'!$C$19,0),0)</f>
        <v>0</v>
      </c>
      <c r="AE120" s="151" t="str">
        <f aca="false">IF(ISNUMBER(B120),B120*(1+1/'13_Mapa_Liq'!$B$19-'13_Mapa_Liq'!$B$6),"")</f>
        <v/>
      </c>
      <c r="AF120" s="151" t="n">
        <f aca="false">IF(ISNUMBER(B120),IF(L120&lt;AE120,J120*'13_Mapa_Liq'!$C$19,0),0)</f>
        <v>0</v>
      </c>
      <c r="AG120" s="151"/>
      <c r="AH120" s="151" t="n">
        <f aca="false">IF(ISNUMBER(B120),E120*F120*((K120&lt;=M120)*'13_Mapa_Liq'!$C$15+(K120&lt;=Q120)*'13_Mapa_Liq'!$C$16+(K120&lt;=U120)*'13_Mapa_Liq'!$C$17+(K120&lt;=Y120)*'13_Mapa_Liq'!$C$18+(K120&lt;=AC120)*'13_Mapa_Liq'!$C$19),0)</f>
        <v>0</v>
      </c>
      <c r="AI120" s="151" t="n">
        <f aca="false">IF(ISNUMBER(B120),E120*(1-F120)*((L120&gt;=O120)*'13_Mapa_Liq'!$C$15+(L120&gt;=S120)*'13_Mapa_Liq'!$C$16+(L120&gt;=W120)*'13_Mapa_Liq'!$C$17+(L120&gt;=AA120)*'13_Mapa_Liq'!$C$18+(L120&gt;=AE120)*'13_Mapa_Liq'!$C$19),0)</f>
        <v>0</v>
      </c>
    </row>
    <row r="121" customFormat="false" ht="15" hidden="false" customHeight="false" outlineLevel="0" collapsed="false">
      <c r="A121" s="151" t="str">
        <f aca="false">IF(ISNUMBER('12_Datos_5m'!F121),ROW()-4,"")</f>
        <v/>
      </c>
      <c r="B121" s="151" t="str">
        <f aca="false">IF(ISNUMBER('12_Datos_5m'!F121),'12_Datos_5m'!F121,"")</f>
        <v/>
      </c>
      <c r="C121" s="151" t="str">
        <f aca="false">IF(ISNUMBER('12_Datos_5m'!A121),'12_Datos_5m'!A121,"")</f>
        <v/>
      </c>
      <c r="D121" s="151" t="n">
        <f aca="false">IF(AND(ISNUMBER('12_Datos_5m'!I121),ISNUMBER('12_Datos_5m'!I120)),'12_Datos_5m'!I121-'12_Datos_5m'!I120,0)</f>
        <v>0</v>
      </c>
      <c r="E121" s="151" t="n">
        <f aca="false">MAX(0,D121)</f>
        <v>0</v>
      </c>
      <c r="F121" s="151" t="n">
        <f aca="false">IF(AND(ISNUMBER('12_Datos_5m'!G121),N('12_Datos_5m'!G121)&gt;0),'12_Datos_5m'!H121/'12_Datos_5m'!G121,0.5)</f>
        <v>0.5</v>
      </c>
      <c r="G121" s="151" t="n">
        <f aca="false">IF(ISNUMBER(C121),($C$2-C121)/3600000,0)</f>
        <v>0</v>
      </c>
      <c r="H121" s="151" t="n">
        <f aca="false">EXP(-G121/'13_Mapa_Liq'!$B$7)</f>
        <v>1</v>
      </c>
      <c r="I121" s="151" t="n">
        <f aca="false">E121*F121*H121</f>
        <v>0</v>
      </c>
      <c r="J121" s="151" t="n">
        <f aca="false">E121*(1-F121)*H121</f>
        <v>0</v>
      </c>
      <c r="K121" s="151" t="n">
        <f aca="false">IF(COUNT('12_Datos_5m'!E122:E$504)=0,1000000000000,MIN('12_Datos_5m'!E122:E$504))</f>
        <v>1000000000000</v>
      </c>
      <c r="L121" s="151" t="n">
        <f aca="false">IF(COUNT('12_Datos_5m'!D122:D$504)=0,0,MAX('12_Datos_5m'!D122:D$504))</f>
        <v>0</v>
      </c>
      <c r="M121" s="151" t="str">
        <f aca="false">IF(ISNUMBER(B121),B121*(1-1/'13_Mapa_Liq'!$B$15+'13_Mapa_Liq'!$B$6),"")</f>
        <v/>
      </c>
      <c r="N121" s="151" t="n">
        <f aca="false">IF(ISNUMBER(B121),IF(K121&gt;M121,I121*'13_Mapa_Liq'!$C$15,0),0)</f>
        <v>0</v>
      </c>
      <c r="O121" s="151" t="str">
        <f aca="false">IF(ISNUMBER(B121),B121*(1+1/'13_Mapa_Liq'!$B$15-'13_Mapa_Liq'!$B$6),"")</f>
        <v/>
      </c>
      <c r="P121" s="151" t="n">
        <f aca="false">IF(ISNUMBER(B121),IF(L121&lt;O121,J121*'13_Mapa_Liq'!$C$15,0),0)</f>
        <v>0</v>
      </c>
      <c r="Q121" s="151" t="str">
        <f aca="false">IF(ISNUMBER(B121),B121*(1-1/'13_Mapa_Liq'!$B$16+'13_Mapa_Liq'!$B$6),"")</f>
        <v/>
      </c>
      <c r="R121" s="151" t="n">
        <f aca="false">IF(ISNUMBER(B121),IF(K121&gt;Q121,I121*'13_Mapa_Liq'!$C$16,0),0)</f>
        <v>0</v>
      </c>
      <c r="S121" s="151" t="str">
        <f aca="false">IF(ISNUMBER(B121),B121*(1+1/'13_Mapa_Liq'!$B$16-'13_Mapa_Liq'!$B$6),"")</f>
        <v/>
      </c>
      <c r="T121" s="151" t="n">
        <f aca="false">IF(ISNUMBER(B121),IF(L121&lt;S121,J121*'13_Mapa_Liq'!$C$16,0),0)</f>
        <v>0</v>
      </c>
      <c r="U121" s="151" t="str">
        <f aca="false">IF(ISNUMBER(B121),B121*(1-1/'13_Mapa_Liq'!$B$17+'13_Mapa_Liq'!$B$6),"")</f>
        <v/>
      </c>
      <c r="V121" s="151" t="n">
        <f aca="false">IF(ISNUMBER(B121),IF(K121&gt;U121,I121*'13_Mapa_Liq'!$C$17,0),0)</f>
        <v>0</v>
      </c>
      <c r="W121" s="151" t="str">
        <f aca="false">IF(ISNUMBER(B121),B121*(1+1/'13_Mapa_Liq'!$B$17-'13_Mapa_Liq'!$B$6),"")</f>
        <v/>
      </c>
      <c r="X121" s="151" t="n">
        <f aca="false">IF(ISNUMBER(B121),IF(L121&lt;W121,J121*'13_Mapa_Liq'!$C$17,0),0)</f>
        <v>0</v>
      </c>
      <c r="Y121" s="151" t="str">
        <f aca="false">IF(ISNUMBER(B121),B121*(1-1/'13_Mapa_Liq'!$B$18+'13_Mapa_Liq'!$B$6),"")</f>
        <v/>
      </c>
      <c r="Z121" s="151" t="n">
        <f aca="false">IF(ISNUMBER(B121),IF(K121&gt;Y121,I121*'13_Mapa_Liq'!$C$18,0),0)</f>
        <v>0</v>
      </c>
      <c r="AA121" s="151" t="str">
        <f aca="false">IF(ISNUMBER(B121),B121*(1+1/'13_Mapa_Liq'!$B$18-'13_Mapa_Liq'!$B$6),"")</f>
        <v/>
      </c>
      <c r="AB121" s="151" t="n">
        <f aca="false">IF(ISNUMBER(B121),IF(L121&lt;AA121,J121*'13_Mapa_Liq'!$C$18,0),0)</f>
        <v>0</v>
      </c>
      <c r="AC121" s="151" t="str">
        <f aca="false">IF(ISNUMBER(B121),B121*(1-1/'13_Mapa_Liq'!$B$19+'13_Mapa_Liq'!$B$6),"")</f>
        <v/>
      </c>
      <c r="AD121" s="151" t="n">
        <f aca="false">IF(ISNUMBER(B121),IF(K121&gt;AC121,I121*'13_Mapa_Liq'!$C$19,0),0)</f>
        <v>0</v>
      </c>
      <c r="AE121" s="151" t="str">
        <f aca="false">IF(ISNUMBER(B121),B121*(1+1/'13_Mapa_Liq'!$B$19-'13_Mapa_Liq'!$B$6),"")</f>
        <v/>
      </c>
      <c r="AF121" s="151" t="n">
        <f aca="false">IF(ISNUMBER(B121),IF(L121&lt;AE121,J121*'13_Mapa_Liq'!$C$19,0),0)</f>
        <v>0</v>
      </c>
      <c r="AG121" s="151"/>
      <c r="AH121" s="151" t="n">
        <f aca="false">IF(ISNUMBER(B121),E121*F121*((K121&lt;=M121)*'13_Mapa_Liq'!$C$15+(K121&lt;=Q121)*'13_Mapa_Liq'!$C$16+(K121&lt;=U121)*'13_Mapa_Liq'!$C$17+(K121&lt;=Y121)*'13_Mapa_Liq'!$C$18+(K121&lt;=AC121)*'13_Mapa_Liq'!$C$19),0)</f>
        <v>0</v>
      </c>
      <c r="AI121" s="151" t="n">
        <f aca="false">IF(ISNUMBER(B121),E121*(1-F121)*((L121&gt;=O121)*'13_Mapa_Liq'!$C$15+(L121&gt;=S121)*'13_Mapa_Liq'!$C$16+(L121&gt;=W121)*'13_Mapa_Liq'!$C$17+(L121&gt;=AA121)*'13_Mapa_Liq'!$C$18+(L121&gt;=AE121)*'13_Mapa_Liq'!$C$19),0)</f>
        <v>0</v>
      </c>
    </row>
    <row r="122" customFormat="false" ht="15" hidden="false" customHeight="false" outlineLevel="0" collapsed="false">
      <c r="A122" s="151" t="str">
        <f aca="false">IF(ISNUMBER('12_Datos_5m'!F122),ROW()-4,"")</f>
        <v/>
      </c>
      <c r="B122" s="151" t="str">
        <f aca="false">IF(ISNUMBER('12_Datos_5m'!F122),'12_Datos_5m'!F122,"")</f>
        <v/>
      </c>
      <c r="C122" s="151" t="str">
        <f aca="false">IF(ISNUMBER('12_Datos_5m'!A122),'12_Datos_5m'!A122,"")</f>
        <v/>
      </c>
      <c r="D122" s="151" t="n">
        <f aca="false">IF(AND(ISNUMBER('12_Datos_5m'!I122),ISNUMBER('12_Datos_5m'!I121)),'12_Datos_5m'!I122-'12_Datos_5m'!I121,0)</f>
        <v>0</v>
      </c>
      <c r="E122" s="151" t="n">
        <f aca="false">MAX(0,D122)</f>
        <v>0</v>
      </c>
      <c r="F122" s="151" t="n">
        <f aca="false">IF(AND(ISNUMBER('12_Datos_5m'!G122),N('12_Datos_5m'!G122)&gt;0),'12_Datos_5m'!H122/'12_Datos_5m'!G122,0.5)</f>
        <v>0.5</v>
      </c>
      <c r="G122" s="151" t="n">
        <f aca="false">IF(ISNUMBER(C122),($C$2-C122)/3600000,0)</f>
        <v>0</v>
      </c>
      <c r="H122" s="151" t="n">
        <f aca="false">EXP(-G122/'13_Mapa_Liq'!$B$7)</f>
        <v>1</v>
      </c>
      <c r="I122" s="151" t="n">
        <f aca="false">E122*F122*H122</f>
        <v>0</v>
      </c>
      <c r="J122" s="151" t="n">
        <f aca="false">E122*(1-F122)*H122</f>
        <v>0</v>
      </c>
      <c r="K122" s="151" t="n">
        <f aca="false">IF(COUNT('12_Datos_5m'!E123:E$504)=0,1000000000000,MIN('12_Datos_5m'!E123:E$504))</f>
        <v>1000000000000</v>
      </c>
      <c r="L122" s="151" t="n">
        <f aca="false">IF(COUNT('12_Datos_5m'!D123:D$504)=0,0,MAX('12_Datos_5m'!D123:D$504))</f>
        <v>0</v>
      </c>
      <c r="M122" s="151" t="str">
        <f aca="false">IF(ISNUMBER(B122),B122*(1-1/'13_Mapa_Liq'!$B$15+'13_Mapa_Liq'!$B$6),"")</f>
        <v/>
      </c>
      <c r="N122" s="151" t="n">
        <f aca="false">IF(ISNUMBER(B122),IF(K122&gt;M122,I122*'13_Mapa_Liq'!$C$15,0),0)</f>
        <v>0</v>
      </c>
      <c r="O122" s="151" t="str">
        <f aca="false">IF(ISNUMBER(B122),B122*(1+1/'13_Mapa_Liq'!$B$15-'13_Mapa_Liq'!$B$6),"")</f>
        <v/>
      </c>
      <c r="P122" s="151" t="n">
        <f aca="false">IF(ISNUMBER(B122),IF(L122&lt;O122,J122*'13_Mapa_Liq'!$C$15,0),0)</f>
        <v>0</v>
      </c>
      <c r="Q122" s="151" t="str">
        <f aca="false">IF(ISNUMBER(B122),B122*(1-1/'13_Mapa_Liq'!$B$16+'13_Mapa_Liq'!$B$6),"")</f>
        <v/>
      </c>
      <c r="R122" s="151" t="n">
        <f aca="false">IF(ISNUMBER(B122),IF(K122&gt;Q122,I122*'13_Mapa_Liq'!$C$16,0),0)</f>
        <v>0</v>
      </c>
      <c r="S122" s="151" t="str">
        <f aca="false">IF(ISNUMBER(B122),B122*(1+1/'13_Mapa_Liq'!$B$16-'13_Mapa_Liq'!$B$6),"")</f>
        <v/>
      </c>
      <c r="T122" s="151" t="n">
        <f aca="false">IF(ISNUMBER(B122),IF(L122&lt;S122,J122*'13_Mapa_Liq'!$C$16,0),0)</f>
        <v>0</v>
      </c>
      <c r="U122" s="151" t="str">
        <f aca="false">IF(ISNUMBER(B122),B122*(1-1/'13_Mapa_Liq'!$B$17+'13_Mapa_Liq'!$B$6),"")</f>
        <v/>
      </c>
      <c r="V122" s="151" t="n">
        <f aca="false">IF(ISNUMBER(B122),IF(K122&gt;U122,I122*'13_Mapa_Liq'!$C$17,0),0)</f>
        <v>0</v>
      </c>
      <c r="W122" s="151" t="str">
        <f aca="false">IF(ISNUMBER(B122),B122*(1+1/'13_Mapa_Liq'!$B$17-'13_Mapa_Liq'!$B$6),"")</f>
        <v/>
      </c>
      <c r="X122" s="151" t="n">
        <f aca="false">IF(ISNUMBER(B122),IF(L122&lt;W122,J122*'13_Mapa_Liq'!$C$17,0),0)</f>
        <v>0</v>
      </c>
      <c r="Y122" s="151" t="str">
        <f aca="false">IF(ISNUMBER(B122),B122*(1-1/'13_Mapa_Liq'!$B$18+'13_Mapa_Liq'!$B$6),"")</f>
        <v/>
      </c>
      <c r="Z122" s="151" t="n">
        <f aca="false">IF(ISNUMBER(B122),IF(K122&gt;Y122,I122*'13_Mapa_Liq'!$C$18,0),0)</f>
        <v>0</v>
      </c>
      <c r="AA122" s="151" t="str">
        <f aca="false">IF(ISNUMBER(B122),B122*(1+1/'13_Mapa_Liq'!$B$18-'13_Mapa_Liq'!$B$6),"")</f>
        <v/>
      </c>
      <c r="AB122" s="151" t="n">
        <f aca="false">IF(ISNUMBER(B122),IF(L122&lt;AA122,J122*'13_Mapa_Liq'!$C$18,0),0)</f>
        <v>0</v>
      </c>
      <c r="AC122" s="151" t="str">
        <f aca="false">IF(ISNUMBER(B122),B122*(1-1/'13_Mapa_Liq'!$B$19+'13_Mapa_Liq'!$B$6),"")</f>
        <v/>
      </c>
      <c r="AD122" s="151" t="n">
        <f aca="false">IF(ISNUMBER(B122),IF(K122&gt;AC122,I122*'13_Mapa_Liq'!$C$19,0),0)</f>
        <v>0</v>
      </c>
      <c r="AE122" s="151" t="str">
        <f aca="false">IF(ISNUMBER(B122),B122*(1+1/'13_Mapa_Liq'!$B$19-'13_Mapa_Liq'!$B$6),"")</f>
        <v/>
      </c>
      <c r="AF122" s="151" t="n">
        <f aca="false">IF(ISNUMBER(B122),IF(L122&lt;AE122,J122*'13_Mapa_Liq'!$C$19,0),0)</f>
        <v>0</v>
      </c>
      <c r="AG122" s="151"/>
      <c r="AH122" s="151" t="n">
        <f aca="false">IF(ISNUMBER(B122),E122*F122*((K122&lt;=M122)*'13_Mapa_Liq'!$C$15+(K122&lt;=Q122)*'13_Mapa_Liq'!$C$16+(K122&lt;=U122)*'13_Mapa_Liq'!$C$17+(K122&lt;=Y122)*'13_Mapa_Liq'!$C$18+(K122&lt;=AC122)*'13_Mapa_Liq'!$C$19),0)</f>
        <v>0</v>
      </c>
      <c r="AI122" s="151" t="n">
        <f aca="false">IF(ISNUMBER(B122),E122*(1-F122)*((L122&gt;=O122)*'13_Mapa_Liq'!$C$15+(L122&gt;=S122)*'13_Mapa_Liq'!$C$16+(L122&gt;=W122)*'13_Mapa_Liq'!$C$17+(L122&gt;=AA122)*'13_Mapa_Liq'!$C$18+(L122&gt;=AE122)*'13_Mapa_Liq'!$C$19),0)</f>
        <v>0</v>
      </c>
    </row>
    <row r="123" customFormat="false" ht="15" hidden="false" customHeight="false" outlineLevel="0" collapsed="false">
      <c r="A123" s="151" t="str">
        <f aca="false">IF(ISNUMBER('12_Datos_5m'!F123),ROW()-4,"")</f>
        <v/>
      </c>
      <c r="B123" s="151" t="str">
        <f aca="false">IF(ISNUMBER('12_Datos_5m'!F123),'12_Datos_5m'!F123,"")</f>
        <v/>
      </c>
      <c r="C123" s="151" t="str">
        <f aca="false">IF(ISNUMBER('12_Datos_5m'!A123),'12_Datos_5m'!A123,"")</f>
        <v/>
      </c>
      <c r="D123" s="151" t="n">
        <f aca="false">IF(AND(ISNUMBER('12_Datos_5m'!I123),ISNUMBER('12_Datos_5m'!I122)),'12_Datos_5m'!I123-'12_Datos_5m'!I122,0)</f>
        <v>0</v>
      </c>
      <c r="E123" s="151" t="n">
        <f aca="false">MAX(0,D123)</f>
        <v>0</v>
      </c>
      <c r="F123" s="151" t="n">
        <f aca="false">IF(AND(ISNUMBER('12_Datos_5m'!G123),N('12_Datos_5m'!G123)&gt;0),'12_Datos_5m'!H123/'12_Datos_5m'!G123,0.5)</f>
        <v>0.5</v>
      </c>
      <c r="G123" s="151" t="n">
        <f aca="false">IF(ISNUMBER(C123),($C$2-C123)/3600000,0)</f>
        <v>0</v>
      </c>
      <c r="H123" s="151" t="n">
        <f aca="false">EXP(-G123/'13_Mapa_Liq'!$B$7)</f>
        <v>1</v>
      </c>
      <c r="I123" s="151" t="n">
        <f aca="false">E123*F123*H123</f>
        <v>0</v>
      </c>
      <c r="J123" s="151" t="n">
        <f aca="false">E123*(1-F123)*H123</f>
        <v>0</v>
      </c>
      <c r="K123" s="151" t="n">
        <f aca="false">IF(COUNT('12_Datos_5m'!E124:E$504)=0,1000000000000,MIN('12_Datos_5m'!E124:E$504))</f>
        <v>1000000000000</v>
      </c>
      <c r="L123" s="151" t="n">
        <f aca="false">IF(COUNT('12_Datos_5m'!D124:D$504)=0,0,MAX('12_Datos_5m'!D124:D$504))</f>
        <v>0</v>
      </c>
      <c r="M123" s="151" t="str">
        <f aca="false">IF(ISNUMBER(B123),B123*(1-1/'13_Mapa_Liq'!$B$15+'13_Mapa_Liq'!$B$6),"")</f>
        <v/>
      </c>
      <c r="N123" s="151" t="n">
        <f aca="false">IF(ISNUMBER(B123),IF(K123&gt;M123,I123*'13_Mapa_Liq'!$C$15,0),0)</f>
        <v>0</v>
      </c>
      <c r="O123" s="151" t="str">
        <f aca="false">IF(ISNUMBER(B123),B123*(1+1/'13_Mapa_Liq'!$B$15-'13_Mapa_Liq'!$B$6),"")</f>
        <v/>
      </c>
      <c r="P123" s="151" t="n">
        <f aca="false">IF(ISNUMBER(B123),IF(L123&lt;O123,J123*'13_Mapa_Liq'!$C$15,0),0)</f>
        <v>0</v>
      </c>
      <c r="Q123" s="151" t="str">
        <f aca="false">IF(ISNUMBER(B123),B123*(1-1/'13_Mapa_Liq'!$B$16+'13_Mapa_Liq'!$B$6),"")</f>
        <v/>
      </c>
      <c r="R123" s="151" t="n">
        <f aca="false">IF(ISNUMBER(B123),IF(K123&gt;Q123,I123*'13_Mapa_Liq'!$C$16,0),0)</f>
        <v>0</v>
      </c>
      <c r="S123" s="151" t="str">
        <f aca="false">IF(ISNUMBER(B123),B123*(1+1/'13_Mapa_Liq'!$B$16-'13_Mapa_Liq'!$B$6),"")</f>
        <v/>
      </c>
      <c r="T123" s="151" t="n">
        <f aca="false">IF(ISNUMBER(B123),IF(L123&lt;S123,J123*'13_Mapa_Liq'!$C$16,0),0)</f>
        <v>0</v>
      </c>
      <c r="U123" s="151" t="str">
        <f aca="false">IF(ISNUMBER(B123),B123*(1-1/'13_Mapa_Liq'!$B$17+'13_Mapa_Liq'!$B$6),"")</f>
        <v/>
      </c>
      <c r="V123" s="151" t="n">
        <f aca="false">IF(ISNUMBER(B123),IF(K123&gt;U123,I123*'13_Mapa_Liq'!$C$17,0),0)</f>
        <v>0</v>
      </c>
      <c r="W123" s="151" t="str">
        <f aca="false">IF(ISNUMBER(B123),B123*(1+1/'13_Mapa_Liq'!$B$17-'13_Mapa_Liq'!$B$6),"")</f>
        <v/>
      </c>
      <c r="X123" s="151" t="n">
        <f aca="false">IF(ISNUMBER(B123),IF(L123&lt;W123,J123*'13_Mapa_Liq'!$C$17,0),0)</f>
        <v>0</v>
      </c>
      <c r="Y123" s="151" t="str">
        <f aca="false">IF(ISNUMBER(B123),B123*(1-1/'13_Mapa_Liq'!$B$18+'13_Mapa_Liq'!$B$6),"")</f>
        <v/>
      </c>
      <c r="Z123" s="151" t="n">
        <f aca="false">IF(ISNUMBER(B123),IF(K123&gt;Y123,I123*'13_Mapa_Liq'!$C$18,0),0)</f>
        <v>0</v>
      </c>
      <c r="AA123" s="151" t="str">
        <f aca="false">IF(ISNUMBER(B123),B123*(1+1/'13_Mapa_Liq'!$B$18-'13_Mapa_Liq'!$B$6),"")</f>
        <v/>
      </c>
      <c r="AB123" s="151" t="n">
        <f aca="false">IF(ISNUMBER(B123),IF(L123&lt;AA123,J123*'13_Mapa_Liq'!$C$18,0),0)</f>
        <v>0</v>
      </c>
      <c r="AC123" s="151" t="str">
        <f aca="false">IF(ISNUMBER(B123),B123*(1-1/'13_Mapa_Liq'!$B$19+'13_Mapa_Liq'!$B$6),"")</f>
        <v/>
      </c>
      <c r="AD123" s="151" t="n">
        <f aca="false">IF(ISNUMBER(B123),IF(K123&gt;AC123,I123*'13_Mapa_Liq'!$C$19,0),0)</f>
        <v>0</v>
      </c>
      <c r="AE123" s="151" t="str">
        <f aca="false">IF(ISNUMBER(B123),B123*(1+1/'13_Mapa_Liq'!$B$19-'13_Mapa_Liq'!$B$6),"")</f>
        <v/>
      </c>
      <c r="AF123" s="151" t="n">
        <f aca="false">IF(ISNUMBER(B123),IF(L123&lt;AE123,J123*'13_Mapa_Liq'!$C$19,0),0)</f>
        <v>0</v>
      </c>
      <c r="AG123" s="151"/>
      <c r="AH123" s="151" t="n">
        <f aca="false">IF(ISNUMBER(B123),E123*F123*((K123&lt;=M123)*'13_Mapa_Liq'!$C$15+(K123&lt;=Q123)*'13_Mapa_Liq'!$C$16+(K123&lt;=U123)*'13_Mapa_Liq'!$C$17+(K123&lt;=Y123)*'13_Mapa_Liq'!$C$18+(K123&lt;=AC123)*'13_Mapa_Liq'!$C$19),0)</f>
        <v>0</v>
      </c>
      <c r="AI123" s="151" t="n">
        <f aca="false">IF(ISNUMBER(B123),E123*(1-F123)*((L123&gt;=O123)*'13_Mapa_Liq'!$C$15+(L123&gt;=S123)*'13_Mapa_Liq'!$C$16+(L123&gt;=W123)*'13_Mapa_Liq'!$C$17+(L123&gt;=AA123)*'13_Mapa_Liq'!$C$18+(L123&gt;=AE123)*'13_Mapa_Liq'!$C$19),0)</f>
        <v>0</v>
      </c>
    </row>
    <row r="124" customFormat="false" ht="15" hidden="false" customHeight="false" outlineLevel="0" collapsed="false">
      <c r="A124" s="151" t="str">
        <f aca="false">IF(ISNUMBER('12_Datos_5m'!F124),ROW()-4,"")</f>
        <v/>
      </c>
      <c r="B124" s="151" t="str">
        <f aca="false">IF(ISNUMBER('12_Datos_5m'!F124),'12_Datos_5m'!F124,"")</f>
        <v/>
      </c>
      <c r="C124" s="151" t="str">
        <f aca="false">IF(ISNUMBER('12_Datos_5m'!A124),'12_Datos_5m'!A124,"")</f>
        <v/>
      </c>
      <c r="D124" s="151" t="n">
        <f aca="false">IF(AND(ISNUMBER('12_Datos_5m'!I124),ISNUMBER('12_Datos_5m'!I123)),'12_Datos_5m'!I124-'12_Datos_5m'!I123,0)</f>
        <v>0</v>
      </c>
      <c r="E124" s="151" t="n">
        <f aca="false">MAX(0,D124)</f>
        <v>0</v>
      </c>
      <c r="F124" s="151" t="n">
        <f aca="false">IF(AND(ISNUMBER('12_Datos_5m'!G124),N('12_Datos_5m'!G124)&gt;0),'12_Datos_5m'!H124/'12_Datos_5m'!G124,0.5)</f>
        <v>0.5</v>
      </c>
      <c r="G124" s="151" t="n">
        <f aca="false">IF(ISNUMBER(C124),($C$2-C124)/3600000,0)</f>
        <v>0</v>
      </c>
      <c r="H124" s="151" t="n">
        <f aca="false">EXP(-G124/'13_Mapa_Liq'!$B$7)</f>
        <v>1</v>
      </c>
      <c r="I124" s="151" t="n">
        <f aca="false">E124*F124*H124</f>
        <v>0</v>
      </c>
      <c r="J124" s="151" t="n">
        <f aca="false">E124*(1-F124)*H124</f>
        <v>0</v>
      </c>
      <c r="K124" s="151" t="n">
        <f aca="false">IF(COUNT('12_Datos_5m'!E125:E$504)=0,1000000000000,MIN('12_Datos_5m'!E125:E$504))</f>
        <v>1000000000000</v>
      </c>
      <c r="L124" s="151" t="n">
        <f aca="false">IF(COUNT('12_Datos_5m'!D125:D$504)=0,0,MAX('12_Datos_5m'!D125:D$504))</f>
        <v>0</v>
      </c>
      <c r="M124" s="151" t="str">
        <f aca="false">IF(ISNUMBER(B124),B124*(1-1/'13_Mapa_Liq'!$B$15+'13_Mapa_Liq'!$B$6),"")</f>
        <v/>
      </c>
      <c r="N124" s="151" t="n">
        <f aca="false">IF(ISNUMBER(B124),IF(K124&gt;M124,I124*'13_Mapa_Liq'!$C$15,0),0)</f>
        <v>0</v>
      </c>
      <c r="O124" s="151" t="str">
        <f aca="false">IF(ISNUMBER(B124),B124*(1+1/'13_Mapa_Liq'!$B$15-'13_Mapa_Liq'!$B$6),"")</f>
        <v/>
      </c>
      <c r="P124" s="151" t="n">
        <f aca="false">IF(ISNUMBER(B124),IF(L124&lt;O124,J124*'13_Mapa_Liq'!$C$15,0),0)</f>
        <v>0</v>
      </c>
      <c r="Q124" s="151" t="str">
        <f aca="false">IF(ISNUMBER(B124),B124*(1-1/'13_Mapa_Liq'!$B$16+'13_Mapa_Liq'!$B$6),"")</f>
        <v/>
      </c>
      <c r="R124" s="151" t="n">
        <f aca="false">IF(ISNUMBER(B124),IF(K124&gt;Q124,I124*'13_Mapa_Liq'!$C$16,0),0)</f>
        <v>0</v>
      </c>
      <c r="S124" s="151" t="str">
        <f aca="false">IF(ISNUMBER(B124),B124*(1+1/'13_Mapa_Liq'!$B$16-'13_Mapa_Liq'!$B$6),"")</f>
        <v/>
      </c>
      <c r="T124" s="151" t="n">
        <f aca="false">IF(ISNUMBER(B124),IF(L124&lt;S124,J124*'13_Mapa_Liq'!$C$16,0),0)</f>
        <v>0</v>
      </c>
      <c r="U124" s="151" t="str">
        <f aca="false">IF(ISNUMBER(B124),B124*(1-1/'13_Mapa_Liq'!$B$17+'13_Mapa_Liq'!$B$6),"")</f>
        <v/>
      </c>
      <c r="V124" s="151" t="n">
        <f aca="false">IF(ISNUMBER(B124),IF(K124&gt;U124,I124*'13_Mapa_Liq'!$C$17,0),0)</f>
        <v>0</v>
      </c>
      <c r="W124" s="151" t="str">
        <f aca="false">IF(ISNUMBER(B124),B124*(1+1/'13_Mapa_Liq'!$B$17-'13_Mapa_Liq'!$B$6),"")</f>
        <v/>
      </c>
      <c r="X124" s="151" t="n">
        <f aca="false">IF(ISNUMBER(B124),IF(L124&lt;W124,J124*'13_Mapa_Liq'!$C$17,0),0)</f>
        <v>0</v>
      </c>
      <c r="Y124" s="151" t="str">
        <f aca="false">IF(ISNUMBER(B124),B124*(1-1/'13_Mapa_Liq'!$B$18+'13_Mapa_Liq'!$B$6),"")</f>
        <v/>
      </c>
      <c r="Z124" s="151" t="n">
        <f aca="false">IF(ISNUMBER(B124),IF(K124&gt;Y124,I124*'13_Mapa_Liq'!$C$18,0),0)</f>
        <v>0</v>
      </c>
      <c r="AA124" s="151" t="str">
        <f aca="false">IF(ISNUMBER(B124),B124*(1+1/'13_Mapa_Liq'!$B$18-'13_Mapa_Liq'!$B$6),"")</f>
        <v/>
      </c>
      <c r="AB124" s="151" t="n">
        <f aca="false">IF(ISNUMBER(B124),IF(L124&lt;AA124,J124*'13_Mapa_Liq'!$C$18,0),0)</f>
        <v>0</v>
      </c>
      <c r="AC124" s="151" t="str">
        <f aca="false">IF(ISNUMBER(B124),B124*(1-1/'13_Mapa_Liq'!$B$19+'13_Mapa_Liq'!$B$6),"")</f>
        <v/>
      </c>
      <c r="AD124" s="151" t="n">
        <f aca="false">IF(ISNUMBER(B124),IF(K124&gt;AC124,I124*'13_Mapa_Liq'!$C$19,0),0)</f>
        <v>0</v>
      </c>
      <c r="AE124" s="151" t="str">
        <f aca="false">IF(ISNUMBER(B124),B124*(1+1/'13_Mapa_Liq'!$B$19-'13_Mapa_Liq'!$B$6),"")</f>
        <v/>
      </c>
      <c r="AF124" s="151" t="n">
        <f aca="false">IF(ISNUMBER(B124),IF(L124&lt;AE124,J124*'13_Mapa_Liq'!$C$19,0),0)</f>
        <v>0</v>
      </c>
      <c r="AG124" s="151"/>
      <c r="AH124" s="151" t="n">
        <f aca="false">IF(ISNUMBER(B124),E124*F124*((K124&lt;=M124)*'13_Mapa_Liq'!$C$15+(K124&lt;=Q124)*'13_Mapa_Liq'!$C$16+(K124&lt;=U124)*'13_Mapa_Liq'!$C$17+(K124&lt;=Y124)*'13_Mapa_Liq'!$C$18+(K124&lt;=AC124)*'13_Mapa_Liq'!$C$19),0)</f>
        <v>0</v>
      </c>
      <c r="AI124" s="151" t="n">
        <f aca="false">IF(ISNUMBER(B124),E124*(1-F124)*((L124&gt;=O124)*'13_Mapa_Liq'!$C$15+(L124&gt;=S124)*'13_Mapa_Liq'!$C$16+(L124&gt;=W124)*'13_Mapa_Liq'!$C$17+(L124&gt;=AA124)*'13_Mapa_Liq'!$C$18+(L124&gt;=AE124)*'13_Mapa_Liq'!$C$19),0)</f>
        <v>0</v>
      </c>
    </row>
    <row r="125" customFormat="false" ht="15" hidden="false" customHeight="false" outlineLevel="0" collapsed="false">
      <c r="A125" s="151" t="str">
        <f aca="false">IF(ISNUMBER('12_Datos_5m'!F125),ROW()-4,"")</f>
        <v/>
      </c>
      <c r="B125" s="151" t="str">
        <f aca="false">IF(ISNUMBER('12_Datos_5m'!F125),'12_Datos_5m'!F125,"")</f>
        <v/>
      </c>
      <c r="C125" s="151" t="str">
        <f aca="false">IF(ISNUMBER('12_Datos_5m'!A125),'12_Datos_5m'!A125,"")</f>
        <v/>
      </c>
      <c r="D125" s="151" t="n">
        <f aca="false">IF(AND(ISNUMBER('12_Datos_5m'!I125),ISNUMBER('12_Datos_5m'!I124)),'12_Datos_5m'!I125-'12_Datos_5m'!I124,0)</f>
        <v>0</v>
      </c>
      <c r="E125" s="151" t="n">
        <f aca="false">MAX(0,D125)</f>
        <v>0</v>
      </c>
      <c r="F125" s="151" t="n">
        <f aca="false">IF(AND(ISNUMBER('12_Datos_5m'!G125),N('12_Datos_5m'!G125)&gt;0),'12_Datos_5m'!H125/'12_Datos_5m'!G125,0.5)</f>
        <v>0.5</v>
      </c>
      <c r="G125" s="151" t="n">
        <f aca="false">IF(ISNUMBER(C125),($C$2-C125)/3600000,0)</f>
        <v>0</v>
      </c>
      <c r="H125" s="151" t="n">
        <f aca="false">EXP(-G125/'13_Mapa_Liq'!$B$7)</f>
        <v>1</v>
      </c>
      <c r="I125" s="151" t="n">
        <f aca="false">E125*F125*H125</f>
        <v>0</v>
      </c>
      <c r="J125" s="151" t="n">
        <f aca="false">E125*(1-F125)*H125</f>
        <v>0</v>
      </c>
      <c r="K125" s="151" t="n">
        <f aca="false">IF(COUNT('12_Datos_5m'!E126:E$504)=0,1000000000000,MIN('12_Datos_5m'!E126:E$504))</f>
        <v>1000000000000</v>
      </c>
      <c r="L125" s="151" t="n">
        <f aca="false">IF(COUNT('12_Datos_5m'!D126:D$504)=0,0,MAX('12_Datos_5m'!D126:D$504))</f>
        <v>0</v>
      </c>
      <c r="M125" s="151" t="str">
        <f aca="false">IF(ISNUMBER(B125),B125*(1-1/'13_Mapa_Liq'!$B$15+'13_Mapa_Liq'!$B$6),"")</f>
        <v/>
      </c>
      <c r="N125" s="151" t="n">
        <f aca="false">IF(ISNUMBER(B125),IF(K125&gt;M125,I125*'13_Mapa_Liq'!$C$15,0),0)</f>
        <v>0</v>
      </c>
      <c r="O125" s="151" t="str">
        <f aca="false">IF(ISNUMBER(B125),B125*(1+1/'13_Mapa_Liq'!$B$15-'13_Mapa_Liq'!$B$6),"")</f>
        <v/>
      </c>
      <c r="P125" s="151" t="n">
        <f aca="false">IF(ISNUMBER(B125),IF(L125&lt;O125,J125*'13_Mapa_Liq'!$C$15,0),0)</f>
        <v>0</v>
      </c>
      <c r="Q125" s="151" t="str">
        <f aca="false">IF(ISNUMBER(B125),B125*(1-1/'13_Mapa_Liq'!$B$16+'13_Mapa_Liq'!$B$6),"")</f>
        <v/>
      </c>
      <c r="R125" s="151" t="n">
        <f aca="false">IF(ISNUMBER(B125),IF(K125&gt;Q125,I125*'13_Mapa_Liq'!$C$16,0),0)</f>
        <v>0</v>
      </c>
      <c r="S125" s="151" t="str">
        <f aca="false">IF(ISNUMBER(B125),B125*(1+1/'13_Mapa_Liq'!$B$16-'13_Mapa_Liq'!$B$6),"")</f>
        <v/>
      </c>
      <c r="T125" s="151" t="n">
        <f aca="false">IF(ISNUMBER(B125),IF(L125&lt;S125,J125*'13_Mapa_Liq'!$C$16,0),0)</f>
        <v>0</v>
      </c>
      <c r="U125" s="151" t="str">
        <f aca="false">IF(ISNUMBER(B125),B125*(1-1/'13_Mapa_Liq'!$B$17+'13_Mapa_Liq'!$B$6),"")</f>
        <v/>
      </c>
      <c r="V125" s="151" t="n">
        <f aca="false">IF(ISNUMBER(B125),IF(K125&gt;U125,I125*'13_Mapa_Liq'!$C$17,0),0)</f>
        <v>0</v>
      </c>
      <c r="W125" s="151" t="str">
        <f aca="false">IF(ISNUMBER(B125),B125*(1+1/'13_Mapa_Liq'!$B$17-'13_Mapa_Liq'!$B$6),"")</f>
        <v/>
      </c>
      <c r="X125" s="151" t="n">
        <f aca="false">IF(ISNUMBER(B125),IF(L125&lt;W125,J125*'13_Mapa_Liq'!$C$17,0),0)</f>
        <v>0</v>
      </c>
      <c r="Y125" s="151" t="str">
        <f aca="false">IF(ISNUMBER(B125),B125*(1-1/'13_Mapa_Liq'!$B$18+'13_Mapa_Liq'!$B$6),"")</f>
        <v/>
      </c>
      <c r="Z125" s="151" t="n">
        <f aca="false">IF(ISNUMBER(B125),IF(K125&gt;Y125,I125*'13_Mapa_Liq'!$C$18,0),0)</f>
        <v>0</v>
      </c>
      <c r="AA125" s="151" t="str">
        <f aca="false">IF(ISNUMBER(B125),B125*(1+1/'13_Mapa_Liq'!$B$18-'13_Mapa_Liq'!$B$6),"")</f>
        <v/>
      </c>
      <c r="AB125" s="151" t="n">
        <f aca="false">IF(ISNUMBER(B125),IF(L125&lt;AA125,J125*'13_Mapa_Liq'!$C$18,0),0)</f>
        <v>0</v>
      </c>
      <c r="AC125" s="151" t="str">
        <f aca="false">IF(ISNUMBER(B125),B125*(1-1/'13_Mapa_Liq'!$B$19+'13_Mapa_Liq'!$B$6),"")</f>
        <v/>
      </c>
      <c r="AD125" s="151" t="n">
        <f aca="false">IF(ISNUMBER(B125),IF(K125&gt;AC125,I125*'13_Mapa_Liq'!$C$19,0),0)</f>
        <v>0</v>
      </c>
      <c r="AE125" s="151" t="str">
        <f aca="false">IF(ISNUMBER(B125),B125*(1+1/'13_Mapa_Liq'!$B$19-'13_Mapa_Liq'!$B$6),"")</f>
        <v/>
      </c>
      <c r="AF125" s="151" t="n">
        <f aca="false">IF(ISNUMBER(B125),IF(L125&lt;AE125,J125*'13_Mapa_Liq'!$C$19,0),0)</f>
        <v>0</v>
      </c>
      <c r="AG125" s="151"/>
      <c r="AH125" s="151" t="n">
        <f aca="false">IF(ISNUMBER(B125),E125*F125*((K125&lt;=M125)*'13_Mapa_Liq'!$C$15+(K125&lt;=Q125)*'13_Mapa_Liq'!$C$16+(K125&lt;=U125)*'13_Mapa_Liq'!$C$17+(K125&lt;=Y125)*'13_Mapa_Liq'!$C$18+(K125&lt;=AC125)*'13_Mapa_Liq'!$C$19),0)</f>
        <v>0</v>
      </c>
      <c r="AI125" s="151" t="n">
        <f aca="false">IF(ISNUMBER(B125),E125*(1-F125)*((L125&gt;=O125)*'13_Mapa_Liq'!$C$15+(L125&gt;=S125)*'13_Mapa_Liq'!$C$16+(L125&gt;=W125)*'13_Mapa_Liq'!$C$17+(L125&gt;=AA125)*'13_Mapa_Liq'!$C$18+(L125&gt;=AE125)*'13_Mapa_Liq'!$C$19),0)</f>
        <v>0</v>
      </c>
    </row>
    <row r="126" customFormat="false" ht="15" hidden="false" customHeight="false" outlineLevel="0" collapsed="false">
      <c r="A126" s="151" t="str">
        <f aca="false">IF(ISNUMBER('12_Datos_5m'!F126),ROW()-4,"")</f>
        <v/>
      </c>
      <c r="B126" s="151" t="str">
        <f aca="false">IF(ISNUMBER('12_Datos_5m'!F126),'12_Datos_5m'!F126,"")</f>
        <v/>
      </c>
      <c r="C126" s="151" t="str">
        <f aca="false">IF(ISNUMBER('12_Datos_5m'!A126),'12_Datos_5m'!A126,"")</f>
        <v/>
      </c>
      <c r="D126" s="151" t="n">
        <f aca="false">IF(AND(ISNUMBER('12_Datos_5m'!I126),ISNUMBER('12_Datos_5m'!I125)),'12_Datos_5m'!I126-'12_Datos_5m'!I125,0)</f>
        <v>0</v>
      </c>
      <c r="E126" s="151" t="n">
        <f aca="false">MAX(0,D126)</f>
        <v>0</v>
      </c>
      <c r="F126" s="151" t="n">
        <f aca="false">IF(AND(ISNUMBER('12_Datos_5m'!G126),N('12_Datos_5m'!G126)&gt;0),'12_Datos_5m'!H126/'12_Datos_5m'!G126,0.5)</f>
        <v>0.5</v>
      </c>
      <c r="G126" s="151" t="n">
        <f aca="false">IF(ISNUMBER(C126),($C$2-C126)/3600000,0)</f>
        <v>0</v>
      </c>
      <c r="H126" s="151" t="n">
        <f aca="false">EXP(-G126/'13_Mapa_Liq'!$B$7)</f>
        <v>1</v>
      </c>
      <c r="I126" s="151" t="n">
        <f aca="false">E126*F126*H126</f>
        <v>0</v>
      </c>
      <c r="J126" s="151" t="n">
        <f aca="false">E126*(1-F126)*H126</f>
        <v>0</v>
      </c>
      <c r="K126" s="151" t="n">
        <f aca="false">IF(COUNT('12_Datos_5m'!E127:E$504)=0,1000000000000,MIN('12_Datos_5m'!E127:E$504))</f>
        <v>1000000000000</v>
      </c>
      <c r="L126" s="151" t="n">
        <f aca="false">IF(COUNT('12_Datos_5m'!D127:D$504)=0,0,MAX('12_Datos_5m'!D127:D$504))</f>
        <v>0</v>
      </c>
      <c r="M126" s="151" t="str">
        <f aca="false">IF(ISNUMBER(B126),B126*(1-1/'13_Mapa_Liq'!$B$15+'13_Mapa_Liq'!$B$6),"")</f>
        <v/>
      </c>
      <c r="N126" s="151" t="n">
        <f aca="false">IF(ISNUMBER(B126),IF(K126&gt;M126,I126*'13_Mapa_Liq'!$C$15,0),0)</f>
        <v>0</v>
      </c>
      <c r="O126" s="151" t="str">
        <f aca="false">IF(ISNUMBER(B126),B126*(1+1/'13_Mapa_Liq'!$B$15-'13_Mapa_Liq'!$B$6),"")</f>
        <v/>
      </c>
      <c r="P126" s="151" t="n">
        <f aca="false">IF(ISNUMBER(B126),IF(L126&lt;O126,J126*'13_Mapa_Liq'!$C$15,0),0)</f>
        <v>0</v>
      </c>
      <c r="Q126" s="151" t="str">
        <f aca="false">IF(ISNUMBER(B126),B126*(1-1/'13_Mapa_Liq'!$B$16+'13_Mapa_Liq'!$B$6),"")</f>
        <v/>
      </c>
      <c r="R126" s="151" t="n">
        <f aca="false">IF(ISNUMBER(B126),IF(K126&gt;Q126,I126*'13_Mapa_Liq'!$C$16,0),0)</f>
        <v>0</v>
      </c>
      <c r="S126" s="151" t="str">
        <f aca="false">IF(ISNUMBER(B126),B126*(1+1/'13_Mapa_Liq'!$B$16-'13_Mapa_Liq'!$B$6),"")</f>
        <v/>
      </c>
      <c r="T126" s="151" t="n">
        <f aca="false">IF(ISNUMBER(B126),IF(L126&lt;S126,J126*'13_Mapa_Liq'!$C$16,0),0)</f>
        <v>0</v>
      </c>
      <c r="U126" s="151" t="str">
        <f aca="false">IF(ISNUMBER(B126),B126*(1-1/'13_Mapa_Liq'!$B$17+'13_Mapa_Liq'!$B$6),"")</f>
        <v/>
      </c>
      <c r="V126" s="151" t="n">
        <f aca="false">IF(ISNUMBER(B126),IF(K126&gt;U126,I126*'13_Mapa_Liq'!$C$17,0),0)</f>
        <v>0</v>
      </c>
      <c r="W126" s="151" t="str">
        <f aca="false">IF(ISNUMBER(B126),B126*(1+1/'13_Mapa_Liq'!$B$17-'13_Mapa_Liq'!$B$6),"")</f>
        <v/>
      </c>
      <c r="X126" s="151" t="n">
        <f aca="false">IF(ISNUMBER(B126),IF(L126&lt;W126,J126*'13_Mapa_Liq'!$C$17,0),0)</f>
        <v>0</v>
      </c>
      <c r="Y126" s="151" t="str">
        <f aca="false">IF(ISNUMBER(B126),B126*(1-1/'13_Mapa_Liq'!$B$18+'13_Mapa_Liq'!$B$6),"")</f>
        <v/>
      </c>
      <c r="Z126" s="151" t="n">
        <f aca="false">IF(ISNUMBER(B126),IF(K126&gt;Y126,I126*'13_Mapa_Liq'!$C$18,0),0)</f>
        <v>0</v>
      </c>
      <c r="AA126" s="151" t="str">
        <f aca="false">IF(ISNUMBER(B126),B126*(1+1/'13_Mapa_Liq'!$B$18-'13_Mapa_Liq'!$B$6),"")</f>
        <v/>
      </c>
      <c r="AB126" s="151" t="n">
        <f aca="false">IF(ISNUMBER(B126),IF(L126&lt;AA126,J126*'13_Mapa_Liq'!$C$18,0),0)</f>
        <v>0</v>
      </c>
      <c r="AC126" s="151" t="str">
        <f aca="false">IF(ISNUMBER(B126),B126*(1-1/'13_Mapa_Liq'!$B$19+'13_Mapa_Liq'!$B$6),"")</f>
        <v/>
      </c>
      <c r="AD126" s="151" t="n">
        <f aca="false">IF(ISNUMBER(B126),IF(K126&gt;AC126,I126*'13_Mapa_Liq'!$C$19,0),0)</f>
        <v>0</v>
      </c>
      <c r="AE126" s="151" t="str">
        <f aca="false">IF(ISNUMBER(B126),B126*(1+1/'13_Mapa_Liq'!$B$19-'13_Mapa_Liq'!$B$6),"")</f>
        <v/>
      </c>
      <c r="AF126" s="151" t="n">
        <f aca="false">IF(ISNUMBER(B126),IF(L126&lt;AE126,J126*'13_Mapa_Liq'!$C$19,0),0)</f>
        <v>0</v>
      </c>
      <c r="AG126" s="151"/>
      <c r="AH126" s="151" t="n">
        <f aca="false">IF(ISNUMBER(B126),E126*F126*((K126&lt;=M126)*'13_Mapa_Liq'!$C$15+(K126&lt;=Q126)*'13_Mapa_Liq'!$C$16+(K126&lt;=U126)*'13_Mapa_Liq'!$C$17+(K126&lt;=Y126)*'13_Mapa_Liq'!$C$18+(K126&lt;=AC126)*'13_Mapa_Liq'!$C$19),0)</f>
        <v>0</v>
      </c>
      <c r="AI126" s="151" t="n">
        <f aca="false">IF(ISNUMBER(B126),E126*(1-F126)*((L126&gt;=O126)*'13_Mapa_Liq'!$C$15+(L126&gt;=S126)*'13_Mapa_Liq'!$C$16+(L126&gt;=W126)*'13_Mapa_Liq'!$C$17+(L126&gt;=AA126)*'13_Mapa_Liq'!$C$18+(L126&gt;=AE126)*'13_Mapa_Liq'!$C$19),0)</f>
        <v>0</v>
      </c>
    </row>
    <row r="127" customFormat="false" ht="15" hidden="false" customHeight="false" outlineLevel="0" collapsed="false">
      <c r="A127" s="151" t="str">
        <f aca="false">IF(ISNUMBER('12_Datos_5m'!F127),ROW()-4,"")</f>
        <v/>
      </c>
      <c r="B127" s="151" t="str">
        <f aca="false">IF(ISNUMBER('12_Datos_5m'!F127),'12_Datos_5m'!F127,"")</f>
        <v/>
      </c>
      <c r="C127" s="151" t="str">
        <f aca="false">IF(ISNUMBER('12_Datos_5m'!A127),'12_Datos_5m'!A127,"")</f>
        <v/>
      </c>
      <c r="D127" s="151" t="n">
        <f aca="false">IF(AND(ISNUMBER('12_Datos_5m'!I127),ISNUMBER('12_Datos_5m'!I126)),'12_Datos_5m'!I127-'12_Datos_5m'!I126,0)</f>
        <v>0</v>
      </c>
      <c r="E127" s="151" t="n">
        <f aca="false">MAX(0,D127)</f>
        <v>0</v>
      </c>
      <c r="F127" s="151" t="n">
        <f aca="false">IF(AND(ISNUMBER('12_Datos_5m'!G127),N('12_Datos_5m'!G127)&gt;0),'12_Datos_5m'!H127/'12_Datos_5m'!G127,0.5)</f>
        <v>0.5</v>
      </c>
      <c r="G127" s="151" t="n">
        <f aca="false">IF(ISNUMBER(C127),($C$2-C127)/3600000,0)</f>
        <v>0</v>
      </c>
      <c r="H127" s="151" t="n">
        <f aca="false">EXP(-G127/'13_Mapa_Liq'!$B$7)</f>
        <v>1</v>
      </c>
      <c r="I127" s="151" t="n">
        <f aca="false">E127*F127*H127</f>
        <v>0</v>
      </c>
      <c r="J127" s="151" t="n">
        <f aca="false">E127*(1-F127)*H127</f>
        <v>0</v>
      </c>
      <c r="K127" s="151" t="n">
        <f aca="false">IF(COUNT('12_Datos_5m'!E128:E$504)=0,1000000000000,MIN('12_Datos_5m'!E128:E$504))</f>
        <v>1000000000000</v>
      </c>
      <c r="L127" s="151" t="n">
        <f aca="false">IF(COUNT('12_Datos_5m'!D128:D$504)=0,0,MAX('12_Datos_5m'!D128:D$504))</f>
        <v>0</v>
      </c>
      <c r="M127" s="151" t="str">
        <f aca="false">IF(ISNUMBER(B127),B127*(1-1/'13_Mapa_Liq'!$B$15+'13_Mapa_Liq'!$B$6),"")</f>
        <v/>
      </c>
      <c r="N127" s="151" t="n">
        <f aca="false">IF(ISNUMBER(B127),IF(K127&gt;M127,I127*'13_Mapa_Liq'!$C$15,0),0)</f>
        <v>0</v>
      </c>
      <c r="O127" s="151" t="str">
        <f aca="false">IF(ISNUMBER(B127),B127*(1+1/'13_Mapa_Liq'!$B$15-'13_Mapa_Liq'!$B$6),"")</f>
        <v/>
      </c>
      <c r="P127" s="151" t="n">
        <f aca="false">IF(ISNUMBER(B127),IF(L127&lt;O127,J127*'13_Mapa_Liq'!$C$15,0),0)</f>
        <v>0</v>
      </c>
      <c r="Q127" s="151" t="str">
        <f aca="false">IF(ISNUMBER(B127),B127*(1-1/'13_Mapa_Liq'!$B$16+'13_Mapa_Liq'!$B$6),"")</f>
        <v/>
      </c>
      <c r="R127" s="151" t="n">
        <f aca="false">IF(ISNUMBER(B127),IF(K127&gt;Q127,I127*'13_Mapa_Liq'!$C$16,0),0)</f>
        <v>0</v>
      </c>
      <c r="S127" s="151" t="str">
        <f aca="false">IF(ISNUMBER(B127),B127*(1+1/'13_Mapa_Liq'!$B$16-'13_Mapa_Liq'!$B$6),"")</f>
        <v/>
      </c>
      <c r="T127" s="151" t="n">
        <f aca="false">IF(ISNUMBER(B127),IF(L127&lt;S127,J127*'13_Mapa_Liq'!$C$16,0),0)</f>
        <v>0</v>
      </c>
      <c r="U127" s="151" t="str">
        <f aca="false">IF(ISNUMBER(B127),B127*(1-1/'13_Mapa_Liq'!$B$17+'13_Mapa_Liq'!$B$6),"")</f>
        <v/>
      </c>
      <c r="V127" s="151" t="n">
        <f aca="false">IF(ISNUMBER(B127),IF(K127&gt;U127,I127*'13_Mapa_Liq'!$C$17,0),0)</f>
        <v>0</v>
      </c>
      <c r="W127" s="151" t="str">
        <f aca="false">IF(ISNUMBER(B127),B127*(1+1/'13_Mapa_Liq'!$B$17-'13_Mapa_Liq'!$B$6),"")</f>
        <v/>
      </c>
      <c r="X127" s="151" t="n">
        <f aca="false">IF(ISNUMBER(B127),IF(L127&lt;W127,J127*'13_Mapa_Liq'!$C$17,0),0)</f>
        <v>0</v>
      </c>
      <c r="Y127" s="151" t="str">
        <f aca="false">IF(ISNUMBER(B127),B127*(1-1/'13_Mapa_Liq'!$B$18+'13_Mapa_Liq'!$B$6),"")</f>
        <v/>
      </c>
      <c r="Z127" s="151" t="n">
        <f aca="false">IF(ISNUMBER(B127),IF(K127&gt;Y127,I127*'13_Mapa_Liq'!$C$18,0),0)</f>
        <v>0</v>
      </c>
      <c r="AA127" s="151" t="str">
        <f aca="false">IF(ISNUMBER(B127),B127*(1+1/'13_Mapa_Liq'!$B$18-'13_Mapa_Liq'!$B$6),"")</f>
        <v/>
      </c>
      <c r="AB127" s="151" t="n">
        <f aca="false">IF(ISNUMBER(B127),IF(L127&lt;AA127,J127*'13_Mapa_Liq'!$C$18,0),0)</f>
        <v>0</v>
      </c>
      <c r="AC127" s="151" t="str">
        <f aca="false">IF(ISNUMBER(B127),B127*(1-1/'13_Mapa_Liq'!$B$19+'13_Mapa_Liq'!$B$6),"")</f>
        <v/>
      </c>
      <c r="AD127" s="151" t="n">
        <f aca="false">IF(ISNUMBER(B127),IF(K127&gt;AC127,I127*'13_Mapa_Liq'!$C$19,0),0)</f>
        <v>0</v>
      </c>
      <c r="AE127" s="151" t="str">
        <f aca="false">IF(ISNUMBER(B127),B127*(1+1/'13_Mapa_Liq'!$B$19-'13_Mapa_Liq'!$B$6),"")</f>
        <v/>
      </c>
      <c r="AF127" s="151" t="n">
        <f aca="false">IF(ISNUMBER(B127),IF(L127&lt;AE127,J127*'13_Mapa_Liq'!$C$19,0),0)</f>
        <v>0</v>
      </c>
      <c r="AG127" s="151"/>
      <c r="AH127" s="151" t="n">
        <f aca="false">IF(ISNUMBER(B127),E127*F127*((K127&lt;=M127)*'13_Mapa_Liq'!$C$15+(K127&lt;=Q127)*'13_Mapa_Liq'!$C$16+(K127&lt;=U127)*'13_Mapa_Liq'!$C$17+(K127&lt;=Y127)*'13_Mapa_Liq'!$C$18+(K127&lt;=AC127)*'13_Mapa_Liq'!$C$19),0)</f>
        <v>0</v>
      </c>
      <c r="AI127" s="151" t="n">
        <f aca="false">IF(ISNUMBER(B127),E127*(1-F127)*((L127&gt;=O127)*'13_Mapa_Liq'!$C$15+(L127&gt;=S127)*'13_Mapa_Liq'!$C$16+(L127&gt;=W127)*'13_Mapa_Liq'!$C$17+(L127&gt;=AA127)*'13_Mapa_Liq'!$C$18+(L127&gt;=AE127)*'13_Mapa_Liq'!$C$19),0)</f>
        <v>0</v>
      </c>
    </row>
    <row r="128" customFormat="false" ht="15" hidden="false" customHeight="false" outlineLevel="0" collapsed="false">
      <c r="A128" s="151" t="str">
        <f aca="false">IF(ISNUMBER('12_Datos_5m'!F128),ROW()-4,"")</f>
        <v/>
      </c>
      <c r="B128" s="151" t="str">
        <f aca="false">IF(ISNUMBER('12_Datos_5m'!F128),'12_Datos_5m'!F128,"")</f>
        <v/>
      </c>
      <c r="C128" s="151" t="str">
        <f aca="false">IF(ISNUMBER('12_Datos_5m'!A128),'12_Datos_5m'!A128,"")</f>
        <v/>
      </c>
      <c r="D128" s="151" t="n">
        <f aca="false">IF(AND(ISNUMBER('12_Datos_5m'!I128),ISNUMBER('12_Datos_5m'!I127)),'12_Datos_5m'!I128-'12_Datos_5m'!I127,0)</f>
        <v>0</v>
      </c>
      <c r="E128" s="151" t="n">
        <f aca="false">MAX(0,D128)</f>
        <v>0</v>
      </c>
      <c r="F128" s="151" t="n">
        <f aca="false">IF(AND(ISNUMBER('12_Datos_5m'!G128),N('12_Datos_5m'!G128)&gt;0),'12_Datos_5m'!H128/'12_Datos_5m'!G128,0.5)</f>
        <v>0.5</v>
      </c>
      <c r="G128" s="151" t="n">
        <f aca="false">IF(ISNUMBER(C128),($C$2-C128)/3600000,0)</f>
        <v>0</v>
      </c>
      <c r="H128" s="151" t="n">
        <f aca="false">EXP(-G128/'13_Mapa_Liq'!$B$7)</f>
        <v>1</v>
      </c>
      <c r="I128" s="151" t="n">
        <f aca="false">E128*F128*H128</f>
        <v>0</v>
      </c>
      <c r="J128" s="151" t="n">
        <f aca="false">E128*(1-F128)*H128</f>
        <v>0</v>
      </c>
      <c r="K128" s="151" t="n">
        <f aca="false">IF(COUNT('12_Datos_5m'!E129:E$504)=0,1000000000000,MIN('12_Datos_5m'!E129:E$504))</f>
        <v>1000000000000</v>
      </c>
      <c r="L128" s="151" t="n">
        <f aca="false">IF(COUNT('12_Datos_5m'!D129:D$504)=0,0,MAX('12_Datos_5m'!D129:D$504))</f>
        <v>0</v>
      </c>
      <c r="M128" s="151" t="str">
        <f aca="false">IF(ISNUMBER(B128),B128*(1-1/'13_Mapa_Liq'!$B$15+'13_Mapa_Liq'!$B$6),"")</f>
        <v/>
      </c>
      <c r="N128" s="151" t="n">
        <f aca="false">IF(ISNUMBER(B128),IF(K128&gt;M128,I128*'13_Mapa_Liq'!$C$15,0),0)</f>
        <v>0</v>
      </c>
      <c r="O128" s="151" t="str">
        <f aca="false">IF(ISNUMBER(B128),B128*(1+1/'13_Mapa_Liq'!$B$15-'13_Mapa_Liq'!$B$6),"")</f>
        <v/>
      </c>
      <c r="P128" s="151" t="n">
        <f aca="false">IF(ISNUMBER(B128),IF(L128&lt;O128,J128*'13_Mapa_Liq'!$C$15,0),0)</f>
        <v>0</v>
      </c>
      <c r="Q128" s="151" t="str">
        <f aca="false">IF(ISNUMBER(B128),B128*(1-1/'13_Mapa_Liq'!$B$16+'13_Mapa_Liq'!$B$6),"")</f>
        <v/>
      </c>
      <c r="R128" s="151" t="n">
        <f aca="false">IF(ISNUMBER(B128),IF(K128&gt;Q128,I128*'13_Mapa_Liq'!$C$16,0),0)</f>
        <v>0</v>
      </c>
      <c r="S128" s="151" t="str">
        <f aca="false">IF(ISNUMBER(B128),B128*(1+1/'13_Mapa_Liq'!$B$16-'13_Mapa_Liq'!$B$6),"")</f>
        <v/>
      </c>
      <c r="T128" s="151" t="n">
        <f aca="false">IF(ISNUMBER(B128),IF(L128&lt;S128,J128*'13_Mapa_Liq'!$C$16,0),0)</f>
        <v>0</v>
      </c>
      <c r="U128" s="151" t="str">
        <f aca="false">IF(ISNUMBER(B128),B128*(1-1/'13_Mapa_Liq'!$B$17+'13_Mapa_Liq'!$B$6),"")</f>
        <v/>
      </c>
      <c r="V128" s="151" t="n">
        <f aca="false">IF(ISNUMBER(B128),IF(K128&gt;U128,I128*'13_Mapa_Liq'!$C$17,0),0)</f>
        <v>0</v>
      </c>
      <c r="W128" s="151" t="str">
        <f aca="false">IF(ISNUMBER(B128),B128*(1+1/'13_Mapa_Liq'!$B$17-'13_Mapa_Liq'!$B$6),"")</f>
        <v/>
      </c>
      <c r="X128" s="151" t="n">
        <f aca="false">IF(ISNUMBER(B128),IF(L128&lt;W128,J128*'13_Mapa_Liq'!$C$17,0),0)</f>
        <v>0</v>
      </c>
      <c r="Y128" s="151" t="str">
        <f aca="false">IF(ISNUMBER(B128),B128*(1-1/'13_Mapa_Liq'!$B$18+'13_Mapa_Liq'!$B$6),"")</f>
        <v/>
      </c>
      <c r="Z128" s="151" t="n">
        <f aca="false">IF(ISNUMBER(B128),IF(K128&gt;Y128,I128*'13_Mapa_Liq'!$C$18,0),0)</f>
        <v>0</v>
      </c>
      <c r="AA128" s="151" t="str">
        <f aca="false">IF(ISNUMBER(B128),B128*(1+1/'13_Mapa_Liq'!$B$18-'13_Mapa_Liq'!$B$6),"")</f>
        <v/>
      </c>
      <c r="AB128" s="151" t="n">
        <f aca="false">IF(ISNUMBER(B128),IF(L128&lt;AA128,J128*'13_Mapa_Liq'!$C$18,0),0)</f>
        <v>0</v>
      </c>
      <c r="AC128" s="151" t="str">
        <f aca="false">IF(ISNUMBER(B128),B128*(1-1/'13_Mapa_Liq'!$B$19+'13_Mapa_Liq'!$B$6),"")</f>
        <v/>
      </c>
      <c r="AD128" s="151" t="n">
        <f aca="false">IF(ISNUMBER(B128),IF(K128&gt;AC128,I128*'13_Mapa_Liq'!$C$19,0),0)</f>
        <v>0</v>
      </c>
      <c r="AE128" s="151" t="str">
        <f aca="false">IF(ISNUMBER(B128),B128*(1+1/'13_Mapa_Liq'!$B$19-'13_Mapa_Liq'!$B$6),"")</f>
        <v/>
      </c>
      <c r="AF128" s="151" t="n">
        <f aca="false">IF(ISNUMBER(B128),IF(L128&lt;AE128,J128*'13_Mapa_Liq'!$C$19,0),0)</f>
        <v>0</v>
      </c>
      <c r="AG128" s="151"/>
      <c r="AH128" s="151" t="n">
        <f aca="false">IF(ISNUMBER(B128),E128*F128*((K128&lt;=M128)*'13_Mapa_Liq'!$C$15+(K128&lt;=Q128)*'13_Mapa_Liq'!$C$16+(K128&lt;=U128)*'13_Mapa_Liq'!$C$17+(K128&lt;=Y128)*'13_Mapa_Liq'!$C$18+(K128&lt;=AC128)*'13_Mapa_Liq'!$C$19),0)</f>
        <v>0</v>
      </c>
      <c r="AI128" s="151" t="n">
        <f aca="false">IF(ISNUMBER(B128),E128*(1-F128)*((L128&gt;=O128)*'13_Mapa_Liq'!$C$15+(L128&gt;=S128)*'13_Mapa_Liq'!$C$16+(L128&gt;=W128)*'13_Mapa_Liq'!$C$17+(L128&gt;=AA128)*'13_Mapa_Liq'!$C$18+(L128&gt;=AE128)*'13_Mapa_Liq'!$C$19),0)</f>
        <v>0</v>
      </c>
    </row>
    <row r="129" customFormat="false" ht="15" hidden="false" customHeight="false" outlineLevel="0" collapsed="false">
      <c r="A129" s="151" t="str">
        <f aca="false">IF(ISNUMBER('12_Datos_5m'!F129),ROW()-4,"")</f>
        <v/>
      </c>
      <c r="B129" s="151" t="str">
        <f aca="false">IF(ISNUMBER('12_Datos_5m'!F129),'12_Datos_5m'!F129,"")</f>
        <v/>
      </c>
      <c r="C129" s="151" t="str">
        <f aca="false">IF(ISNUMBER('12_Datos_5m'!A129),'12_Datos_5m'!A129,"")</f>
        <v/>
      </c>
      <c r="D129" s="151" t="n">
        <f aca="false">IF(AND(ISNUMBER('12_Datos_5m'!I129),ISNUMBER('12_Datos_5m'!I128)),'12_Datos_5m'!I129-'12_Datos_5m'!I128,0)</f>
        <v>0</v>
      </c>
      <c r="E129" s="151" t="n">
        <f aca="false">MAX(0,D129)</f>
        <v>0</v>
      </c>
      <c r="F129" s="151" t="n">
        <f aca="false">IF(AND(ISNUMBER('12_Datos_5m'!G129),N('12_Datos_5m'!G129)&gt;0),'12_Datos_5m'!H129/'12_Datos_5m'!G129,0.5)</f>
        <v>0.5</v>
      </c>
      <c r="G129" s="151" t="n">
        <f aca="false">IF(ISNUMBER(C129),($C$2-C129)/3600000,0)</f>
        <v>0</v>
      </c>
      <c r="H129" s="151" t="n">
        <f aca="false">EXP(-G129/'13_Mapa_Liq'!$B$7)</f>
        <v>1</v>
      </c>
      <c r="I129" s="151" t="n">
        <f aca="false">E129*F129*H129</f>
        <v>0</v>
      </c>
      <c r="J129" s="151" t="n">
        <f aca="false">E129*(1-F129)*H129</f>
        <v>0</v>
      </c>
      <c r="K129" s="151" t="n">
        <f aca="false">IF(COUNT('12_Datos_5m'!E130:E$504)=0,1000000000000,MIN('12_Datos_5m'!E130:E$504))</f>
        <v>1000000000000</v>
      </c>
      <c r="L129" s="151" t="n">
        <f aca="false">IF(COUNT('12_Datos_5m'!D130:D$504)=0,0,MAX('12_Datos_5m'!D130:D$504))</f>
        <v>0</v>
      </c>
      <c r="M129" s="151" t="str">
        <f aca="false">IF(ISNUMBER(B129),B129*(1-1/'13_Mapa_Liq'!$B$15+'13_Mapa_Liq'!$B$6),"")</f>
        <v/>
      </c>
      <c r="N129" s="151" t="n">
        <f aca="false">IF(ISNUMBER(B129),IF(K129&gt;M129,I129*'13_Mapa_Liq'!$C$15,0),0)</f>
        <v>0</v>
      </c>
      <c r="O129" s="151" t="str">
        <f aca="false">IF(ISNUMBER(B129),B129*(1+1/'13_Mapa_Liq'!$B$15-'13_Mapa_Liq'!$B$6),"")</f>
        <v/>
      </c>
      <c r="P129" s="151" t="n">
        <f aca="false">IF(ISNUMBER(B129),IF(L129&lt;O129,J129*'13_Mapa_Liq'!$C$15,0),0)</f>
        <v>0</v>
      </c>
      <c r="Q129" s="151" t="str">
        <f aca="false">IF(ISNUMBER(B129),B129*(1-1/'13_Mapa_Liq'!$B$16+'13_Mapa_Liq'!$B$6),"")</f>
        <v/>
      </c>
      <c r="R129" s="151" t="n">
        <f aca="false">IF(ISNUMBER(B129),IF(K129&gt;Q129,I129*'13_Mapa_Liq'!$C$16,0),0)</f>
        <v>0</v>
      </c>
      <c r="S129" s="151" t="str">
        <f aca="false">IF(ISNUMBER(B129),B129*(1+1/'13_Mapa_Liq'!$B$16-'13_Mapa_Liq'!$B$6),"")</f>
        <v/>
      </c>
      <c r="T129" s="151" t="n">
        <f aca="false">IF(ISNUMBER(B129),IF(L129&lt;S129,J129*'13_Mapa_Liq'!$C$16,0),0)</f>
        <v>0</v>
      </c>
      <c r="U129" s="151" t="str">
        <f aca="false">IF(ISNUMBER(B129),B129*(1-1/'13_Mapa_Liq'!$B$17+'13_Mapa_Liq'!$B$6),"")</f>
        <v/>
      </c>
      <c r="V129" s="151" t="n">
        <f aca="false">IF(ISNUMBER(B129),IF(K129&gt;U129,I129*'13_Mapa_Liq'!$C$17,0),0)</f>
        <v>0</v>
      </c>
      <c r="W129" s="151" t="str">
        <f aca="false">IF(ISNUMBER(B129),B129*(1+1/'13_Mapa_Liq'!$B$17-'13_Mapa_Liq'!$B$6),"")</f>
        <v/>
      </c>
      <c r="X129" s="151" t="n">
        <f aca="false">IF(ISNUMBER(B129),IF(L129&lt;W129,J129*'13_Mapa_Liq'!$C$17,0),0)</f>
        <v>0</v>
      </c>
      <c r="Y129" s="151" t="str">
        <f aca="false">IF(ISNUMBER(B129),B129*(1-1/'13_Mapa_Liq'!$B$18+'13_Mapa_Liq'!$B$6),"")</f>
        <v/>
      </c>
      <c r="Z129" s="151" t="n">
        <f aca="false">IF(ISNUMBER(B129),IF(K129&gt;Y129,I129*'13_Mapa_Liq'!$C$18,0),0)</f>
        <v>0</v>
      </c>
      <c r="AA129" s="151" t="str">
        <f aca="false">IF(ISNUMBER(B129),B129*(1+1/'13_Mapa_Liq'!$B$18-'13_Mapa_Liq'!$B$6),"")</f>
        <v/>
      </c>
      <c r="AB129" s="151" t="n">
        <f aca="false">IF(ISNUMBER(B129),IF(L129&lt;AA129,J129*'13_Mapa_Liq'!$C$18,0),0)</f>
        <v>0</v>
      </c>
      <c r="AC129" s="151" t="str">
        <f aca="false">IF(ISNUMBER(B129),B129*(1-1/'13_Mapa_Liq'!$B$19+'13_Mapa_Liq'!$B$6),"")</f>
        <v/>
      </c>
      <c r="AD129" s="151" t="n">
        <f aca="false">IF(ISNUMBER(B129),IF(K129&gt;AC129,I129*'13_Mapa_Liq'!$C$19,0),0)</f>
        <v>0</v>
      </c>
      <c r="AE129" s="151" t="str">
        <f aca="false">IF(ISNUMBER(B129),B129*(1+1/'13_Mapa_Liq'!$B$19-'13_Mapa_Liq'!$B$6),"")</f>
        <v/>
      </c>
      <c r="AF129" s="151" t="n">
        <f aca="false">IF(ISNUMBER(B129),IF(L129&lt;AE129,J129*'13_Mapa_Liq'!$C$19,0),0)</f>
        <v>0</v>
      </c>
      <c r="AG129" s="151"/>
      <c r="AH129" s="151" t="n">
        <f aca="false">IF(ISNUMBER(B129),E129*F129*((K129&lt;=M129)*'13_Mapa_Liq'!$C$15+(K129&lt;=Q129)*'13_Mapa_Liq'!$C$16+(K129&lt;=U129)*'13_Mapa_Liq'!$C$17+(K129&lt;=Y129)*'13_Mapa_Liq'!$C$18+(K129&lt;=AC129)*'13_Mapa_Liq'!$C$19),0)</f>
        <v>0</v>
      </c>
      <c r="AI129" s="151" t="n">
        <f aca="false">IF(ISNUMBER(B129),E129*(1-F129)*((L129&gt;=O129)*'13_Mapa_Liq'!$C$15+(L129&gt;=S129)*'13_Mapa_Liq'!$C$16+(L129&gt;=W129)*'13_Mapa_Liq'!$C$17+(L129&gt;=AA129)*'13_Mapa_Liq'!$C$18+(L129&gt;=AE129)*'13_Mapa_Liq'!$C$19),0)</f>
        <v>0</v>
      </c>
    </row>
    <row r="130" customFormat="false" ht="15" hidden="false" customHeight="false" outlineLevel="0" collapsed="false">
      <c r="A130" s="151" t="str">
        <f aca="false">IF(ISNUMBER('12_Datos_5m'!F130),ROW()-4,"")</f>
        <v/>
      </c>
      <c r="B130" s="151" t="str">
        <f aca="false">IF(ISNUMBER('12_Datos_5m'!F130),'12_Datos_5m'!F130,"")</f>
        <v/>
      </c>
      <c r="C130" s="151" t="str">
        <f aca="false">IF(ISNUMBER('12_Datos_5m'!A130),'12_Datos_5m'!A130,"")</f>
        <v/>
      </c>
      <c r="D130" s="151" t="n">
        <f aca="false">IF(AND(ISNUMBER('12_Datos_5m'!I130),ISNUMBER('12_Datos_5m'!I129)),'12_Datos_5m'!I130-'12_Datos_5m'!I129,0)</f>
        <v>0</v>
      </c>
      <c r="E130" s="151" t="n">
        <f aca="false">MAX(0,D130)</f>
        <v>0</v>
      </c>
      <c r="F130" s="151" t="n">
        <f aca="false">IF(AND(ISNUMBER('12_Datos_5m'!G130),N('12_Datos_5m'!G130)&gt;0),'12_Datos_5m'!H130/'12_Datos_5m'!G130,0.5)</f>
        <v>0.5</v>
      </c>
      <c r="G130" s="151" t="n">
        <f aca="false">IF(ISNUMBER(C130),($C$2-C130)/3600000,0)</f>
        <v>0</v>
      </c>
      <c r="H130" s="151" t="n">
        <f aca="false">EXP(-G130/'13_Mapa_Liq'!$B$7)</f>
        <v>1</v>
      </c>
      <c r="I130" s="151" t="n">
        <f aca="false">E130*F130*H130</f>
        <v>0</v>
      </c>
      <c r="J130" s="151" t="n">
        <f aca="false">E130*(1-F130)*H130</f>
        <v>0</v>
      </c>
      <c r="K130" s="151" t="n">
        <f aca="false">IF(COUNT('12_Datos_5m'!E131:E$504)=0,1000000000000,MIN('12_Datos_5m'!E131:E$504))</f>
        <v>1000000000000</v>
      </c>
      <c r="L130" s="151" t="n">
        <f aca="false">IF(COUNT('12_Datos_5m'!D131:D$504)=0,0,MAX('12_Datos_5m'!D131:D$504))</f>
        <v>0</v>
      </c>
      <c r="M130" s="151" t="str">
        <f aca="false">IF(ISNUMBER(B130),B130*(1-1/'13_Mapa_Liq'!$B$15+'13_Mapa_Liq'!$B$6),"")</f>
        <v/>
      </c>
      <c r="N130" s="151" t="n">
        <f aca="false">IF(ISNUMBER(B130),IF(K130&gt;M130,I130*'13_Mapa_Liq'!$C$15,0),0)</f>
        <v>0</v>
      </c>
      <c r="O130" s="151" t="str">
        <f aca="false">IF(ISNUMBER(B130),B130*(1+1/'13_Mapa_Liq'!$B$15-'13_Mapa_Liq'!$B$6),"")</f>
        <v/>
      </c>
      <c r="P130" s="151" t="n">
        <f aca="false">IF(ISNUMBER(B130),IF(L130&lt;O130,J130*'13_Mapa_Liq'!$C$15,0),0)</f>
        <v>0</v>
      </c>
      <c r="Q130" s="151" t="str">
        <f aca="false">IF(ISNUMBER(B130),B130*(1-1/'13_Mapa_Liq'!$B$16+'13_Mapa_Liq'!$B$6),"")</f>
        <v/>
      </c>
      <c r="R130" s="151" t="n">
        <f aca="false">IF(ISNUMBER(B130),IF(K130&gt;Q130,I130*'13_Mapa_Liq'!$C$16,0),0)</f>
        <v>0</v>
      </c>
      <c r="S130" s="151" t="str">
        <f aca="false">IF(ISNUMBER(B130),B130*(1+1/'13_Mapa_Liq'!$B$16-'13_Mapa_Liq'!$B$6),"")</f>
        <v/>
      </c>
      <c r="T130" s="151" t="n">
        <f aca="false">IF(ISNUMBER(B130),IF(L130&lt;S130,J130*'13_Mapa_Liq'!$C$16,0),0)</f>
        <v>0</v>
      </c>
      <c r="U130" s="151" t="str">
        <f aca="false">IF(ISNUMBER(B130),B130*(1-1/'13_Mapa_Liq'!$B$17+'13_Mapa_Liq'!$B$6),"")</f>
        <v/>
      </c>
      <c r="V130" s="151" t="n">
        <f aca="false">IF(ISNUMBER(B130),IF(K130&gt;U130,I130*'13_Mapa_Liq'!$C$17,0),0)</f>
        <v>0</v>
      </c>
      <c r="W130" s="151" t="str">
        <f aca="false">IF(ISNUMBER(B130),B130*(1+1/'13_Mapa_Liq'!$B$17-'13_Mapa_Liq'!$B$6),"")</f>
        <v/>
      </c>
      <c r="X130" s="151" t="n">
        <f aca="false">IF(ISNUMBER(B130),IF(L130&lt;W130,J130*'13_Mapa_Liq'!$C$17,0),0)</f>
        <v>0</v>
      </c>
      <c r="Y130" s="151" t="str">
        <f aca="false">IF(ISNUMBER(B130),B130*(1-1/'13_Mapa_Liq'!$B$18+'13_Mapa_Liq'!$B$6),"")</f>
        <v/>
      </c>
      <c r="Z130" s="151" t="n">
        <f aca="false">IF(ISNUMBER(B130),IF(K130&gt;Y130,I130*'13_Mapa_Liq'!$C$18,0),0)</f>
        <v>0</v>
      </c>
      <c r="AA130" s="151" t="str">
        <f aca="false">IF(ISNUMBER(B130),B130*(1+1/'13_Mapa_Liq'!$B$18-'13_Mapa_Liq'!$B$6),"")</f>
        <v/>
      </c>
      <c r="AB130" s="151" t="n">
        <f aca="false">IF(ISNUMBER(B130),IF(L130&lt;AA130,J130*'13_Mapa_Liq'!$C$18,0),0)</f>
        <v>0</v>
      </c>
      <c r="AC130" s="151" t="str">
        <f aca="false">IF(ISNUMBER(B130),B130*(1-1/'13_Mapa_Liq'!$B$19+'13_Mapa_Liq'!$B$6),"")</f>
        <v/>
      </c>
      <c r="AD130" s="151" t="n">
        <f aca="false">IF(ISNUMBER(B130),IF(K130&gt;AC130,I130*'13_Mapa_Liq'!$C$19,0),0)</f>
        <v>0</v>
      </c>
      <c r="AE130" s="151" t="str">
        <f aca="false">IF(ISNUMBER(B130),B130*(1+1/'13_Mapa_Liq'!$B$19-'13_Mapa_Liq'!$B$6),"")</f>
        <v/>
      </c>
      <c r="AF130" s="151" t="n">
        <f aca="false">IF(ISNUMBER(B130),IF(L130&lt;AE130,J130*'13_Mapa_Liq'!$C$19,0),0)</f>
        <v>0</v>
      </c>
      <c r="AG130" s="151"/>
      <c r="AH130" s="151" t="n">
        <f aca="false">IF(ISNUMBER(B130),E130*F130*((K130&lt;=M130)*'13_Mapa_Liq'!$C$15+(K130&lt;=Q130)*'13_Mapa_Liq'!$C$16+(K130&lt;=U130)*'13_Mapa_Liq'!$C$17+(K130&lt;=Y130)*'13_Mapa_Liq'!$C$18+(K130&lt;=AC130)*'13_Mapa_Liq'!$C$19),0)</f>
        <v>0</v>
      </c>
      <c r="AI130" s="151" t="n">
        <f aca="false">IF(ISNUMBER(B130),E130*(1-F130)*((L130&gt;=O130)*'13_Mapa_Liq'!$C$15+(L130&gt;=S130)*'13_Mapa_Liq'!$C$16+(L130&gt;=W130)*'13_Mapa_Liq'!$C$17+(L130&gt;=AA130)*'13_Mapa_Liq'!$C$18+(L130&gt;=AE130)*'13_Mapa_Liq'!$C$19),0)</f>
        <v>0</v>
      </c>
    </row>
    <row r="131" customFormat="false" ht="15" hidden="false" customHeight="false" outlineLevel="0" collapsed="false">
      <c r="A131" s="151" t="str">
        <f aca="false">IF(ISNUMBER('12_Datos_5m'!F131),ROW()-4,"")</f>
        <v/>
      </c>
      <c r="B131" s="151" t="str">
        <f aca="false">IF(ISNUMBER('12_Datos_5m'!F131),'12_Datos_5m'!F131,"")</f>
        <v/>
      </c>
      <c r="C131" s="151" t="str">
        <f aca="false">IF(ISNUMBER('12_Datos_5m'!A131),'12_Datos_5m'!A131,"")</f>
        <v/>
      </c>
      <c r="D131" s="151" t="n">
        <f aca="false">IF(AND(ISNUMBER('12_Datos_5m'!I131),ISNUMBER('12_Datos_5m'!I130)),'12_Datos_5m'!I131-'12_Datos_5m'!I130,0)</f>
        <v>0</v>
      </c>
      <c r="E131" s="151" t="n">
        <f aca="false">MAX(0,D131)</f>
        <v>0</v>
      </c>
      <c r="F131" s="151" t="n">
        <f aca="false">IF(AND(ISNUMBER('12_Datos_5m'!G131),N('12_Datos_5m'!G131)&gt;0),'12_Datos_5m'!H131/'12_Datos_5m'!G131,0.5)</f>
        <v>0.5</v>
      </c>
      <c r="G131" s="151" t="n">
        <f aca="false">IF(ISNUMBER(C131),($C$2-C131)/3600000,0)</f>
        <v>0</v>
      </c>
      <c r="H131" s="151" t="n">
        <f aca="false">EXP(-G131/'13_Mapa_Liq'!$B$7)</f>
        <v>1</v>
      </c>
      <c r="I131" s="151" t="n">
        <f aca="false">E131*F131*H131</f>
        <v>0</v>
      </c>
      <c r="J131" s="151" t="n">
        <f aca="false">E131*(1-F131)*H131</f>
        <v>0</v>
      </c>
      <c r="K131" s="151" t="n">
        <f aca="false">IF(COUNT('12_Datos_5m'!E132:E$504)=0,1000000000000,MIN('12_Datos_5m'!E132:E$504))</f>
        <v>1000000000000</v>
      </c>
      <c r="L131" s="151" t="n">
        <f aca="false">IF(COUNT('12_Datos_5m'!D132:D$504)=0,0,MAX('12_Datos_5m'!D132:D$504))</f>
        <v>0</v>
      </c>
      <c r="M131" s="151" t="str">
        <f aca="false">IF(ISNUMBER(B131),B131*(1-1/'13_Mapa_Liq'!$B$15+'13_Mapa_Liq'!$B$6),"")</f>
        <v/>
      </c>
      <c r="N131" s="151" t="n">
        <f aca="false">IF(ISNUMBER(B131),IF(K131&gt;M131,I131*'13_Mapa_Liq'!$C$15,0),0)</f>
        <v>0</v>
      </c>
      <c r="O131" s="151" t="str">
        <f aca="false">IF(ISNUMBER(B131),B131*(1+1/'13_Mapa_Liq'!$B$15-'13_Mapa_Liq'!$B$6),"")</f>
        <v/>
      </c>
      <c r="P131" s="151" t="n">
        <f aca="false">IF(ISNUMBER(B131),IF(L131&lt;O131,J131*'13_Mapa_Liq'!$C$15,0),0)</f>
        <v>0</v>
      </c>
      <c r="Q131" s="151" t="str">
        <f aca="false">IF(ISNUMBER(B131),B131*(1-1/'13_Mapa_Liq'!$B$16+'13_Mapa_Liq'!$B$6),"")</f>
        <v/>
      </c>
      <c r="R131" s="151" t="n">
        <f aca="false">IF(ISNUMBER(B131),IF(K131&gt;Q131,I131*'13_Mapa_Liq'!$C$16,0),0)</f>
        <v>0</v>
      </c>
      <c r="S131" s="151" t="str">
        <f aca="false">IF(ISNUMBER(B131),B131*(1+1/'13_Mapa_Liq'!$B$16-'13_Mapa_Liq'!$B$6),"")</f>
        <v/>
      </c>
      <c r="T131" s="151" t="n">
        <f aca="false">IF(ISNUMBER(B131),IF(L131&lt;S131,J131*'13_Mapa_Liq'!$C$16,0),0)</f>
        <v>0</v>
      </c>
      <c r="U131" s="151" t="str">
        <f aca="false">IF(ISNUMBER(B131),B131*(1-1/'13_Mapa_Liq'!$B$17+'13_Mapa_Liq'!$B$6),"")</f>
        <v/>
      </c>
      <c r="V131" s="151" t="n">
        <f aca="false">IF(ISNUMBER(B131),IF(K131&gt;U131,I131*'13_Mapa_Liq'!$C$17,0),0)</f>
        <v>0</v>
      </c>
      <c r="W131" s="151" t="str">
        <f aca="false">IF(ISNUMBER(B131),B131*(1+1/'13_Mapa_Liq'!$B$17-'13_Mapa_Liq'!$B$6),"")</f>
        <v/>
      </c>
      <c r="X131" s="151" t="n">
        <f aca="false">IF(ISNUMBER(B131),IF(L131&lt;W131,J131*'13_Mapa_Liq'!$C$17,0),0)</f>
        <v>0</v>
      </c>
      <c r="Y131" s="151" t="str">
        <f aca="false">IF(ISNUMBER(B131),B131*(1-1/'13_Mapa_Liq'!$B$18+'13_Mapa_Liq'!$B$6),"")</f>
        <v/>
      </c>
      <c r="Z131" s="151" t="n">
        <f aca="false">IF(ISNUMBER(B131),IF(K131&gt;Y131,I131*'13_Mapa_Liq'!$C$18,0),0)</f>
        <v>0</v>
      </c>
      <c r="AA131" s="151" t="str">
        <f aca="false">IF(ISNUMBER(B131),B131*(1+1/'13_Mapa_Liq'!$B$18-'13_Mapa_Liq'!$B$6),"")</f>
        <v/>
      </c>
      <c r="AB131" s="151" t="n">
        <f aca="false">IF(ISNUMBER(B131),IF(L131&lt;AA131,J131*'13_Mapa_Liq'!$C$18,0),0)</f>
        <v>0</v>
      </c>
      <c r="AC131" s="151" t="str">
        <f aca="false">IF(ISNUMBER(B131),B131*(1-1/'13_Mapa_Liq'!$B$19+'13_Mapa_Liq'!$B$6),"")</f>
        <v/>
      </c>
      <c r="AD131" s="151" t="n">
        <f aca="false">IF(ISNUMBER(B131),IF(K131&gt;AC131,I131*'13_Mapa_Liq'!$C$19,0),0)</f>
        <v>0</v>
      </c>
      <c r="AE131" s="151" t="str">
        <f aca="false">IF(ISNUMBER(B131),B131*(1+1/'13_Mapa_Liq'!$B$19-'13_Mapa_Liq'!$B$6),"")</f>
        <v/>
      </c>
      <c r="AF131" s="151" t="n">
        <f aca="false">IF(ISNUMBER(B131),IF(L131&lt;AE131,J131*'13_Mapa_Liq'!$C$19,0),0)</f>
        <v>0</v>
      </c>
      <c r="AG131" s="151"/>
      <c r="AH131" s="151" t="n">
        <f aca="false">IF(ISNUMBER(B131),E131*F131*((K131&lt;=M131)*'13_Mapa_Liq'!$C$15+(K131&lt;=Q131)*'13_Mapa_Liq'!$C$16+(K131&lt;=U131)*'13_Mapa_Liq'!$C$17+(K131&lt;=Y131)*'13_Mapa_Liq'!$C$18+(K131&lt;=AC131)*'13_Mapa_Liq'!$C$19),0)</f>
        <v>0</v>
      </c>
      <c r="AI131" s="151" t="n">
        <f aca="false">IF(ISNUMBER(B131),E131*(1-F131)*((L131&gt;=O131)*'13_Mapa_Liq'!$C$15+(L131&gt;=S131)*'13_Mapa_Liq'!$C$16+(L131&gt;=W131)*'13_Mapa_Liq'!$C$17+(L131&gt;=AA131)*'13_Mapa_Liq'!$C$18+(L131&gt;=AE131)*'13_Mapa_Liq'!$C$19),0)</f>
        <v>0</v>
      </c>
    </row>
    <row r="132" customFormat="false" ht="15" hidden="false" customHeight="false" outlineLevel="0" collapsed="false">
      <c r="A132" s="151" t="str">
        <f aca="false">IF(ISNUMBER('12_Datos_5m'!F132),ROW()-4,"")</f>
        <v/>
      </c>
      <c r="B132" s="151" t="str">
        <f aca="false">IF(ISNUMBER('12_Datos_5m'!F132),'12_Datos_5m'!F132,"")</f>
        <v/>
      </c>
      <c r="C132" s="151" t="str">
        <f aca="false">IF(ISNUMBER('12_Datos_5m'!A132),'12_Datos_5m'!A132,"")</f>
        <v/>
      </c>
      <c r="D132" s="151" t="n">
        <f aca="false">IF(AND(ISNUMBER('12_Datos_5m'!I132),ISNUMBER('12_Datos_5m'!I131)),'12_Datos_5m'!I132-'12_Datos_5m'!I131,0)</f>
        <v>0</v>
      </c>
      <c r="E132" s="151" t="n">
        <f aca="false">MAX(0,D132)</f>
        <v>0</v>
      </c>
      <c r="F132" s="151" t="n">
        <f aca="false">IF(AND(ISNUMBER('12_Datos_5m'!G132),N('12_Datos_5m'!G132)&gt;0),'12_Datos_5m'!H132/'12_Datos_5m'!G132,0.5)</f>
        <v>0.5</v>
      </c>
      <c r="G132" s="151" t="n">
        <f aca="false">IF(ISNUMBER(C132),($C$2-C132)/3600000,0)</f>
        <v>0</v>
      </c>
      <c r="H132" s="151" t="n">
        <f aca="false">EXP(-G132/'13_Mapa_Liq'!$B$7)</f>
        <v>1</v>
      </c>
      <c r="I132" s="151" t="n">
        <f aca="false">E132*F132*H132</f>
        <v>0</v>
      </c>
      <c r="J132" s="151" t="n">
        <f aca="false">E132*(1-F132)*H132</f>
        <v>0</v>
      </c>
      <c r="K132" s="151" t="n">
        <f aca="false">IF(COUNT('12_Datos_5m'!E133:E$504)=0,1000000000000,MIN('12_Datos_5m'!E133:E$504))</f>
        <v>1000000000000</v>
      </c>
      <c r="L132" s="151" t="n">
        <f aca="false">IF(COUNT('12_Datos_5m'!D133:D$504)=0,0,MAX('12_Datos_5m'!D133:D$504))</f>
        <v>0</v>
      </c>
      <c r="M132" s="151" t="str">
        <f aca="false">IF(ISNUMBER(B132),B132*(1-1/'13_Mapa_Liq'!$B$15+'13_Mapa_Liq'!$B$6),"")</f>
        <v/>
      </c>
      <c r="N132" s="151" t="n">
        <f aca="false">IF(ISNUMBER(B132),IF(K132&gt;M132,I132*'13_Mapa_Liq'!$C$15,0),0)</f>
        <v>0</v>
      </c>
      <c r="O132" s="151" t="str">
        <f aca="false">IF(ISNUMBER(B132),B132*(1+1/'13_Mapa_Liq'!$B$15-'13_Mapa_Liq'!$B$6),"")</f>
        <v/>
      </c>
      <c r="P132" s="151" t="n">
        <f aca="false">IF(ISNUMBER(B132),IF(L132&lt;O132,J132*'13_Mapa_Liq'!$C$15,0),0)</f>
        <v>0</v>
      </c>
      <c r="Q132" s="151" t="str">
        <f aca="false">IF(ISNUMBER(B132),B132*(1-1/'13_Mapa_Liq'!$B$16+'13_Mapa_Liq'!$B$6),"")</f>
        <v/>
      </c>
      <c r="R132" s="151" t="n">
        <f aca="false">IF(ISNUMBER(B132),IF(K132&gt;Q132,I132*'13_Mapa_Liq'!$C$16,0),0)</f>
        <v>0</v>
      </c>
      <c r="S132" s="151" t="str">
        <f aca="false">IF(ISNUMBER(B132),B132*(1+1/'13_Mapa_Liq'!$B$16-'13_Mapa_Liq'!$B$6),"")</f>
        <v/>
      </c>
      <c r="T132" s="151" t="n">
        <f aca="false">IF(ISNUMBER(B132),IF(L132&lt;S132,J132*'13_Mapa_Liq'!$C$16,0),0)</f>
        <v>0</v>
      </c>
      <c r="U132" s="151" t="str">
        <f aca="false">IF(ISNUMBER(B132),B132*(1-1/'13_Mapa_Liq'!$B$17+'13_Mapa_Liq'!$B$6),"")</f>
        <v/>
      </c>
      <c r="V132" s="151" t="n">
        <f aca="false">IF(ISNUMBER(B132),IF(K132&gt;U132,I132*'13_Mapa_Liq'!$C$17,0),0)</f>
        <v>0</v>
      </c>
      <c r="W132" s="151" t="str">
        <f aca="false">IF(ISNUMBER(B132),B132*(1+1/'13_Mapa_Liq'!$B$17-'13_Mapa_Liq'!$B$6),"")</f>
        <v/>
      </c>
      <c r="X132" s="151" t="n">
        <f aca="false">IF(ISNUMBER(B132),IF(L132&lt;W132,J132*'13_Mapa_Liq'!$C$17,0),0)</f>
        <v>0</v>
      </c>
      <c r="Y132" s="151" t="str">
        <f aca="false">IF(ISNUMBER(B132),B132*(1-1/'13_Mapa_Liq'!$B$18+'13_Mapa_Liq'!$B$6),"")</f>
        <v/>
      </c>
      <c r="Z132" s="151" t="n">
        <f aca="false">IF(ISNUMBER(B132),IF(K132&gt;Y132,I132*'13_Mapa_Liq'!$C$18,0),0)</f>
        <v>0</v>
      </c>
      <c r="AA132" s="151" t="str">
        <f aca="false">IF(ISNUMBER(B132),B132*(1+1/'13_Mapa_Liq'!$B$18-'13_Mapa_Liq'!$B$6),"")</f>
        <v/>
      </c>
      <c r="AB132" s="151" t="n">
        <f aca="false">IF(ISNUMBER(B132),IF(L132&lt;AA132,J132*'13_Mapa_Liq'!$C$18,0),0)</f>
        <v>0</v>
      </c>
      <c r="AC132" s="151" t="str">
        <f aca="false">IF(ISNUMBER(B132),B132*(1-1/'13_Mapa_Liq'!$B$19+'13_Mapa_Liq'!$B$6),"")</f>
        <v/>
      </c>
      <c r="AD132" s="151" t="n">
        <f aca="false">IF(ISNUMBER(B132),IF(K132&gt;AC132,I132*'13_Mapa_Liq'!$C$19,0),0)</f>
        <v>0</v>
      </c>
      <c r="AE132" s="151" t="str">
        <f aca="false">IF(ISNUMBER(B132),B132*(1+1/'13_Mapa_Liq'!$B$19-'13_Mapa_Liq'!$B$6),"")</f>
        <v/>
      </c>
      <c r="AF132" s="151" t="n">
        <f aca="false">IF(ISNUMBER(B132),IF(L132&lt;AE132,J132*'13_Mapa_Liq'!$C$19,0),0)</f>
        <v>0</v>
      </c>
      <c r="AG132" s="151"/>
      <c r="AH132" s="151" t="n">
        <f aca="false">IF(ISNUMBER(B132),E132*F132*((K132&lt;=M132)*'13_Mapa_Liq'!$C$15+(K132&lt;=Q132)*'13_Mapa_Liq'!$C$16+(K132&lt;=U132)*'13_Mapa_Liq'!$C$17+(K132&lt;=Y132)*'13_Mapa_Liq'!$C$18+(K132&lt;=AC132)*'13_Mapa_Liq'!$C$19),0)</f>
        <v>0</v>
      </c>
      <c r="AI132" s="151" t="n">
        <f aca="false">IF(ISNUMBER(B132),E132*(1-F132)*((L132&gt;=O132)*'13_Mapa_Liq'!$C$15+(L132&gt;=S132)*'13_Mapa_Liq'!$C$16+(L132&gt;=W132)*'13_Mapa_Liq'!$C$17+(L132&gt;=AA132)*'13_Mapa_Liq'!$C$18+(L132&gt;=AE132)*'13_Mapa_Liq'!$C$19),0)</f>
        <v>0</v>
      </c>
    </row>
    <row r="133" customFormat="false" ht="15" hidden="false" customHeight="false" outlineLevel="0" collapsed="false">
      <c r="A133" s="151" t="str">
        <f aca="false">IF(ISNUMBER('12_Datos_5m'!F133),ROW()-4,"")</f>
        <v/>
      </c>
      <c r="B133" s="151" t="str">
        <f aca="false">IF(ISNUMBER('12_Datos_5m'!F133),'12_Datos_5m'!F133,"")</f>
        <v/>
      </c>
      <c r="C133" s="151" t="str">
        <f aca="false">IF(ISNUMBER('12_Datos_5m'!A133),'12_Datos_5m'!A133,"")</f>
        <v/>
      </c>
      <c r="D133" s="151" t="n">
        <f aca="false">IF(AND(ISNUMBER('12_Datos_5m'!I133),ISNUMBER('12_Datos_5m'!I132)),'12_Datos_5m'!I133-'12_Datos_5m'!I132,0)</f>
        <v>0</v>
      </c>
      <c r="E133" s="151" t="n">
        <f aca="false">MAX(0,D133)</f>
        <v>0</v>
      </c>
      <c r="F133" s="151" t="n">
        <f aca="false">IF(AND(ISNUMBER('12_Datos_5m'!G133),N('12_Datos_5m'!G133)&gt;0),'12_Datos_5m'!H133/'12_Datos_5m'!G133,0.5)</f>
        <v>0.5</v>
      </c>
      <c r="G133" s="151" t="n">
        <f aca="false">IF(ISNUMBER(C133),($C$2-C133)/3600000,0)</f>
        <v>0</v>
      </c>
      <c r="H133" s="151" t="n">
        <f aca="false">EXP(-G133/'13_Mapa_Liq'!$B$7)</f>
        <v>1</v>
      </c>
      <c r="I133" s="151" t="n">
        <f aca="false">E133*F133*H133</f>
        <v>0</v>
      </c>
      <c r="J133" s="151" t="n">
        <f aca="false">E133*(1-F133)*H133</f>
        <v>0</v>
      </c>
      <c r="K133" s="151" t="n">
        <f aca="false">IF(COUNT('12_Datos_5m'!E134:E$504)=0,1000000000000,MIN('12_Datos_5m'!E134:E$504))</f>
        <v>1000000000000</v>
      </c>
      <c r="L133" s="151" t="n">
        <f aca="false">IF(COUNT('12_Datos_5m'!D134:D$504)=0,0,MAX('12_Datos_5m'!D134:D$504))</f>
        <v>0</v>
      </c>
      <c r="M133" s="151" t="str">
        <f aca="false">IF(ISNUMBER(B133),B133*(1-1/'13_Mapa_Liq'!$B$15+'13_Mapa_Liq'!$B$6),"")</f>
        <v/>
      </c>
      <c r="N133" s="151" t="n">
        <f aca="false">IF(ISNUMBER(B133),IF(K133&gt;M133,I133*'13_Mapa_Liq'!$C$15,0),0)</f>
        <v>0</v>
      </c>
      <c r="O133" s="151" t="str">
        <f aca="false">IF(ISNUMBER(B133),B133*(1+1/'13_Mapa_Liq'!$B$15-'13_Mapa_Liq'!$B$6),"")</f>
        <v/>
      </c>
      <c r="P133" s="151" t="n">
        <f aca="false">IF(ISNUMBER(B133),IF(L133&lt;O133,J133*'13_Mapa_Liq'!$C$15,0),0)</f>
        <v>0</v>
      </c>
      <c r="Q133" s="151" t="str">
        <f aca="false">IF(ISNUMBER(B133),B133*(1-1/'13_Mapa_Liq'!$B$16+'13_Mapa_Liq'!$B$6),"")</f>
        <v/>
      </c>
      <c r="R133" s="151" t="n">
        <f aca="false">IF(ISNUMBER(B133),IF(K133&gt;Q133,I133*'13_Mapa_Liq'!$C$16,0),0)</f>
        <v>0</v>
      </c>
      <c r="S133" s="151" t="str">
        <f aca="false">IF(ISNUMBER(B133),B133*(1+1/'13_Mapa_Liq'!$B$16-'13_Mapa_Liq'!$B$6),"")</f>
        <v/>
      </c>
      <c r="T133" s="151" t="n">
        <f aca="false">IF(ISNUMBER(B133),IF(L133&lt;S133,J133*'13_Mapa_Liq'!$C$16,0),0)</f>
        <v>0</v>
      </c>
      <c r="U133" s="151" t="str">
        <f aca="false">IF(ISNUMBER(B133),B133*(1-1/'13_Mapa_Liq'!$B$17+'13_Mapa_Liq'!$B$6),"")</f>
        <v/>
      </c>
      <c r="V133" s="151" t="n">
        <f aca="false">IF(ISNUMBER(B133),IF(K133&gt;U133,I133*'13_Mapa_Liq'!$C$17,0),0)</f>
        <v>0</v>
      </c>
      <c r="W133" s="151" t="str">
        <f aca="false">IF(ISNUMBER(B133),B133*(1+1/'13_Mapa_Liq'!$B$17-'13_Mapa_Liq'!$B$6),"")</f>
        <v/>
      </c>
      <c r="X133" s="151" t="n">
        <f aca="false">IF(ISNUMBER(B133),IF(L133&lt;W133,J133*'13_Mapa_Liq'!$C$17,0),0)</f>
        <v>0</v>
      </c>
      <c r="Y133" s="151" t="str">
        <f aca="false">IF(ISNUMBER(B133),B133*(1-1/'13_Mapa_Liq'!$B$18+'13_Mapa_Liq'!$B$6),"")</f>
        <v/>
      </c>
      <c r="Z133" s="151" t="n">
        <f aca="false">IF(ISNUMBER(B133),IF(K133&gt;Y133,I133*'13_Mapa_Liq'!$C$18,0),0)</f>
        <v>0</v>
      </c>
      <c r="AA133" s="151" t="str">
        <f aca="false">IF(ISNUMBER(B133),B133*(1+1/'13_Mapa_Liq'!$B$18-'13_Mapa_Liq'!$B$6),"")</f>
        <v/>
      </c>
      <c r="AB133" s="151" t="n">
        <f aca="false">IF(ISNUMBER(B133),IF(L133&lt;AA133,J133*'13_Mapa_Liq'!$C$18,0),0)</f>
        <v>0</v>
      </c>
      <c r="AC133" s="151" t="str">
        <f aca="false">IF(ISNUMBER(B133),B133*(1-1/'13_Mapa_Liq'!$B$19+'13_Mapa_Liq'!$B$6),"")</f>
        <v/>
      </c>
      <c r="AD133" s="151" t="n">
        <f aca="false">IF(ISNUMBER(B133),IF(K133&gt;AC133,I133*'13_Mapa_Liq'!$C$19,0),0)</f>
        <v>0</v>
      </c>
      <c r="AE133" s="151" t="str">
        <f aca="false">IF(ISNUMBER(B133),B133*(1+1/'13_Mapa_Liq'!$B$19-'13_Mapa_Liq'!$B$6),"")</f>
        <v/>
      </c>
      <c r="AF133" s="151" t="n">
        <f aca="false">IF(ISNUMBER(B133),IF(L133&lt;AE133,J133*'13_Mapa_Liq'!$C$19,0),0)</f>
        <v>0</v>
      </c>
      <c r="AG133" s="151"/>
      <c r="AH133" s="151" t="n">
        <f aca="false">IF(ISNUMBER(B133),E133*F133*((K133&lt;=M133)*'13_Mapa_Liq'!$C$15+(K133&lt;=Q133)*'13_Mapa_Liq'!$C$16+(K133&lt;=U133)*'13_Mapa_Liq'!$C$17+(K133&lt;=Y133)*'13_Mapa_Liq'!$C$18+(K133&lt;=AC133)*'13_Mapa_Liq'!$C$19),0)</f>
        <v>0</v>
      </c>
      <c r="AI133" s="151" t="n">
        <f aca="false">IF(ISNUMBER(B133),E133*(1-F133)*((L133&gt;=O133)*'13_Mapa_Liq'!$C$15+(L133&gt;=S133)*'13_Mapa_Liq'!$C$16+(L133&gt;=W133)*'13_Mapa_Liq'!$C$17+(L133&gt;=AA133)*'13_Mapa_Liq'!$C$18+(L133&gt;=AE133)*'13_Mapa_Liq'!$C$19),0)</f>
        <v>0</v>
      </c>
    </row>
    <row r="134" customFormat="false" ht="15" hidden="false" customHeight="false" outlineLevel="0" collapsed="false">
      <c r="A134" s="151" t="str">
        <f aca="false">IF(ISNUMBER('12_Datos_5m'!F134),ROW()-4,"")</f>
        <v/>
      </c>
      <c r="B134" s="151" t="str">
        <f aca="false">IF(ISNUMBER('12_Datos_5m'!F134),'12_Datos_5m'!F134,"")</f>
        <v/>
      </c>
      <c r="C134" s="151" t="str">
        <f aca="false">IF(ISNUMBER('12_Datos_5m'!A134),'12_Datos_5m'!A134,"")</f>
        <v/>
      </c>
      <c r="D134" s="151" t="n">
        <f aca="false">IF(AND(ISNUMBER('12_Datos_5m'!I134),ISNUMBER('12_Datos_5m'!I133)),'12_Datos_5m'!I134-'12_Datos_5m'!I133,0)</f>
        <v>0</v>
      </c>
      <c r="E134" s="151" t="n">
        <f aca="false">MAX(0,D134)</f>
        <v>0</v>
      </c>
      <c r="F134" s="151" t="n">
        <f aca="false">IF(AND(ISNUMBER('12_Datos_5m'!G134),N('12_Datos_5m'!G134)&gt;0),'12_Datos_5m'!H134/'12_Datos_5m'!G134,0.5)</f>
        <v>0.5</v>
      </c>
      <c r="G134" s="151" t="n">
        <f aca="false">IF(ISNUMBER(C134),($C$2-C134)/3600000,0)</f>
        <v>0</v>
      </c>
      <c r="H134" s="151" t="n">
        <f aca="false">EXP(-G134/'13_Mapa_Liq'!$B$7)</f>
        <v>1</v>
      </c>
      <c r="I134" s="151" t="n">
        <f aca="false">E134*F134*H134</f>
        <v>0</v>
      </c>
      <c r="J134" s="151" t="n">
        <f aca="false">E134*(1-F134)*H134</f>
        <v>0</v>
      </c>
      <c r="K134" s="151" t="n">
        <f aca="false">IF(COUNT('12_Datos_5m'!E135:E$504)=0,1000000000000,MIN('12_Datos_5m'!E135:E$504))</f>
        <v>1000000000000</v>
      </c>
      <c r="L134" s="151" t="n">
        <f aca="false">IF(COUNT('12_Datos_5m'!D135:D$504)=0,0,MAX('12_Datos_5m'!D135:D$504))</f>
        <v>0</v>
      </c>
      <c r="M134" s="151" t="str">
        <f aca="false">IF(ISNUMBER(B134),B134*(1-1/'13_Mapa_Liq'!$B$15+'13_Mapa_Liq'!$B$6),"")</f>
        <v/>
      </c>
      <c r="N134" s="151" t="n">
        <f aca="false">IF(ISNUMBER(B134),IF(K134&gt;M134,I134*'13_Mapa_Liq'!$C$15,0),0)</f>
        <v>0</v>
      </c>
      <c r="O134" s="151" t="str">
        <f aca="false">IF(ISNUMBER(B134),B134*(1+1/'13_Mapa_Liq'!$B$15-'13_Mapa_Liq'!$B$6),"")</f>
        <v/>
      </c>
      <c r="P134" s="151" t="n">
        <f aca="false">IF(ISNUMBER(B134),IF(L134&lt;O134,J134*'13_Mapa_Liq'!$C$15,0),0)</f>
        <v>0</v>
      </c>
      <c r="Q134" s="151" t="str">
        <f aca="false">IF(ISNUMBER(B134),B134*(1-1/'13_Mapa_Liq'!$B$16+'13_Mapa_Liq'!$B$6),"")</f>
        <v/>
      </c>
      <c r="R134" s="151" t="n">
        <f aca="false">IF(ISNUMBER(B134),IF(K134&gt;Q134,I134*'13_Mapa_Liq'!$C$16,0),0)</f>
        <v>0</v>
      </c>
      <c r="S134" s="151" t="str">
        <f aca="false">IF(ISNUMBER(B134),B134*(1+1/'13_Mapa_Liq'!$B$16-'13_Mapa_Liq'!$B$6),"")</f>
        <v/>
      </c>
      <c r="T134" s="151" t="n">
        <f aca="false">IF(ISNUMBER(B134),IF(L134&lt;S134,J134*'13_Mapa_Liq'!$C$16,0),0)</f>
        <v>0</v>
      </c>
      <c r="U134" s="151" t="str">
        <f aca="false">IF(ISNUMBER(B134),B134*(1-1/'13_Mapa_Liq'!$B$17+'13_Mapa_Liq'!$B$6),"")</f>
        <v/>
      </c>
      <c r="V134" s="151" t="n">
        <f aca="false">IF(ISNUMBER(B134),IF(K134&gt;U134,I134*'13_Mapa_Liq'!$C$17,0),0)</f>
        <v>0</v>
      </c>
      <c r="W134" s="151" t="str">
        <f aca="false">IF(ISNUMBER(B134),B134*(1+1/'13_Mapa_Liq'!$B$17-'13_Mapa_Liq'!$B$6),"")</f>
        <v/>
      </c>
      <c r="X134" s="151" t="n">
        <f aca="false">IF(ISNUMBER(B134),IF(L134&lt;W134,J134*'13_Mapa_Liq'!$C$17,0),0)</f>
        <v>0</v>
      </c>
      <c r="Y134" s="151" t="str">
        <f aca="false">IF(ISNUMBER(B134),B134*(1-1/'13_Mapa_Liq'!$B$18+'13_Mapa_Liq'!$B$6),"")</f>
        <v/>
      </c>
      <c r="Z134" s="151" t="n">
        <f aca="false">IF(ISNUMBER(B134),IF(K134&gt;Y134,I134*'13_Mapa_Liq'!$C$18,0),0)</f>
        <v>0</v>
      </c>
      <c r="AA134" s="151" t="str">
        <f aca="false">IF(ISNUMBER(B134),B134*(1+1/'13_Mapa_Liq'!$B$18-'13_Mapa_Liq'!$B$6),"")</f>
        <v/>
      </c>
      <c r="AB134" s="151" t="n">
        <f aca="false">IF(ISNUMBER(B134),IF(L134&lt;AA134,J134*'13_Mapa_Liq'!$C$18,0),0)</f>
        <v>0</v>
      </c>
      <c r="AC134" s="151" t="str">
        <f aca="false">IF(ISNUMBER(B134),B134*(1-1/'13_Mapa_Liq'!$B$19+'13_Mapa_Liq'!$B$6),"")</f>
        <v/>
      </c>
      <c r="AD134" s="151" t="n">
        <f aca="false">IF(ISNUMBER(B134),IF(K134&gt;AC134,I134*'13_Mapa_Liq'!$C$19,0),0)</f>
        <v>0</v>
      </c>
      <c r="AE134" s="151" t="str">
        <f aca="false">IF(ISNUMBER(B134),B134*(1+1/'13_Mapa_Liq'!$B$19-'13_Mapa_Liq'!$B$6),"")</f>
        <v/>
      </c>
      <c r="AF134" s="151" t="n">
        <f aca="false">IF(ISNUMBER(B134),IF(L134&lt;AE134,J134*'13_Mapa_Liq'!$C$19,0),0)</f>
        <v>0</v>
      </c>
      <c r="AG134" s="151"/>
      <c r="AH134" s="151" t="n">
        <f aca="false">IF(ISNUMBER(B134),E134*F134*((K134&lt;=M134)*'13_Mapa_Liq'!$C$15+(K134&lt;=Q134)*'13_Mapa_Liq'!$C$16+(K134&lt;=U134)*'13_Mapa_Liq'!$C$17+(K134&lt;=Y134)*'13_Mapa_Liq'!$C$18+(K134&lt;=AC134)*'13_Mapa_Liq'!$C$19),0)</f>
        <v>0</v>
      </c>
      <c r="AI134" s="151" t="n">
        <f aca="false">IF(ISNUMBER(B134),E134*(1-F134)*((L134&gt;=O134)*'13_Mapa_Liq'!$C$15+(L134&gt;=S134)*'13_Mapa_Liq'!$C$16+(L134&gt;=W134)*'13_Mapa_Liq'!$C$17+(L134&gt;=AA134)*'13_Mapa_Liq'!$C$18+(L134&gt;=AE134)*'13_Mapa_Liq'!$C$19),0)</f>
        <v>0</v>
      </c>
    </row>
    <row r="135" customFormat="false" ht="15" hidden="false" customHeight="false" outlineLevel="0" collapsed="false">
      <c r="A135" s="151" t="str">
        <f aca="false">IF(ISNUMBER('12_Datos_5m'!F135),ROW()-4,"")</f>
        <v/>
      </c>
      <c r="B135" s="151" t="str">
        <f aca="false">IF(ISNUMBER('12_Datos_5m'!F135),'12_Datos_5m'!F135,"")</f>
        <v/>
      </c>
      <c r="C135" s="151" t="str">
        <f aca="false">IF(ISNUMBER('12_Datos_5m'!A135),'12_Datos_5m'!A135,"")</f>
        <v/>
      </c>
      <c r="D135" s="151" t="n">
        <f aca="false">IF(AND(ISNUMBER('12_Datos_5m'!I135),ISNUMBER('12_Datos_5m'!I134)),'12_Datos_5m'!I135-'12_Datos_5m'!I134,0)</f>
        <v>0</v>
      </c>
      <c r="E135" s="151" t="n">
        <f aca="false">MAX(0,D135)</f>
        <v>0</v>
      </c>
      <c r="F135" s="151" t="n">
        <f aca="false">IF(AND(ISNUMBER('12_Datos_5m'!G135),N('12_Datos_5m'!G135)&gt;0),'12_Datos_5m'!H135/'12_Datos_5m'!G135,0.5)</f>
        <v>0.5</v>
      </c>
      <c r="G135" s="151" t="n">
        <f aca="false">IF(ISNUMBER(C135),($C$2-C135)/3600000,0)</f>
        <v>0</v>
      </c>
      <c r="H135" s="151" t="n">
        <f aca="false">EXP(-G135/'13_Mapa_Liq'!$B$7)</f>
        <v>1</v>
      </c>
      <c r="I135" s="151" t="n">
        <f aca="false">E135*F135*H135</f>
        <v>0</v>
      </c>
      <c r="J135" s="151" t="n">
        <f aca="false">E135*(1-F135)*H135</f>
        <v>0</v>
      </c>
      <c r="K135" s="151" t="n">
        <f aca="false">IF(COUNT('12_Datos_5m'!E136:E$504)=0,1000000000000,MIN('12_Datos_5m'!E136:E$504))</f>
        <v>1000000000000</v>
      </c>
      <c r="L135" s="151" t="n">
        <f aca="false">IF(COUNT('12_Datos_5m'!D136:D$504)=0,0,MAX('12_Datos_5m'!D136:D$504))</f>
        <v>0</v>
      </c>
      <c r="M135" s="151" t="str">
        <f aca="false">IF(ISNUMBER(B135),B135*(1-1/'13_Mapa_Liq'!$B$15+'13_Mapa_Liq'!$B$6),"")</f>
        <v/>
      </c>
      <c r="N135" s="151" t="n">
        <f aca="false">IF(ISNUMBER(B135),IF(K135&gt;M135,I135*'13_Mapa_Liq'!$C$15,0),0)</f>
        <v>0</v>
      </c>
      <c r="O135" s="151" t="str">
        <f aca="false">IF(ISNUMBER(B135),B135*(1+1/'13_Mapa_Liq'!$B$15-'13_Mapa_Liq'!$B$6),"")</f>
        <v/>
      </c>
      <c r="P135" s="151" t="n">
        <f aca="false">IF(ISNUMBER(B135),IF(L135&lt;O135,J135*'13_Mapa_Liq'!$C$15,0),0)</f>
        <v>0</v>
      </c>
      <c r="Q135" s="151" t="str">
        <f aca="false">IF(ISNUMBER(B135),B135*(1-1/'13_Mapa_Liq'!$B$16+'13_Mapa_Liq'!$B$6),"")</f>
        <v/>
      </c>
      <c r="R135" s="151" t="n">
        <f aca="false">IF(ISNUMBER(B135),IF(K135&gt;Q135,I135*'13_Mapa_Liq'!$C$16,0),0)</f>
        <v>0</v>
      </c>
      <c r="S135" s="151" t="str">
        <f aca="false">IF(ISNUMBER(B135),B135*(1+1/'13_Mapa_Liq'!$B$16-'13_Mapa_Liq'!$B$6),"")</f>
        <v/>
      </c>
      <c r="T135" s="151" t="n">
        <f aca="false">IF(ISNUMBER(B135),IF(L135&lt;S135,J135*'13_Mapa_Liq'!$C$16,0),0)</f>
        <v>0</v>
      </c>
      <c r="U135" s="151" t="str">
        <f aca="false">IF(ISNUMBER(B135),B135*(1-1/'13_Mapa_Liq'!$B$17+'13_Mapa_Liq'!$B$6),"")</f>
        <v/>
      </c>
      <c r="V135" s="151" t="n">
        <f aca="false">IF(ISNUMBER(B135),IF(K135&gt;U135,I135*'13_Mapa_Liq'!$C$17,0),0)</f>
        <v>0</v>
      </c>
      <c r="W135" s="151" t="str">
        <f aca="false">IF(ISNUMBER(B135),B135*(1+1/'13_Mapa_Liq'!$B$17-'13_Mapa_Liq'!$B$6),"")</f>
        <v/>
      </c>
      <c r="X135" s="151" t="n">
        <f aca="false">IF(ISNUMBER(B135),IF(L135&lt;W135,J135*'13_Mapa_Liq'!$C$17,0),0)</f>
        <v>0</v>
      </c>
      <c r="Y135" s="151" t="str">
        <f aca="false">IF(ISNUMBER(B135),B135*(1-1/'13_Mapa_Liq'!$B$18+'13_Mapa_Liq'!$B$6),"")</f>
        <v/>
      </c>
      <c r="Z135" s="151" t="n">
        <f aca="false">IF(ISNUMBER(B135),IF(K135&gt;Y135,I135*'13_Mapa_Liq'!$C$18,0),0)</f>
        <v>0</v>
      </c>
      <c r="AA135" s="151" t="str">
        <f aca="false">IF(ISNUMBER(B135),B135*(1+1/'13_Mapa_Liq'!$B$18-'13_Mapa_Liq'!$B$6),"")</f>
        <v/>
      </c>
      <c r="AB135" s="151" t="n">
        <f aca="false">IF(ISNUMBER(B135),IF(L135&lt;AA135,J135*'13_Mapa_Liq'!$C$18,0),0)</f>
        <v>0</v>
      </c>
      <c r="AC135" s="151" t="str">
        <f aca="false">IF(ISNUMBER(B135),B135*(1-1/'13_Mapa_Liq'!$B$19+'13_Mapa_Liq'!$B$6),"")</f>
        <v/>
      </c>
      <c r="AD135" s="151" t="n">
        <f aca="false">IF(ISNUMBER(B135),IF(K135&gt;AC135,I135*'13_Mapa_Liq'!$C$19,0),0)</f>
        <v>0</v>
      </c>
      <c r="AE135" s="151" t="str">
        <f aca="false">IF(ISNUMBER(B135),B135*(1+1/'13_Mapa_Liq'!$B$19-'13_Mapa_Liq'!$B$6),"")</f>
        <v/>
      </c>
      <c r="AF135" s="151" t="n">
        <f aca="false">IF(ISNUMBER(B135),IF(L135&lt;AE135,J135*'13_Mapa_Liq'!$C$19,0),0)</f>
        <v>0</v>
      </c>
      <c r="AG135" s="151"/>
      <c r="AH135" s="151" t="n">
        <f aca="false">IF(ISNUMBER(B135),E135*F135*((K135&lt;=M135)*'13_Mapa_Liq'!$C$15+(K135&lt;=Q135)*'13_Mapa_Liq'!$C$16+(K135&lt;=U135)*'13_Mapa_Liq'!$C$17+(K135&lt;=Y135)*'13_Mapa_Liq'!$C$18+(K135&lt;=AC135)*'13_Mapa_Liq'!$C$19),0)</f>
        <v>0</v>
      </c>
      <c r="AI135" s="151" t="n">
        <f aca="false">IF(ISNUMBER(B135),E135*(1-F135)*((L135&gt;=O135)*'13_Mapa_Liq'!$C$15+(L135&gt;=S135)*'13_Mapa_Liq'!$C$16+(L135&gt;=W135)*'13_Mapa_Liq'!$C$17+(L135&gt;=AA135)*'13_Mapa_Liq'!$C$18+(L135&gt;=AE135)*'13_Mapa_Liq'!$C$19),0)</f>
        <v>0</v>
      </c>
    </row>
    <row r="136" customFormat="false" ht="15" hidden="false" customHeight="false" outlineLevel="0" collapsed="false">
      <c r="A136" s="151" t="str">
        <f aca="false">IF(ISNUMBER('12_Datos_5m'!F136),ROW()-4,"")</f>
        <v/>
      </c>
      <c r="B136" s="151" t="str">
        <f aca="false">IF(ISNUMBER('12_Datos_5m'!F136),'12_Datos_5m'!F136,"")</f>
        <v/>
      </c>
      <c r="C136" s="151" t="str">
        <f aca="false">IF(ISNUMBER('12_Datos_5m'!A136),'12_Datos_5m'!A136,"")</f>
        <v/>
      </c>
      <c r="D136" s="151" t="n">
        <f aca="false">IF(AND(ISNUMBER('12_Datos_5m'!I136),ISNUMBER('12_Datos_5m'!I135)),'12_Datos_5m'!I136-'12_Datos_5m'!I135,0)</f>
        <v>0</v>
      </c>
      <c r="E136" s="151" t="n">
        <f aca="false">MAX(0,D136)</f>
        <v>0</v>
      </c>
      <c r="F136" s="151" t="n">
        <f aca="false">IF(AND(ISNUMBER('12_Datos_5m'!G136),N('12_Datos_5m'!G136)&gt;0),'12_Datos_5m'!H136/'12_Datos_5m'!G136,0.5)</f>
        <v>0.5</v>
      </c>
      <c r="G136" s="151" t="n">
        <f aca="false">IF(ISNUMBER(C136),($C$2-C136)/3600000,0)</f>
        <v>0</v>
      </c>
      <c r="H136" s="151" t="n">
        <f aca="false">EXP(-G136/'13_Mapa_Liq'!$B$7)</f>
        <v>1</v>
      </c>
      <c r="I136" s="151" t="n">
        <f aca="false">E136*F136*H136</f>
        <v>0</v>
      </c>
      <c r="J136" s="151" t="n">
        <f aca="false">E136*(1-F136)*H136</f>
        <v>0</v>
      </c>
      <c r="K136" s="151" t="n">
        <f aca="false">IF(COUNT('12_Datos_5m'!E137:E$504)=0,1000000000000,MIN('12_Datos_5m'!E137:E$504))</f>
        <v>1000000000000</v>
      </c>
      <c r="L136" s="151" t="n">
        <f aca="false">IF(COUNT('12_Datos_5m'!D137:D$504)=0,0,MAX('12_Datos_5m'!D137:D$504))</f>
        <v>0</v>
      </c>
      <c r="M136" s="151" t="str">
        <f aca="false">IF(ISNUMBER(B136),B136*(1-1/'13_Mapa_Liq'!$B$15+'13_Mapa_Liq'!$B$6),"")</f>
        <v/>
      </c>
      <c r="N136" s="151" t="n">
        <f aca="false">IF(ISNUMBER(B136),IF(K136&gt;M136,I136*'13_Mapa_Liq'!$C$15,0),0)</f>
        <v>0</v>
      </c>
      <c r="O136" s="151" t="str">
        <f aca="false">IF(ISNUMBER(B136),B136*(1+1/'13_Mapa_Liq'!$B$15-'13_Mapa_Liq'!$B$6),"")</f>
        <v/>
      </c>
      <c r="P136" s="151" t="n">
        <f aca="false">IF(ISNUMBER(B136),IF(L136&lt;O136,J136*'13_Mapa_Liq'!$C$15,0),0)</f>
        <v>0</v>
      </c>
      <c r="Q136" s="151" t="str">
        <f aca="false">IF(ISNUMBER(B136),B136*(1-1/'13_Mapa_Liq'!$B$16+'13_Mapa_Liq'!$B$6),"")</f>
        <v/>
      </c>
      <c r="R136" s="151" t="n">
        <f aca="false">IF(ISNUMBER(B136),IF(K136&gt;Q136,I136*'13_Mapa_Liq'!$C$16,0),0)</f>
        <v>0</v>
      </c>
      <c r="S136" s="151" t="str">
        <f aca="false">IF(ISNUMBER(B136),B136*(1+1/'13_Mapa_Liq'!$B$16-'13_Mapa_Liq'!$B$6),"")</f>
        <v/>
      </c>
      <c r="T136" s="151" t="n">
        <f aca="false">IF(ISNUMBER(B136),IF(L136&lt;S136,J136*'13_Mapa_Liq'!$C$16,0),0)</f>
        <v>0</v>
      </c>
      <c r="U136" s="151" t="str">
        <f aca="false">IF(ISNUMBER(B136),B136*(1-1/'13_Mapa_Liq'!$B$17+'13_Mapa_Liq'!$B$6),"")</f>
        <v/>
      </c>
      <c r="V136" s="151" t="n">
        <f aca="false">IF(ISNUMBER(B136),IF(K136&gt;U136,I136*'13_Mapa_Liq'!$C$17,0),0)</f>
        <v>0</v>
      </c>
      <c r="W136" s="151" t="str">
        <f aca="false">IF(ISNUMBER(B136),B136*(1+1/'13_Mapa_Liq'!$B$17-'13_Mapa_Liq'!$B$6),"")</f>
        <v/>
      </c>
      <c r="X136" s="151" t="n">
        <f aca="false">IF(ISNUMBER(B136),IF(L136&lt;W136,J136*'13_Mapa_Liq'!$C$17,0),0)</f>
        <v>0</v>
      </c>
      <c r="Y136" s="151" t="str">
        <f aca="false">IF(ISNUMBER(B136),B136*(1-1/'13_Mapa_Liq'!$B$18+'13_Mapa_Liq'!$B$6),"")</f>
        <v/>
      </c>
      <c r="Z136" s="151" t="n">
        <f aca="false">IF(ISNUMBER(B136),IF(K136&gt;Y136,I136*'13_Mapa_Liq'!$C$18,0),0)</f>
        <v>0</v>
      </c>
      <c r="AA136" s="151" t="str">
        <f aca="false">IF(ISNUMBER(B136),B136*(1+1/'13_Mapa_Liq'!$B$18-'13_Mapa_Liq'!$B$6),"")</f>
        <v/>
      </c>
      <c r="AB136" s="151" t="n">
        <f aca="false">IF(ISNUMBER(B136),IF(L136&lt;AA136,J136*'13_Mapa_Liq'!$C$18,0),0)</f>
        <v>0</v>
      </c>
      <c r="AC136" s="151" t="str">
        <f aca="false">IF(ISNUMBER(B136),B136*(1-1/'13_Mapa_Liq'!$B$19+'13_Mapa_Liq'!$B$6),"")</f>
        <v/>
      </c>
      <c r="AD136" s="151" t="n">
        <f aca="false">IF(ISNUMBER(B136),IF(K136&gt;AC136,I136*'13_Mapa_Liq'!$C$19,0),0)</f>
        <v>0</v>
      </c>
      <c r="AE136" s="151" t="str">
        <f aca="false">IF(ISNUMBER(B136),B136*(1+1/'13_Mapa_Liq'!$B$19-'13_Mapa_Liq'!$B$6),"")</f>
        <v/>
      </c>
      <c r="AF136" s="151" t="n">
        <f aca="false">IF(ISNUMBER(B136),IF(L136&lt;AE136,J136*'13_Mapa_Liq'!$C$19,0),0)</f>
        <v>0</v>
      </c>
      <c r="AG136" s="151"/>
      <c r="AH136" s="151" t="n">
        <f aca="false">IF(ISNUMBER(B136),E136*F136*((K136&lt;=M136)*'13_Mapa_Liq'!$C$15+(K136&lt;=Q136)*'13_Mapa_Liq'!$C$16+(K136&lt;=U136)*'13_Mapa_Liq'!$C$17+(K136&lt;=Y136)*'13_Mapa_Liq'!$C$18+(K136&lt;=AC136)*'13_Mapa_Liq'!$C$19),0)</f>
        <v>0</v>
      </c>
      <c r="AI136" s="151" t="n">
        <f aca="false">IF(ISNUMBER(B136),E136*(1-F136)*((L136&gt;=O136)*'13_Mapa_Liq'!$C$15+(L136&gt;=S136)*'13_Mapa_Liq'!$C$16+(L136&gt;=W136)*'13_Mapa_Liq'!$C$17+(L136&gt;=AA136)*'13_Mapa_Liq'!$C$18+(L136&gt;=AE136)*'13_Mapa_Liq'!$C$19),0)</f>
        <v>0</v>
      </c>
    </row>
    <row r="137" customFormat="false" ht="15" hidden="false" customHeight="false" outlineLevel="0" collapsed="false">
      <c r="A137" s="151" t="str">
        <f aca="false">IF(ISNUMBER('12_Datos_5m'!F137),ROW()-4,"")</f>
        <v/>
      </c>
      <c r="B137" s="151" t="str">
        <f aca="false">IF(ISNUMBER('12_Datos_5m'!F137),'12_Datos_5m'!F137,"")</f>
        <v/>
      </c>
      <c r="C137" s="151" t="str">
        <f aca="false">IF(ISNUMBER('12_Datos_5m'!A137),'12_Datos_5m'!A137,"")</f>
        <v/>
      </c>
      <c r="D137" s="151" t="n">
        <f aca="false">IF(AND(ISNUMBER('12_Datos_5m'!I137),ISNUMBER('12_Datos_5m'!I136)),'12_Datos_5m'!I137-'12_Datos_5m'!I136,0)</f>
        <v>0</v>
      </c>
      <c r="E137" s="151" t="n">
        <f aca="false">MAX(0,D137)</f>
        <v>0</v>
      </c>
      <c r="F137" s="151" t="n">
        <f aca="false">IF(AND(ISNUMBER('12_Datos_5m'!G137),N('12_Datos_5m'!G137)&gt;0),'12_Datos_5m'!H137/'12_Datos_5m'!G137,0.5)</f>
        <v>0.5</v>
      </c>
      <c r="G137" s="151" t="n">
        <f aca="false">IF(ISNUMBER(C137),($C$2-C137)/3600000,0)</f>
        <v>0</v>
      </c>
      <c r="H137" s="151" t="n">
        <f aca="false">EXP(-G137/'13_Mapa_Liq'!$B$7)</f>
        <v>1</v>
      </c>
      <c r="I137" s="151" t="n">
        <f aca="false">E137*F137*H137</f>
        <v>0</v>
      </c>
      <c r="J137" s="151" t="n">
        <f aca="false">E137*(1-F137)*H137</f>
        <v>0</v>
      </c>
      <c r="K137" s="151" t="n">
        <f aca="false">IF(COUNT('12_Datos_5m'!E138:E$504)=0,1000000000000,MIN('12_Datos_5m'!E138:E$504))</f>
        <v>1000000000000</v>
      </c>
      <c r="L137" s="151" t="n">
        <f aca="false">IF(COUNT('12_Datos_5m'!D138:D$504)=0,0,MAX('12_Datos_5m'!D138:D$504))</f>
        <v>0</v>
      </c>
      <c r="M137" s="151" t="str">
        <f aca="false">IF(ISNUMBER(B137),B137*(1-1/'13_Mapa_Liq'!$B$15+'13_Mapa_Liq'!$B$6),"")</f>
        <v/>
      </c>
      <c r="N137" s="151" t="n">
        <f aca="false">IF(ISNUMBER(B137),IF(K137&gt;M137,I137*'13_Mapa_Liq'!$C$15,0),0)</f>
        <v>0</v>
      </c>
      <c r="O137" s="151" t="str">
        <f aca="false">IF(ISNUMBER(B137),B137*(1+1/'13_Mapa_Liq'!$B$15-'13_Mapa_Liq'!$B$6),"")</f>
        <v/>
      </c>
      <c r="P137" s="151" t="n">
        <f aca="false">IF(ISNUMBER(B137),IF(L137&lt;O137,J137*'13_Mapa_Liq'!$C$15,0),0)</f>
        <v>0</v>
      </c>
      <c r="Q137" s="151" t="str">
        <f aca="false">IF(ISNUMBER(B137),B137*(1-1/'13_Mapa_Liq'!$B$16+'13_Mapa_Liq'!$B$6),"")</f>
        <v/>
      </c>
      <c r="R137" s="151" t="n">
        <f aca="false">IF(ISNUMBER(B137),IF(K137&gt;Q137,I137*'13_Mapa_Liq'!$C$16,0),0)</f>
        <v>0</v>
      </c>
      <c r="S137" s="151" t="str">
        <f aca="false">IF(ISNUMBER(B137),B137*(1+1/'13_Mapa_Liq'!$B$16-'13_Mapa_Liq'!$B$6),"")</f>
        <v/>
      </c>
      <c r="T137" s="151" t="n">
        <f aca="false">IF(ISNUMBER(B137),IF(L137&lt;S137,J137*'13_Mapa_Liq'!$C$16,0),0)</f>
        <v>0</v>
      </c>
      <c r="U137" s="151" t="str">
        <f aca="false">IF(ISNUMBER(B137),B137*(1-1/'13_Mapa_Liq'!$B$17+'13_Mapa_Liq'!$B$6),"")</f>
        <v/>
      </c>
      <c r="V137" s="151" t="n">
        <f aca="false">IF(ISNUMBER(B137),IF(K137&gt;U137,I137*'13_Mapa_Liq'!$C$17,0),0)</f>
        <v>0</v>
      </c>
      <c r="W137" s="151" t="str">
        <f aca="false">IF(ISNUMBER(B137),B137*(1+1/'13_Mapa_Liq'!$B$17-'13_Mapa_Liq'!$B$6),"")</f>
        <v/>
      </c>
      <c r="X137" s="151" t="n">
        <f aca="false">IF(ISNUMBER(B137),IF(L137&lt;W137,J137*'13_Mapa_Liq'!$C$17,0),0)</f>
        <v>0</v>
      </c>
      <c r="Y137" s="151" t="str">
        <f aca="false">IF(ISNUMBER(B137),B137*(1-1/'13_Mapa_Liq'!$B$18+'13_Mapa_Liq'!$B$6),"")</f>
        <v/>
      </c>
      <c r="Z137" s="151" t="n">
        <f aca="false">IF(ISNUMBER(B137),IF(K137&gt;Y137,I137*'13_Mapa_Liq'!$C$18,0),0)</f>
        <v>0</v>
      </c>
      <c r="AA137" s="151" t="str">
        <f aca="false">IF(ISNUMBER(B137),B137*(1+1/'13_Mapa_Liq'!$B$18-'13_Mapa_Liq'!$B$6),"")</f>
        <v/>
      </c>
      <c r="AB137" s="151" t="n">
        <f aca="false">IF(ISNUMBER(B137),IF(L137&lt;AA137,J137*'13_Mapa_Liq'!$C$18,0),0)</f>
        <v>0</v>
      </c>
      <c r="AC137" s="151" t="str">
        <f aca="false">IF(ISNUMBER(B137),B137*(1-1/'13_Mapa_Liq'!$B$19+'13_Mapa_Liq'!$B$6),"")</f>
        <v/>
      </c>
      <c r="AD137" s="151" t="n">
        <f aca="false">IF(ISNUMBER(B137),IF(K137&gt;AC137,I137*'13_Mapa_Liq'!$C$19,0),0)</f>
        <v>0</v>
      </c>
      <c r="AE137" s="151" t="str">
        <f aca="false">IF(ISNUMBER(B137),B137*(1+1/'13_Mapa_Liq'!$B$19-'13_Mapa_Liq'!$B$6),"")</f>
        <v/>
      </c>
      <c r="AF137" s="151" t="n">
        <f aca="false">IF(ISNUMBER(B137),IF(L137&lt;AE137,J137*'13_Mapa_Liq'!$C$19,0),0)</f>
        <v>0</v>
      </c>
      <c r="AG137" s="151"/>
      <c r="AH137" s="151" t="n">
        <f aca="false">IF(ISNUMBER(B137),E137*F137*((K137&lt;=M137)*'13_Mapa_Liq'!$C$15+(K137&lt;=Q137)*'13_Mapa_Liq'!$C$16+(K137&lt;=U137)*'13_Mapa_Liq'!$C$17+(K137&lt;=Y137)*'13_Mapa_Liq'!$C$18+(K137&lt;=AC137)*'13_Mapa_Liq'!$C$19),0)</f>
        <v>0</v>
      </c>
      <c r="AI137" s="151" t="n">
        <f aca="false">IF(ISNUMBER(B137),E137*(1-F137)*((L137&gt;=O137)*'13_Mapa_Liq'!$C$15+(L137&gt;=S137)*'13_Mapa_Liq'!$C$16+(L137&gt;=W137)*'13_Mapa_Liq'!$C$17+(L137&gt;=AA137)*'13_Mapa_Liq'!$C$18+(L137&gt;=AE137)*'13_Mapa_Liq'!$C$19),0)</f>
        <v>0</v>
      </c>
    </row>
    <row r="138" customFormat="false" ht="15" hidden="false" customHeight="false" outlineLevel="0" collapsed="false">
      <c r="A138" s="151" t="str">
        <f aca="false">IF(ISNUMBER('12_Datos_5m'!F138),ROW()-4,"")</f>
        <v/>
      </c>
      <c r="B138" s="151" t="str">
        <f aca="false">IF(ISNUMBER('12_Datos_5m'!F138),'12_Datos_5m'!F138,"")</f>
        <v/>
      </c>
      <c r="C138" s="151" t="str">
        <f aca="false">IF(ISNUMBER('12_Datos_5m'!A138),'12_Datos_5m'!A138,"")</f>
        <v/>
      </c>
      <c r="D138" s="151" t="n">
        <f aca="false">IF(AND(ISNUMBER('12_Datos_5m'!I138),ISNUMBER('12_Datos_5m'!I137)),'12_Datos_5m'!I138-'12_Datos_5m'!I137,0)</f>
        <v>0</v>
      </c>
      <c r="E138" s="151" t="n">
        <f aca="false">MAX(0,D138)</f>
        <v>0</v>
      </c>
      <c r="F138" s="151" t="n">
        <f aca="false">IF(AND(ISNUMBER('12_Datos_5m'!G138),N('12_Datos_5m'!G138)&gt;0),'12_Datos_5m'!H138/'12_Datos_5m'!G138,0.5)</f>
        <v>0.5</v>
      </c>
      <c r="G138" s="151" t="n">
        <f aca="false">IF(ISNUMBER(C138),($C$2-C138)/3600000,0)</f>
        <v>0</v>
      </c>
      <c r="H138" s="151" t="n">
        <f aca="false">EXP(-G138/'13_Mapa_Liq'!$B$7)</f>
        <v>1</v>
      </c>
      <c r="I138" s="151" t="n">
        <f aca="false">E138*F138*H138</f>
        <v>0</v>
      </c>
      <c r="J138" s="151" t="n">
        <f aca="false">E138*(1-F138)*H138</f>
        <v>0</v>
      </c>
      <c r="K138" s="151" t="n">
        <f aca="false">IF(COUNT('12_Datos_5m'!E139:E$504)=0,1000000000000,MIN('12_Datos_5m'!E139:E$504))</f>
        <v>1000000000000</v>
      </c>
      <c r="L138" s="151" t="n">
        <f aca="false">IF(COUNT('12_Datos_5m'!D139:D$504)=0,0,MAX('12_Datos_5m'!D139:D$504))</f>
        <v>0</v>
      </c>
      <c r="M138" s="151" t="str">
        <f aca="false">IF(ISNUMBER(B138),B138*(1-1/'13_Mapa_Liq'!$B$15+'13_Mapa_Liq'!$B$6),"")</f>
        <v/>
      </c>
      <c r="N138" s="151" t="n">
        <f aca="false">IF(ISNUMBER(B138),IF(K138&gt;M138,I138*'13_Mapa_Liq'!$C$15,0),0)</f>
        <v>0</v>
      </c>
      <c r="O138" s="151" t="str">
        <f aca="false">IF(ISNUMBER(B138),B138*(1+1/'13_Mapa_Liq'!$B$15-'13_Mapa_Liq'!$B$6),"")</f>
        <v/>
      </c>
      <c r="P138" s="151" t="n">
        <f aca="false">IF(ISNUMBER(B138),IF(L138&lt;O138,J138*'13_Mapa_Liq'!$C$15,0),0)</f>
        <v>0</v>
      </c>
      <c r="Q138" s="151" t="str">
        <f aca="false">IF(ISNUMBER(B138),B138*(1-1/'13_Mapa_Liq'!$B$16+'13_Mapa_Liq'!$B$6),"")</f>
        <v/>
      </c>
      <c r="R138" s="151" t="n">
        <f aca="false">IF(ISNUMBER(B138),IF(K138&gt;Q138,I138*'13_Mapa_Liq'!$C$16,0),0)</f>
        <v>0</v>
      </c>
      <c r="S138" s="151" t="str">
        <f aca="false">IF(ISNUMBER(B138),B138*(1+1/'13_Mapa_Liq'!$B$16-'13_Mapa_Liq'!$B$6),"")</f>
        <v/>
      </c>
      <c r="T138" s="151" t="n">
        <f aca="false">IF(ISNUMBER(B138),IF(L138&lt;S138,J138*'13_Mapa_Liq'!$C$16,0),0)</f>
        <v>0</v>
      </c>
      <c r="U138" s="151" t="str">
        <f aca="false">IF(ISNUMBER(B138),B138*(1-1/'13_Mapa_Liq'!$B$17+'13_Mapa_Liq'!$B$6),"")</f>
        <v/>
      </c>
      <c r="V138" s="151" t="n">
        <f aca="false">IF(ISNUMBER(B138),IF(K138&gt;U138,I138*'13_Mapa_Liq'!$C$17,0),0)</f>
        <v>0</v>
      </c>
      <c r="W138" s="151" t="str">
        <f aca="false">IF(ISNUMBER(B138),B138*(1+1/'13_Mapa_Liq'!$B$17-'13_Mapa_Liq'!$B$6),"")</f>
        <v/>
      </c>
      <c r="X138" s="151" t="n">
        <f aca="false">IF(ISNUMBER(B138),IF(L138&lt;W138,J138*'13_Mapa_Liq'!$C$17,0),0)</f>
        <v>0</v>
      </c>
      <c r="Y138" s="151" t="str">
        <f aca="false">IF(ISNUMBER(B138),B138*(1-1/'13_Mapa_Liq'!$B$18+'13_Mapa_Liq'!$B$6),"")</f>
        <v/>
      </c>
      <c r="Z138" s="151" t="n">
        <f aca="false">IF(ISNUMBER(B138),IF(K138&gt;Y138,I138*'13_Mapa_Liq'!$C$18,0),0)</f>
        <v>0</v>
      </c>
      <c r="AA138" s="151" t="str">
        <f aca="false">IF(ISNUMBER(B138),B138*(1+1/'13_Mapa_Liq'!$B$18-'13_Mapa_Liq'!$B$6),"")</f>
        <v/>
      </c>
      <c r="AB138" s="151" t="n">
        <f aca="false">IF(ISNUMBER(B138),IF(L138&lt;AA138,J138*'13_Mapa_Liq'!$C$18,0),0)</f>
        <v>0</v>
      </c>
      <c r="AC138" s="151" t="str">
        <f aca="false">IF(ISNUMBER(B138),B138*(1-1/'13_Mapa_Liq'!$B$19+'13_Mapa_Liq'!$B$6),"")</f>
        <v/>
      </c>
      <c r="AD138" s="151" t="n">
        <f aca="false">IF(ISNUMBER(B138),IF(K138&gt;AC138,I138*'13_Mapa_Liq'!$C$19,0),0)</f>
        <v>0</v>
      </c>
      <c r="AE138" s="151" t="str">
        <f aca="false">IF(ISNUMBER(B138),B138*(1+1/'13_Mapa_Liq'!$B$19-'13_Mapa_Liq'!$B$6),"")</f>
        <v/>
      </c>
      <c r="AF138" s="151" t="n">
        <f aca="false">IF(ISNUMBER(B138),IF(L138&lt;AE138,J138*'13_Mapa_Liq'!$C$19,0),0)</f>
        <v>0</v>
      </c>
      <c r="AG138" s="151"/>
      <c r="AH138" s="151" t="n">
        <f aca="false">IF(ISNUMBER(B138),E138*F138*((K138&lt;=M138)*'13_Mapa_Liq'!$C$15+(K138&lt;=Q138)*'13_Mapa_Liq'!$C$16+(K138&lt;=U138)*'13_Mapa_Liq'!$C$17+(K138&lt;=Y138)*'13_Mapa_Liq'!$C$18+(K138&lt;=AC138)*'13_Mapa_Liq'!$C$19),0)</f>
        <v>0</v>
      </c>
      <c r="AI138" s="151" t="n">
        <f aca="false">IF(ISNUMBER(B138),E138*(1-F138)*((L138&gt;=O138)*'13_Mapa_Liq'!$C$15+(L138&gt;=S138)*'13_Mapa_Liq'!$C$16+(L138&gt;=W138)*'13_Mapa_Liq'!$C$17+(L138&gt;=AA138)*'13_Mapa_Liq'!$C$18+(L138&gt;=AE138)*'13_Mapa_Liq'!$C$19),0)</f>
        <v>0</v>
      </c>
    </row>
    <row r="139" customFormat="false" ht="15" hidden="false" customHeight="false" outlineLevel="0" collapsed="false">
      <c r="A139" s="151" t="str">
        <f aca="false">IF(ISNUMBER('12_Datos_5m'!F139),ROW()-4,"")</f>
        <v/>
      </c>
      <c r="B139" s="151" t="str">
        <f aca="false">IF(ISNUMBER('12_Datos_5m'!F139),'12_Datos_5m'!F139,"")</f>
        <v/>
      </c>
      <c r="C139" s="151" t="str">
        <f aca="false">IF(ISNUMBER('12_Datos_5m'!A139),'12_Datos_5m'!A139,"")</f>
        <v/>
      </c>
      <c r="D139" s="151" t="n">
        <f aca="false">IF(AND(ISNUMBER('12_Datos_5m'!I139),ISNUMBER('12_Datos_5m'!I138)),'12_Datos_5m'!I139-'12_Datos_5m'!I138,0)</f>
        <v>0</v>
      </c>
      <c r="E139" s="151" t="n">
        <f aca="false">MAX(0,D139)</f>
        <v>0</v>
      </c>
      <c r="F139" s="151" t="n">
        <f aca="false">IF(AND(ISNUMBER('12_Datos_5m'!G139),N('12_Datos_5m'!G139)&gt;0),'12_Datos_5m'!H139/'12_Datos_5m'!G139,0.5)</f>
        <v>0.5</v>
      </c>
      <c r="G139" s="151" t="n">
        <f aca="false">IF(ISNUMBER(C139),($C$2-C139)/3600000,0)</f>
        <v>0</v>
      </c>
      <c r="H139" s="151" t="n">
        <f aca="false">EXP(-G139/'13_Mapa_Liq'!$B$7)</f>
        <v>1</v>
      </c>
      <c r="I139" s="151" t="n">
        <f aca="false">E139*F139*H139</f>
        <v>0</v>
      </c>
      <c r="J139" s="151" t="n">
        <f aca="false">E139*(1-F139)*H139</f>
        <v>0</v>
      </c>
      <c r="K139" s="151" t="n">
        <f aca="false">IF(COUNT('12_Datos_5m'!E140:E$504)=0,1000000000000,MIN('12_Datos_5m'!E140:E$504))</f>
        <v>1000000000000</v>
      </c>
      <c r="L139" s="151" t="n">
        <f aca="false">IF(COUNT('12_Datos_5m'!D140:D$504)=0,0,MAX('12_Datos_5m'!D140:D$504))</f>
        <v>0</v>
      </c>
      <c r="M139" s="151" t="str">
        <f aca="false">IF(ISNUMBER(B139),B139*(1-1/'13_Mapa_Liq'!$B$15+'13_Mapa_Liq'!$B$6),"")</f>
        <v/>
      </c>
      <c r="N139" s="151" t="n">
        <f aca="false">IF(ISNUMBER(B139),IF(K139&gt;M139,I139*'13_Mapa_Liq'!$C$15,0),0)</f>
        <v>0</v>
      </c>
      <c r="O139" s="151" t="str">
        <f aca="false">IF(ISNUMBER(B139),B139*(1+1/'13_Mapa_Liq'!$B$15-'13_Mapa_Liq'!$B$6),"")</f>
        <v/>
      </c>
      <c r="P139" s="151" t="n">
        <f aca="false">IF(ISNUMBER(B139),IF(L139&lt;O139,J139*'13_Mapa_Liq'!$C$15,0),0)</f>
        <v>0</v>
      </c>
      <c r="Q139" s="151" t="str">
        <f aca="false">IF(ISNUMBER(B139),B139*(1-1/'13_Mapa_Liq'!$B$16+'13_Mapa_Liq'!$B$6),"")</f>
        <v/>
      </c>
      <c r="R139" s="151" t="n">
        <f aca="false">IF(ISNUMBER(B139),IF(K139&gt;Q139,I139*'13_Mapa_Liq'!$C$16,0),0)</f>
        <v>0</v>
      </c>
      <c r="S139" s="151" t="str">
        <f aca="false">IF(ISNUMBER(B139),B139*(1+1/'13_Mapa_Liq'!$B$16-'13_Mapa_Liq'!$B$6),"")</f>
        <v/>
      </c>
      <c r="T139" s="151" t="n">
        <f aca="false">IF(ISNUMBER(B139),IF(L139&lt;S139,J139*'13_Mapa_Liq'!$C$16,0),0)</f>
        <v>0</v>
      </c>
      <c r="U139" s="151" t="str">
        <f aca="false">IF(ISNUMBER(B139),B139*(1-1/'13_Mapa_Liq'!$B$17+'13_Mapa_Liq'!$B$6),"")</f>
        <v/>
      </c>
      <c r="V139" s="151" t="n">
        <f aca="false">IF(ISNUMBER(B139),IF(K139&gt;U139,I139*'13_Mapa_Liq'!$C$17,0),0)</f>
        <v>0</v>
      </c>
      <c r="W139" s="151" t="str">
        <f aca="false">IF(ISNUMBER(B139),B139*(1+1/'13_Mapa_Liq'!$B$17-'13_Mapa_Liq'!$B$6),"")</f>
        <v/>
      </c>
      <c r="X139" s="151" t="n">
        <f aca="false">IF(ISNUMBER(B139),IF(L139&lt;W139,J139*'13_Mapa_Liq'!$C$17,0),0)</f>
        <v>0</v>
      </c>
      <c r="Y139" s="151" t="str">
        <f aca="false">IF(ISNUMBER(B139),B139*(1-1/'13_Mapa_Liq'!$B$18+'13_Mapa_Liq'!$B$6),"")</f>
        <v/>
      </c>
      <c r="Z139" s="151" t="n">
        <f aca="false">IF(ISNUMBER(B139),IF(K139&gt;Y139,I139*'13_Mapa_Liq'!$C$18,0),0)</f>
        <v>0</v>
      </c>
      <c r="AA139" s="151" t="str">
        <f aca="false">IF(ISNUMBER(B139),B139*(1+1/'13_Mapa_Liq'!$B$18-'13_Mapa_Liq'!$B$6),"")</f>
        <v/>
      </c>
      <c r="AB139" s="151" t="n">
        <f aca="false">IF(ISNUMBER(B139),IF(L139&lt;AA139,J139*'13_Mapa_Liq'!$C$18,0),0)</f>
        <v>0</v>
      </c>
      <c r="AC139" s="151" t="str">
        <f aca="false">IF(ISNUMBER(B139),B139*(1-1/'13_Mapa_Liq'!$B$19+'13_Mapa_Liq'!$B$6),"")</f>
        <v/>
      </c>
      <c r="AD139" s="151" t="n">
        <f aca="false">IF(ISNUMBER(B139),IF(K139&gt;AC139,I139*'13_Mapa_Liq'!$C$19,0),0)</f>
        <v>0</v>
      </c>
      <c r="AE139" s="151" t="str">
        <f aca="false">IF(ISNUMBER(B139),B139*(1+1/'13_Mapa_Liq'!$B$19-'13_Mapa_Liq'!$B$6),"")</f>
        <v/>
      </c>
      <c r="AF139" s="151" t="n">
        <f aca="false">IF(ISNUMBER(B139),IF(L139&lt;AE139,J139*'13_Mapa_Liq'!$C$19,0),0)</f>
        <v>0</v>
      </c>
      <c r="AG139" s="151"/>
      <c r="AH139" s="151" t="n">
        <f aca="false">IF(ISNUMBER(B139),E139*F139*((K139&lt;=M139)*'13_Mapa_Liq'!$C$15+(K139&lt;=Q139)*'13_Mapa_Liq'!$C$16+(K139&lt;=U139)*'13_Mapa_Liq'!$C$17+(K139&lt;=Y139)*'13_Mapa_Liq'!$C$18+(K139&lt;=AC139)*'13_Mapa_Liq'!$C$19),0)</f>
        <v>0</v>
      </c>
      <c r="AI139" s="151" t="n">
        <f aca="false">IF(ISNUMBER(B139),E139*(1-F139)*((L139&gt;=O139)*'13_Mapa_Liq'!$C$15+(L139&gt;=S139)*'13_Mapa_Liq'!$C$16+(L139&gt;=W139)*'13_Mapa_Liq'!$C$17+(L139&gt;=AA139)*'13_Mapa_Liq'!$C$18+(L139&gt;=AE139)*'13_Mapa_Liq'!$C$19),0)</f>
        <v>0</v>
      </c>
    </row>
    <row r="140" customFormat="false" ht="15" hidden="false" customHeight="false" outlineLevel="0" collapsed="false">
      <c r="A140" s="151" t="str">
        <f aca="false">IF(ISNUMBER('12_Datos_5m'!F140),ROW()-4,"")</f>
        <v/>
      </c>
      <c r="B140" s="151" t="str">
        <f aca="false">IF(ISNUMBER('12_Datos_5m'!F140),'12_Datos_5m'!F140,"")</f>
        <v/>
      </c>
      <c r="C140" s="151" t="str">
        <f aca="false">IF(ISNUMBER('12_Datos_5m'!A140),'12_Datos_5m'!A140,"")</f>
        <v/>
      </c>
      <c r="D140" s="151" t="n">
        <f aca="false">IF(AND(ISNUMBER('12_Datos_5m'!I140),ISNUMBER('12_Datos_5m'!I139)),'12_Datos_5m'!I140-'12_Datos_5m'!I139,0)</f>
        <v>0</v>
      </c>
      <c r="E140" s="151" t="n">
        <f aca="false">MAX(0,D140)</f>
        <v>0</v>
      </c>
      <c r="F140" s="151" t="n">
        <f aca="false">IF(AND(ISNUMBER('12_Datos_5m'!G140),N('12_Datos_5m'!G140)&gt;0),'12_Datos_5m'!H140/'12_Datos_5m'!G140,0.5)</f>
        <v>0.5</v>
      </c>
      <c r="G140" s="151" t="n">
        <f aca="false">IF(ISNUMBER(C140),($C$2-C140)/3600000,0)</f>
        <v>0</v>
      </c>
      <c r="H140" s="151" t="n">
        <f aca="false">EXP(-G140/'13_Mapa_Liq'!$B$7)</f>
        <v>1</v>
      </c>
      <c r="I140" s="151" t="n">
        <f aca="false">E140*F140*H140</f>
        <v>0</v>
      </c>
      <c r="J140" s="151" t="n">
        <f aca="false">E140*(1-F140)*H140</f>
        <v>0</v>
      </c>
      <c r="K140" s="151" t="n">
        <f aca="false">IF(COUNT('12_Datos_5m'!E141:E$504)=0,1000000000000,MIN('12_Datos_5m'!E141:E$504))</f>
        <v>1000000000000</v>
      </c>
      <c r="L140" s="151" t="n">
        <f aca="false">IF(COUNT('12_Datos_5m'!D141:D$504)=0,0,MAX('12_Datos_5m'!D141:D$504))</f>
        <v>0</v>
      </c>
      <c r="M140" s="151" t="str">
        <f aca="false">IF(ISNUMBER(B140),B140*(1-1/'13_Mapa_Liq'!$B$15+'13_Mapa_Liq'!$B$6),"")</f>
        <v/>
      </c>
      <c r="N140" s="151" t="n">
        <f aca="false">IF(ISNUMBER(B140),IF(K140&gt;M140,I140*'13_Mapa_Liq'!$C$15,0),0)</f>
        <v>0</v>
      </c>
      <c r="O140" s="151" t="str">
        <f aca="false">IF(ISNUMBER(B140),B140*(1+1/'13_Mapa_Liq'!$B$15-'13_Mapa_Liq'!$B$6),"")</f>
        <v/>
      </c>
      <c r="P140" s="151" t="n">
        <f aca="false">IF(ISNUMBER(B140),IF(L140&lt;O140,J140*'13_Mapa_Liq'!$C$15,0),0)</f>
        <v>0</v>
      </c>
      <c r="Q140" s="151" t="str">
        <f aca="false">IF(ISNUMBER(B140),B140*(1-1/'13_Mapa_Liq'!$B$16+'13_Mapa_Liq'!$B$6),"")</f>
        <v/>
      </c>
      <c r="R140" s="151" t="n">
        <f aca="false">IF(ISNUMBER(B140),IF(K140&gt;Q140,I140*'13_Mapa_Liq'!$C$16,0),0)</f>
        <v>0</v>
      </c>
      <c r="S140" s="151" t="str">
        <f aca="false">IF(ISNUMBER(B140),B140*(1+1/'13_Mapa_Liq'!$B$16-'13_Mapa_Liq'!$B$6),"")</f>
        <v/>
      </c>
      <c r="T140" s="151" t="n">
        <f aca="false">IF(ISNUMBER(B140),IF(L140&lt;S140,J140*'13_Mapa_Liq'!$C$16,0),0)</f>
        <v>0</v>
      </c>
      <c r="U140" s="151" t="str">
        <f aca="false">IF(ISNUMBER(B140),B140*(1-1/'13_Mapa_Liq'!$B$17+'13_Mapa_Liq'!$B$6),"")</f>
        <v/>
      </c>
      <c r="V140" s="151" t="n">
        <f aca="false">IF(ISNUMBER(B140),IF(K140&gt;U140,I140*'13_Mapa_Liq'!$C$17,0),0)</f>
        <v>0</v>
      </c>
      <c r="W140" s="151" t="str">
        <f aca="false">IF(ISNUMBER(B140),B140*(1+1/'13_Mapa_Liq'!$B$17-'13_Mapa_Liq'!$B$6),"")</f>
        <v/>
      </c>
      <c r="X140" s="151" t="n">
        <f aca="false">IF(ISNUMBER(B140),IF(L140&lt;W140,J140*'13_Mapa_Liq'!$C$17,0),0)</f>
        <v>0</v>
      </c>
      <c r="Y140" s="151" t="str">
        <f aca="false">IF(ISNUMBER(B140),B140*(1-1/'13_Mapa_Liq'!$B$18+'13_Mapa_Liq'!$B$6),"")</f>
        <v/>
      </c>
      <c r="Z140" s="151" t="n">
        <f aca="false">IF(ISNUMBER(B140),IF(K140&gt;Y140,I140*'13_Mapa_Liq'!$C$18,0),0)</f>
        <v>0</v>
      </c>
      <c r="AA140" s="151" t="str">
        <f aca="false">IF(ISNUMBER(B140),B140*(1+1/'13_Mapa_Liq'!$B$18-'13_Mapa_Liq'!$B$6),"")</f>
        <v/>
      </c>
      <c r="AB140" s="151" t="n">
        <f aca="false">IF(ISNUMBER(B140),IF(L140&lt;AA140,J140*'13_Mapa_Liq'!$C$18,0),0)</f>
        <v>0</v>
      </c>
      <c r="AC140" s="151" t="str">
        <f aca="false">IF(ISNUMBER(B140),B140*(1-1/'13_Mapa_Liq'!$B$19+'13_Mapa_Liq'!$B$6),"")</f>
        <v/>
      </c>
      <c r="AD140" s="151" t="n">
        <f aca="false">IF(ISNUMBER(B140),IF(K140&gt;AC140,I140*'13_Mapa_Liq'!$C$19,0),0)</f>
        <v>0</v>
      </c>
      <c r="AE140" s="151" t="str">
        <f aca="false">IF(ISNUMBER(B140),B140*(1+1/'13_Mapa_Liq'!$B$19-'13_Mapa_Liq'!$B$6),"")</f>
        <v/>
      </c>
      <c r="AF140" s="151" t="n">
        <f aca="false">IF(ISNUMBER(B140),IF(L140&lt;AE140,J140*'13_Mapa_Liq'!$C$19,0),0)</f>
        <v>0</v>
      </c>
      <c r="AG140" s="151"/>
      <c r="AH140" s="151" t="n">
        <f aca="false">IF(ISNUMBER(B140),E140*F140*((K140&lt;=M140)*'13_Mapa_Liq'!$C$15+(K140&lt;=Q140)*'13_Mapa_Liq'!$C$16+(K140&lt;=U140)*'13_Mapa_Liq'!$C$17+(K140&lt;=Y140)*'13_Mapa_Liq'!$C$18+(K140&lt;=AC140)*'13_Mapa_Liq'!$C$19),0)</f>
        <v>0</v>
      </c>
      <c r="AI140" s="151" t="n">
        <f aca="false">IF(ISNUMBER(B140),E140*(1-F140)*((L140&gt;=O140)*'13_Mapa_Liq'!$C$15+(L140&gt;=S140)*'13_Mapa_Liq'!$C$16+(L140&gt;=W140)*'13_Mapa_Liq'!$C$17+(L140&gt;=AA140)*'13_Mapa_Liq'!$C$18+(L140&gt;=AE140)*'13_Mapa_Liq'!$C$19),0)</f>
        <v>0</v>
      </c>
    </row>
    <row r="141" customFormat="false" ht="15" hidden="false" customHeight="false" outlineLevel="0" collapsed="false">
      <c r="A141" s="151" t="str">
        <f aca="false">IF(ISNUMBER('12_Datos_5m'!F141),ROW()-4,"")</f>
        <v/>
      </c>
      <c r="B141" s="151" t="str">
        <f aca="false">IF(ISNUMBER('12_Datos_5m'!F141),'12_Datos_5m'!F141,"")</f>
        <v/>
      </c>
      <c r="C141" s="151" t="str">
        <f aca="false">IF(ISNUMBER('12_Datos_5m'!A141),'12_Datos_5m'!A141,"")</f>
        <v/>
      </c>
      <c r="D141" s="151" t="n">
        <f aca="false">IF(AND(ISNUMBER('12_Datos_5m'!I141),ISNUMBER('12_Datos_5m'!I140)),'12_Datos_5m'!I141-'12_Datos_5m'!I140,0)</f>
        <v>0</v>
      </c>
      <c r="E141" s="151" t="n">
        <f aca="false">MAX(0,D141)</f>
        <v>0</v>
      </c>
      <c r="F141" s="151" t="n">
        <f aca="false">IF(AND(ISNUMBER('12_Datos_5m'!G141),N('12_Datos_5m'!G141)&gt;0),'12_Datos_5m'!H141/'12_Datos_5m'!G141,0.5)</f>
        <v>0.5</v>
      </c>
      <c r="G141" s="151" t="n">
        <f aca="false">IF(ISNUMBER(C141),($C$2-C141)/3600000,0)</f>
        <v>0</v>
      </c>
      <c r="H141" s="151" t="n">
        <f aca="false">EXP(-G141/'13_Mapa_Liq'!$B$7)</f>
        <v>1</v>
      </c>
      <c r="I141" s="151" t="n">
        <f aca="false">E141*F141*H141</f>
        <v>0</v>
      </c>
      <c r="J141" s="151" t="n">
        <f aca="false">E141*(1-F141)*H141</f>
        <v>0</v>
      </c>
      <c r="K141" s="151" t="n">
        <f aca="false">IF(COUNT('12_Datos_5m'!E142:E$504)=0,1000000000000,MIN('12_Datos_5m'!E142:E$504))</f>
        <v>1000000000000</v>
      </c>
      <c r="L141" s="151" t="n">
        <f aca="false">IF(COUNT('12_Datos_5m'!D142:D$504)=0,0,MAX('12_Datos_5m'!D142:D$504))</f>
        <v>0</v>
      </c>
      <c r="M141" s="151" t="str">
        <f aca="false">IF(ISNUMBER(B141),B141*(1-1/'13_Mapa_Liq'!$B$15+'13_Mapa_Liq'!$B$6),"")</f>
        <v/>
      </c>
      <c r="N141" s="151" t="n">
        <f aca="false">IF(ISNUMBER(B141),IF(K141&gt;M141,I141*'13_Mapa_Liq'!$C$15,0),0)</f>
        <v>0</v>
      </c>
      <c r="O141" s="151" t="str">
        <f aca="false">IF(ISNUMBER(B141),B141*(1+1/'13_Mapa_Liq'!$B$15-'13_Mapa_Liq'!$B$6),"")</f>
        <v/>
      </c>
      <c r="P141" s="151" t="n">
        <f aca="false">IF(ISNUMBER(B141),IF(L141&lt;O141,J141*'13_Mapa_Liq'!$C$15,0),0)</f>
        <v>0</v>
      </c>
      <c r="Q141" s="151" t="str">
        <f aca="false">IF(ISNUMBER(B141),B141*(1-1/'13_Mapa_Liq'!$B$16+'13_Mapa_Liq'!$B$6),"")</f>
        <v/>
      </c>
      <c r="R141" s="151" t="n">
        <f aca="false">IF(ISNUMBER(B141),IF(K141&gt;Q141,I141*'13_Mapa_Liq'!$C$16,0),0)</f>
        <v>0</v>
      </c>
      <c r="S141" s="151" t="str">
        <f aca="false">IF(ISNUMBER(B141),B141*(1+1/'13_Mapa_Liq'!$B$16-'13_Mapa_Liq'!$B$6),"")</f>
        <v/>
      </c>
      <c r="T141" s="151" t="n">
        <f aca="false">IF(ISNUMBER(B141),IF(L141&lt;S141,J141*'13_Mapa_Liq'!$C$16,0),0)</f>
        <v>0</v>
      </c>
      <c r="U141" s="151" t="str">
        <f aca="false">IF(ISNUMBER(B141),B141*(1-1/'13_Mapa_Liq'!$B$17+'13_Mapa_Liq'!$B$6),"")</f>
        <v/>
      </c>
      <c r="V141" s="151" t="n">
        <f aca="false">IF(ISNUMBER(B141),IF(K141&gt;U141,I141*'13_Mapa_Liq'!$C$17,0),0)</f>
        <v>0</v>
      </c>
      <c r="W141" s="151" t="str">
        <f aca="false">IF(ISNUMBER(B141),B141*(1+1/'13_Mapa_Liq'!$B$17-'13_Mapa_Liq'!$B$6),"")</f>
        <v/>
      </c>
      <c r="X141" s="151" t="n">
        <f aca="false">IF(ISNUMBER(B141),IF(L141&lt;W141,J141*'13_Mapa_Liq'!$C$17,0),0)</f>
        <v>0</v>
      </c>
      <c r="Y141" s="151" t="str">
        <f aca="false">IF(ISNUMBER(B141),B141*(1-1/'13_Mapa_Liq'!$B$18+'13_Mapa_Liq'!$B$6),"")</f>
        <v/>
      </c>
      <c r="Z141" s="151" t="n">
        <f aca="false">IF(ISNUMBER(B141),IF(K141&gt;Y141,I141*'13_Mapa_Liq'!$C$18,0),0)</f>
        <v>0</v>
      </c>
      <c r="AA141" s="151" t="str">
        <f aca="false">IF(ISNUMBER(B141),B141*(1+1/'13_Mapa_Liq'!$B$18-'13_Mapa_Liq'!$B$6),"")</f>
        <v/>
      </c>
      <c r="AB141" s="151" t="n">
        <f aca="false">IF(ISNUMBER(B141),IF(L141&lt;AA141,J141*'13_Mapa_Liq'!$C$18,0),0)</f>
        <v>0</v>
      </c>
      <c r="AC141" s="151" t="str">
        <f aca="false">IF(ISNUMBER(B141),B141*(1-1/'13_Mapa_Liq'!$B$19+'13_Mapa_Liq'!$B$6),"")</f>
        <v/>
      </c>
      <c r="AD141" s="151" t="n">
        <f aca="false">IF(ISNUMBER(B141),IF(K141&gt;AC141,I141*'13_Mapa_Liq'!$C$19,0),0)</f>
        <v>0</v>
      </c>
      <c r="AE141" s="151" t="str">
        <f aca="false">IF(ISNUMBER(B141),B141*(1+1/'13_Mapa_Liq'!$B$19-'13_Mapa_Liq'!$B$6),"")</f>
        <v/>
      </c>
      <c r="AF141" s="151" t="n">
        <f aca="false">IF(ISNUMBER(B141),IF(L141&lt;AE141,J141*'13_Mapa_Liq'!$C$19,0),0)</f>
        <v>0</v>
      </c>
      <c r="AG141" s="151"/>
      <c r="AH141" s="151" t="n">
        <f aca="false">IF(ISNUMBER(B141),E141*F141*((K141&lt;=M141)*'13_Mapa_Liq'!$C$15+(K141&lt;=Q141)*'13_Mapa_Liq'!$C$16+(K141&lt;=U141)*'13_Mapa_Liq'!$C$17+(K141&lt;=Y141)*'13_Mapa_Liq'!$C$18+(K141&lt;=AC141)*'13_Mapa_Liq'!$C$19),0)</f>
        <v>0</v>
      </c>
      <c r="AI141" s="151" t="n">
        <f aca="false">IF(ISNUMBER(B141),E141*(1-F141)*((L141&gt;=O141)*'13_Mapa_Liq'!$C$15+(L141&gt;=S141)*'13_Mapa_Liq'!$C$16+(L141&gt;=W141)*'13_Mapa_Liq'!$C$17+(L141&gt;=AA141)*'13_Mapa_Liq'!$C$18+(L141&gt;=AE141)*'13_Mapa_Liq'!$C$19),0)</f>
        <v>0</v>
      </c>
    </row>
    <row r="142" customFormat="false" ht="15" hidden="false" customHeight="false" outlineLevel="0" collapsed="false">
      <c r="A142" s="151" t="str">
        <f aca="false">IF(ISNUMBER('12_Datos_5m'!F142),ROW()-4,"")</f>
        <v/>
      </c>
      <c r="B142" s="151" t="str">
        <f aca="false">IF(ISNUMBER('12_Datos_5m'!F142),'12_Datos_5m'!F142,"")</f>
        <v/>
      </c>
      <c r="C142" s="151" t="str">
        <f aca="false">IF(ISNUMBER('12_Datos_5m'!A142),'12_Datos_5m'!A142,"")</f>
        <v/>
      </c>
      <c r="D142" s="151" t="n">
        <f aca="false">IF(AND(ISNUMBER('12_Datos_5m'!I142),ISNUMBER('12_Datos_5m'!I141)),'12_Datos_5m'!I142-'12_Datos_5m'!I141,0)</f>
        <v>0</v>
      </c>
      <c r="E142" s="151" t="n">
        <f aca="false">MAX(0,D142)</f>
        <v>0</v>
      </c>
      <c r="F142" s="151" t="n">
        <f aca="false">IF(AND(ISNUMBER('12_Datos_5m'!G142),N('12_Datos_5m'!G142)&gt;0),'12_Datos_5m'!H142/'12_Datos_5m'!G142,0.5)</f>
        <v>0.5</v>
      </c>
      <c r="G142" s="151" t="n">
        <f aca="false">IF(ISNUMBER(C142),($C$2-C142)/3600000,0)</f>
        <v>0</v>
      </c>
      <c r="H142" s="151" t="n">
        <f aca="false">EXP(-G142/'13_Mapa_Liq'!$B$7)</f>
        <v>1</v>
      </c>
      <c r="I142" s="151" t="n">
        <f aca="false">E142*F142*H142</f>
        <v>0</v>
      </c>
      <c r="J142" s="151" t="n">
        <f aca="false">E142*(1-F142)*H142</f>
        <v>0</v>
      </c>
      <c r="K142" s="151" t="n">
        <f aca="false">IF(COUNT('12_Datos_5m'!E143:E$504)=0,1000000000000,MIN('12_Datos_5m'!E143:E$504))</f>
        <v>1000000000000</v>
      </c>
      <c r="L142" s="151" t="n">
        <f aca="false">IF(COUNT('12_Datos_5m'!D143:D$504)=0,0,MAX('12_Datos_5m'!D143:D$504))</f>
        <v>0</v>
      </c>
      <c r="M142" s="151" t="str">
        <f aca="false">IF(ISNUMBER(B142),B142*(1-1/'13_Mapa_Liq'!$B$15+'13_Mapa_Liq'!$B$6),"")</f>
        <v/>
      </c>
      <c r="N142" s="151" t="n">
        <f aca="false">IF(ISNUMBER(B142),IF(K142&gt;M142,I142*'13_Mapa_Liq'!$C$15,0),0)</f>
        <v>0</v>
      </c>
      <c r="O142" s="151" t="str">
        <f aca="false">IF(ISNUMBER(B142),B142*(1+1/'13_Mapa_Liq'!$B$15-'13_Mapa_Liq'!$B$6),"")</f>
        <v/>
      </c>
      <c r="P142" s="151" t="n">
        <f aca="false">IF(ISNUMBER(B142),IF(L142&lt;O142,J142*'13_Mapa_Liq'!$C$15,0),0)</f>
        <v>0</v>
      </c>
      <c r="Q142" s="151" t="str">
        <f aca="false">IF(ISNUMBER(B142),B142*(1-1/'13_Mapa_Liq'!$B$16+'13_Mapa_Liq'!$B$6),"")</f>
        <v/>
      </c>
      <c r="R142" s="151" t="n">
        <f aca="false">IF(ISNUMBER(B142),IF(K142&gt;Q142,I142*'13_Mapa_Liq'!$C$16,0),0)</f>
        <v>0</v>
      </c>
      <c r="S142" s="151" t="str">
        <f aca="false">IF(ISNUMBER(B142),B142*(1+1/'13_Mapa_Liq'!$B$16-'13_Mapa_Liq'!$B$6),"")</f>
        <v/>
      </c>
      <c r="T142" s="151" t="n">
        <f aca="false">IF(ISNUMBER(B142),IF(L142&lt;S142,J142*'13_Mapa_Liq'!$C$16,0),0)</f>
        <v>0</v>
      </c>
      <c r="U142" s="151" t="str">
        <f aca="false">IF(ISNUMBER(B142),B142*(1-1/'13_Mapa_Liq'!$B$17+'13_Mapa_Liq'!$B$6),"")</f>
        <v/>
      </c>
      <c r="V142" s="151" t="n">
        <f aca="false">IF(ISNUMBER(B142),IF(K142&gt;U142,I142*'13_Mapa_Liq'!$C$17,0),0)</f>
        <v>0</v>
      </c>
      <c r="W142" s="151" t="str">
        <f aca="false">IF(ISNUMBER(B142),B142*(1+1/'13_Mapa_Liq'!$B$17-'13_Mapa_Liq'!$B$6),"")</f>
        <v/>
      </c>
      <c r="X142" s="151" t="n">
        <f aca="false">IF(ISNUMBER(B142),IF(L142&lt;W142,J142*'13_Mapa_Liq'!$C$17,0),0)</f>
        <v>0</v>
      </c>
      <c r="Y142" s="151" t="str">
        <f aca="false">IF(ISNUMBER(B142),B142*(1-1/'13_Mapa_Liq'!$B$18+'13_Mapa_Liq'!$B$6),"")</f>
        <v/>
      </c>
      <c r="Z142" s="151" t="n">
        <f aca="false">IF(ISNUMBER(B142),IF(K142&gt;Y142,I142*'13_Mapa_Liq'!$C$18,0),0)</f>
        <v>0</v>
      </c>
      <c r="AA142" s="151" t="str">
        <f aca="false">IF(ISNUMBER(B142),B142*(1+1/'13_Mapa_Liq'!$B$18-'13_Mapa_Liq'!$B$6),"")</f>
        <v/>
      </c>
      <c r="AB142" s="151" t="n">
        <f aca="false">IF(ISNUMBER(B142),IF(L142&lt;AA142,J142*'13_Mapa_Liq'!$C$18,0),0)</f>
        <v>0</v>
      </c>
      <c r="AC142" s="151" t="str">
        <f aca="false">IF(ISNUMBER(B142),B142*(1-1/'13_Mapa_Liq'!$B$19+'13_Mapa_Liq'!$B$6),"")</f>
        <v/>
      </c>
      <c r="AD142" s="151" t="n">
        <f aca="false">IF(ISNUMBER(B142),IF(K142&gt;AC142,I142*'13_Mapa_Liq'!$C$19,0),0)</f>
        <v>0</v>
      </c>
      <c r="AE142" s="151" t="str">
        <f aca="false">IF(ISNUMBER(B142),B142*(1+1/'13_Mapa_Liq'!$B$19-'13_Mapa_Liq'!$B$6),"")</f>
        <v/>
      </c>
      <c r="AF142" s="151" t="n">
        <f aca="false">IF(ISNUMBER(B142),IF(L142&lt;AE142,J142*'13_Mapa_Liq'!$C$19,0),0)</f>
        <v>0</v>
      </c>
      <c r="AG142" s="151"/>
      <c r="AH142" s="151" t="n">
        <f aca="false">IF(ISNUMBER(B142),E142*F142*((K142&lt;=M142)*'13_Mapa_Liq'!$C$15+(K142&lt;=Q142)*'13_Mapa_Liq'!$C$16+(K142&lt;=U142)*'13_Mapa_Liq'!$C$17+(K142&lt;=Y142)*'13_Mapa_Liq'!$C$18+(K142&lt;=AC142)*'13_Mapa_Liq'!$C$19),0)</f>
        <v>0</v>
      </c>
      <c r="AI142" s="151" t="n">
        <f aca="false">IF(ISNUMBER(B142),E142*(1-F142)*((L142&gt;=O142)*'13_Mapa_Liq'!$C$15+(L142&gt;=S142)*'13_Mapa_Liq'!$C$16+(L142&gt;=W142)*'13_Mapa_Liq'!$C$17+(L142&gt;=AA142)*'13_Mapa_Liq'!$C$18+(L142&gt;=AE142)*'13_Mapa_Liq'!$C$19),0)</f>
        <v>0</v>
      </c>
    </row>
    <row r="143" customFormat="false" ht="15" hidden="false" customHeight="false" outlineLevel="0" collapsed="false">
      <c r="A143" s="151" t="str">
        <f aca="false">IF(ISNUMBER('12_Datos_5m'!F143),ROW()-4,"")</f>
        <v/>
      </c>
      <c r="B143" s="151" t="str">
        <f aca="false">IF(ISNUMBER('12_Datos_5m'!F143),'12_Datos_5m'!F143,"")</f>
        <v/>
      </c>
      <c r="C143" s="151" t="str">
        <f aca="false">IF(ISNUMBER('12_Datos_5m'!A143),'12_Datos_5m'!A143,"")</f>
        <v/>
      </c>
      <c r="D143" s="151" t="n">
        <f aca="false">IF(AND(ISNUMBER('12_Datos_5m'!I143),ISNUMBER('12_Datos_5m'!I142)),'12_Datos_5m'!I143-'12_Datos_5m'!I142,0)</f>
        <v>0</v>
      </c>
      <c r="E143" s="151" t="n">
        <f aca="false">MAX(0,D143)</f>
        <v>0</v>
      </c>
      <c r="F143" s="151" t="n">
        <f aca="false">IF(AND(ISNUMBER('12_Datos_5m'!G143),N('12_Datos_5m'!G143)&gt;0),'12_Datos_5m'!H143/'12_Datos_5m'!G143,0.5)</f>
        <v>0.5</v>
      </c>
      <c r="G143" s="151" t="n">
        <f aca="false">IF(ISNUMBER(C143),($C$2-C143)/3600000,0)</f>
        <v>0</v>
      </c>
      <c r="H143" s="151" t="n">
        <f aca="false">EXP(-G143/'13_Mapa_Liq'!$B$7)</f>
        <v>1</v>
      </c>
      <c r="I143" s="151" t="n">
        <f aca="false">E143*F143*H143</f>
        <v>0</v>
      </c>
      <c r="J143" s="151" t="n">
        <f aca="false">E143*(1-F143)*H143</f>
        <v>0</v>
      </c>
      <c r="K143" s="151" t="n">
        <f aca="false">IF(COUNT('12_Datos_5m'!E144:E$504)=0,1000000000000,MIN('12_Datos_5m'!E144:E$504))</f>
        <v>1000000000000</v>
      </c>
      <c r="L143" s="151" t="n">
        <f aca="false">IF(COUNT('12_Datos_5m'!D144:D$504)=0,0,MAX('12_Datos_5m'!D144:D$504))</f>
        <v>0</v>
      </c>
      <c r="M143" s="151" t="str">
        <f aca="false">IF(ISNUMBER(B143),B143*(1-1/'13_Mapa_Liq'!$B$15+'13_Mapa_Liq'!$B$6),"")</f>
        <v/>
      </c>
      <c r="N143" s="151" t="n">
        <f aca="false">IF(ISNUMBER(B143),IF(K143&gt;M143,I143*'13_Mapa_Liq'!$C$15,0),0)</f>
        <v>0</v>
      </c>
      <c r="O143" s="151" t="str">
        <f aca="false">IF(ISNUMBER(B143),B143*(1+1/'13_Mapa_Liq'!$B$15-'13_Mapa_Liq'!$B$6),"")</f>
        <v/>
      </c>
      <c r="P143" s="151" t="n">
        <f aca="false">IF(ISNUMBER(B143),IF(L143&lt;O143,J143*'13_Mapa_Liq'!$C$15,0),0)</f>
        <v>0</v>
      </c>
      <c r="Q143" s="151" t="str">
        <f aca="false">IF(ISNUMBER(B143),B143*(1-1/'13_Mapa_Liq'!$B$16+'13_Mapa_Liq'!$B$6),"")</f>
        <v/>
      </c>
      <c r="R143" s="151" t="n">
        <f aca="false">IF(ISNUMBER(B143),IF(K143&gt;Q143,I143*'13_Mapa_Liq'!$C$16,0),0)</f>
        <v>0</v>
      </c>
      <c r="S143" s="151" t="str">
        <f aca="false">IF(ISNUMBER(B143),B143*(1+1/'13_Mapa_Liq'!$B$16-'13_Mapa_Liq'!$B$6),"")</f>
        <v/>
      </c>
      <c r="T143" s="151" t="n">
        <f aca="false">IF(ISNUMBER(B143),IF(L143&lt;S143,J143*'13_Mapa_Liq'!$C$16,0),0)</f>
        <v>0</v>
      </c>
      <c r="U143" s="151" t="str">
        <f aca="false">IF(ISNUMBER(B143),B143*(1-1/'13_Mapa_Liq'!$B$17+'13_Mapa_Liq'!$B$6),"")</f>
        <v/>
      </c>
      <c r="V143" s="151" t="n">
        <f aca="false">IF(ISNUMBER(B143),IF(K143&gt;U143,I143*'13_Mapa_Liq'!$C$17,0),0)</f>
        <v>0</v>
      </c>
      <c r="W143" s="151" t="str">
        <f aca="false">IF(ISNUMBER(B143),B143*(1+1/'13_Mapa_Liq'!$B$17-'13_Mapa_Liq'!$B$6),"")</f>
        <v/>
      </c>
      <c r="X143" s="151" t="n">
        <f aca="false">IF(ISNUMBER(B143),IF(L143&lt;W143,J143*'13_Mapa_Liq'!$C$17,0),0)</f>
        <v>0</v>
      </c>
      <c r="Y143" s="151" t="str">
        <f aca="false">IF(ISNUMBER(B143),B143*(1-1/'13_Mapa_Liq'!$B$18+'13_Mapa_Liq'!$B$6),"")</f>
        <v/>
      </c>
      <c r="Z143" s="151" t="n">
        <f aca="false">IF(ISNUMBER(B143),IF(K143&gt;Y143,I143*'13_Mapa_Liq'!$C$18,0),0)</f>
        <v>0</v>
      </c>
      <c r="AA143" s="151" t="str">
        <f aca="false">IF(ISNUMBER(B143),B143*(1+1/'13_Mapa_Liq'!$B$18-'13_Mapa_Liq'!$B$6),"")</f>
        <v/>
      </c>
      <c r="AB143" s="151" t="n">
        <f aca="false">IF(ISNUMBER(B143),IF(L143&lt;AA143,J143*'13_Mapa_Liq'!$C$18,0),0)</f>
        <v>0</v>
      </c>
      <c r="AC143" s="151" t="str">
        <f aca="false">IF(ISNUMBER(B143),B143*(1-1/'13_Mapa_Liq'!$B$19+'13_Mapa_Liq'!$B$6),"")</f>
        <v/>
      </c>
      <c r="AD143" s="151" t="n">
        <f aca="false">IF(ISNUMBER(B143),IF(K143&gt;AC143,I143*'13_Mapa_Liq'!$C$19,0),0)</f>
        <v>0</v>
      </c>
      <c r="AE143" s="151" t="str">
        <f aca="false">IF(ISNUMBER(B143),B143*(1+1/'13_Mapa_Liq'!$B$19-'13_Mapa_Liq'!$B$6),"")</f>
        <v/>
      </c>
      <c r="AF143" s="151" t="n">
        <f aca="false">IF(ISNUMBER(B143),IF(L143&lt;AE143,J143*'13_Mapa_Liq'!$C$19,0),0)</f>
        <v>0</v>
      </c>
      <c r="AG143" s="151"/>
      <c r="AH143" s="151" t="n">
        <f aca="false">IF(ISNUMBER(B143),E143*F143*((K143&lt;=M143)*'13_Mapa_Liq'!$C$15+(K143&lt;=Q143)*'13_Mapa_Liq'!$C$16+(K143&lt;=U143)*'13_Mapa_Liq'!$C$17+(K143&lt;=Y143)*'13_Mapa_Liq'!$C$18+(K143&lt;=AC143)*'13_Mapa_Liq'!$C$19),0)</f>
        <v>0</v>
      </c>
      <c r="AI143" s="151" t="n">
        <f aca="false">IF(ISNUMBER(B143),E143*(1-F143)*((L143&gt;=O143)*'13_Mapa_Liq'!$C$15+(L143&gt;=S143)*'13_Mapa_Liq'!$C$16+(L143&gt;=W143)*'13_Mapa_Liq'!$C$17+(L143&gt;=AA143)*'13_Mapa_Liq'!$C$18+(L143&gt;=AE143)*'13_Mapa_Liq'!$C$19),0)</f>
        <v>0</v>
      </c>
    </row>
    <row r="144" customFormat="false" ht="15" hidden="false" customHeight="false" outlineLevel="0" collapsed="false">
      <c r="A144" s="151" t="str">
        <f aca="false">IF(ISNUMBER('12_Datos_5m'!F144),ROW()-4,"")</f>
        <v/>
      </c>
      <c r="B144" s="151" t="str">
        <f aca="false">IF(ISNUMBER('12_Datos_5m'!F144),'12_Datos_5m'!F144,"")</f>
        <v/>
      </c>
      <c r="C144" s="151" t="str">
        <f aca="false">IF(ISNUMBER('12_Datos_5m'!A144),'12_Datos_5m'!A144,"")</f>
        <v/>
      </c>
      <c r="D144" s="151" t="n">
        <f aca="false">IF(AND(ISNUMBER('12_Datos_5m'!I144),ISNUMBER('12_Datos_5m'!I143)),'12_Datos_5m'!I144-'12_Datos_5m'!I143,0)</f>
        <v>0</v>
      </c>
      <c r="E144" s="151" t="n">
        <f aca="false">MAX(0,D144)</f>
        <v>0</v>
      </c>
      <c r="F144" s="151" t="n">
        <f aca="false">IF(AND(ISNUMBER('12_Datos_5m'!G144),N('12_Datos_5m'!G144)&gt;0),'12_Datos_5m'!H144/'12_Datos_5m'!G144,0.5)</f>
        <v>0.5</v>
      </c>
      <c r="G144" s="151" t="n">
        <f aca="false">IF(ISNUMBER(C144),($C$2-C144)/3600000,0)</f>
        <v>0</v>
      </c>
      <c r="H144" s="151" t="n">
        <f aca="false">EXP(-G144/'13_Mapa_Liq'!$B$7)</f>
        <v>1</v>
      </c>
      <c r="I144" s="151" t="n">
        <f aca="false">E144*F144*H144</f>
        <v>0</v>
      </c>
      <c r="J144" s="151" t="n">
        <f aca="false">E144*(1-F144)*H144</f>
        <v>0</v>
      </c>
      <c r="K144" s="151" t="n">
        <f aca="false">IF(COUNT('12_Datos_5m'!E145:E$504)=0,1000000000000,MIN('12_Datos_5m'!E145:E$504))</f>
        <v>1000000000000</v>
      </c>
      <c r="L144" s="151" t="n">
        <f aca="false">IF(COUNT('12_Datos_5m'!D145:D$504)=0,0,MAX('12_Datos_5m'!D145:D$504))</f>
        <v>0</v>
      </c>
      <c r="M144" s="151" t="str">
        <f aca="false">IF(ISNUMBER(B144),B144*(1-1/'13_Mapa_Liq'!$B$15+'13_Mapa_Liq'!$B$6),"")</f>
        <v/>
      </c>
      <c r="N144" s="151" t="n">
        <f aca="false">IF(ISNUMBER(B144),IF(K144&gt;M144,I144*'13_Mapa_Liq'!$C$15,0),0)</f>
        <v>0</v>
      </c>
      <c r="O144" s="151" t="str">
        <f aca="false">IF(ISNUMBER(B144),B144*(1+1/'13_Mapa_Liq'!$B$15-'13_Mapa_Liq'!$B$6),"")</f>
        <v/>
      </c>
      <c r="P144" s="151" t="n">
        <f aca="false">IF(ISNUMBER(B144),IF(L144&lt;O144,J144*'13_Mapa_Liq'!$C$15,0),0)</f>
        <v>0</v>
      </c>
      <c r="Q144" s="151" t="str">
        <f aca="false">IF(ISNUMBER(B144),B144*(1-1/'13_Mapa_Liq'!$B$16+'13_Mapa_Liq'!$B$6),"")</f>
        <v/>
      </c>
      <c r="R144" s="151" t="n">
        <f aca="false">IF(ISNUMBER(B144),IF(K144&gt;Q144,I144*'13_Mapa_Liq'!$C$16,0),0)</f>
        <v>0</v>
      </c>
      <c r="S144" s="151" t="str">
        <f aca="false">IF(ISNUMBER(B144),B144*(1+1/'13_Mapa_Liq'!$B$16-'13_Mapa_Liq'!$B$6),"")</f>
        <v/>
      </c>
      <c r="T144" s="151" t="n">
        <f aca="false">IF(ISNUMBER(B144),IF(L144&lt;S144,J144*'13_Mapa_Liq'!$C$16,0),0)</f>
        <v>0</v>
      </c>
      <c r="U144" s="151" t="str">
        <f aca="false">IF(ISNUMBER(B144),B144*(1-1/'13_Mapa_Liq'!$B$17+'13_Mapa_Liq'!$B$6),"")</f>
        <v/>
      </c>
      <c r="V144" s="151" t="n">
        <f aca="false">IF(ISNUMBER(B144),IF(K144&gt;U144,I144*'13_Mapa_Liq'!$C$17,0),0)</f>
        <v>0</v>
      </c>
      <c r="W144" s="151" t="str">
        <f aca="false">IF(ISNUMBER(B144),B144*(1+1/'13_Mapa_Liq'!$B$17-'13_Mapa_Liq'!$B$6),"")</f>
        <v/>
      </c>
      <c r="X144" s="151" t="n">
        <f aca="false">IF(ISNUMBER(B144),IF(L144&lt;W144,J144*'13_Mapa_Liq'!$C$17,0),0)</f>
        <v>0</v>
      </c>
      <c r="Y144" s="151" t="str">
        <f aca="false">IF(ISNUMBER(B144),B144*(1-1/'13_Mapa_Liq'!$B$18+'13_Mapa_Liq'!$B$6),"")</f>
        <v/>
      </c>
      <c r="Z144" s="151" t="n">
        <f aca="false">IF(ISNUMBER(B144),IF(K144&gt;Y144,I144*'13_Mapa_Liq'!$C$18,0),0)</f>
        <v>0</v>
      </c>
      <c r="AA144" s="151" t="str">
        <f aca="false">IF(ISNUMBER(B144),B144*(1+1/'13_Mapa_Liq'!$B$18-'13_Mapa_Liq'!$B$6),"")</f>
        <v/>
      </c>
      <c r="AB144" s="151" t="n">
        <f aca="false">IF(ISNUMBER(B144),IF(L144&lt;AA144,J144*'13_Mapa_Liq'!$C$18,0),0)</f>
        <v>0</v>
      </c>
      <c r="AC144" s="151" t="str">
        <f aca="false">IF(ISNUMBER(B144),B144*(1-1/'13_Mapa_Liq'!$B$19+'13_Mapa_Liq'!$B$6),"")</f>
        <v/>
      </c>
      <c r="AD144" s="151" t="n">
        <f aca="false">IF(ISNUMBER(B144),IF(K144&gt;AC144,I144*'13_Mapa_Liq'!$C$19,0),0)</f>
        <v>0</v>
      </c>
      <c r="AE144" s="151" t="str">
        <f aca="false">IF(ISNUMBER(B144),B144*(1+1/'13_Mapa_Liq'!$B$19-'13_Mapa_Liq'!$B$6),"")</f>
        <v/>
      </c>
      <c r="AF144" s="151" t="n">
        <f aca="false">IF(ISNUMBER(B144),IF(L144&lt;AE144,J144*'13_Mapa_Liq'!$C$19,0),0)</f>
        <v>0</v>
      </c>
      <c r="AG144" s="151"/>
      <c r="AH144" s="151" t="n">
        <f aca="false">IF(ISNUMBER(B144),E144*F144*((K144&lt;=M144)*'13_Mapa_Liq'!$C$15+(K144&lt;=Q144)*'13_Mapa_Liq'!$C$16+(K144&lt;=U144)*'13_Mapa_Liq'!$C$17+(K144&lt;=Y144)*'13_Mapa_Liq'!$C$18+(K144&lt;=AC144)*'13_Mapa_Liq'!$C$19),0)</f>
        <v>0</v>
      </c>
      <c r="AI144" s="151" t="n">
        <f aca="false">IF(ISNUMBER(B144),E144*(1-F144)*((L144&gt;=O144)*'13_Mapa_Liq'!$C$15+(L144&gt;=S144)*'13_Mapa_Liq'!$C$16+(L144&gt;=W144)*'13_Mapa_Liq'!$C$17+(L144&gt;=AA144)*'13_Mapa_Liq'!$C$18+(L144&gt;=AE144)*'13_Mapa_Liq'!$C$19),0)</f>
        <v>0</v>
      </c>
    </row>
    <row r="145" customFormat="false" ht="15" hidden="false" customHeight="false" outlineLevel="0" collapsed="false">
      <c r="A145" s="151" t="str">
        <f aca="false">IF(ISNUMBER('12_Datos_5m'!F145),ROW()-4,"")</f>
        <v/>
      </c>
      <c r="B145" s="151" t="str">
        <f aca="false">IF(ISNUMBER('12_Datos_5m'!F145),'12_Datos_5m'!F145,"")</f>
        <v/>
      </c>
      <c r="C145" s="151" t="str">
        <f aca="false">IF(ISNUMBER('12_Datos_5m'!A145),'12_Datos_5m'!A145,"")</f>
        <v/>
      </c>
      <c r="D145" s="151" t="n">
        <f aca="false">IF(AND(ISNUMBER('12_Datos_5m'!I145),ISNUMBER('12_Datos_5m'!I144)),'12_Datos_5m'!I145-'12_Datos_5m'!I144,0)</f>
        <v>0</v>
      </c>
      <c r="E145" s="151" t="n">
        <f aca="false">MAX(0,D145)</f>
        <v>0</v>
      </c>
      <c r="F145" s="151" t="n">
        <f aca="false">IF(AND(ISNUMBER('12_Datos_5m'!G145),N('12_Datos_5m'!G145)&gt;0),'12_Datos_5m'!H145/'12_Datos_5m'!G145,0.5)</f>
        <v>0.5</v>
      </c>
      <c r="G145" s="151" t="n">
        <f aca="false">IF(ISNUMBER(C145),($C$2-C145)/3600000,0)</f>
        <v>0</v>
      </c>
      <c r="H145" s="151" t="n">
        <f aca="false">EXP(-G145/'13_Mapa_Liq'!$B$7)</f>
        <v>1</v>
      </c>
      <c r="I145" s="151" t="n">
        <f aca="false">E145*F145*H145</f>
        <v>0</v>
      </c>
      <c r="J145" s="151" t="n">
        <f aca="false">E145*(1-F145)*H145</f>
        <v>0</v>
      </c>
      <c r="K145" s="151" t="n">
        <f aca="false">IF(COUNT('12_Datos_5m'!E146:E$504)=0,1000000000000,MIN('12_Datos_5m'!E146:E$504))</f>
        <v>1000000000000</v>
      </c>
      <c r="L145" s="151" t="n">
        <f aca="false">IF(COUNT('12_Datos_5m'!D146:D$504)=0,0,MAX('12_Datos_5m'!D146:D$504))</f>
        <v>0</v>
      </c>
      <c r="M145" s="151" t="str">
        <f aca="false">IF(ISNUMBER(B145),B145*(1-1/'13_Mapa_Liq'!$B$15+'13_Mapa_Liq'!$B$6),"")</f>
        <v/>
      </c>
      <c r="N145" s="151" t="n">
        <f aca="false">IF(ISNUMBER(B145),IF(K145&gt;M145,I145*'13_Mapa_Liq'!$C$15,0),0)</f>
        <v>0</v>
      </c>
      <c r="O145" s="151" t="str">
        <f aca="false">IF(ISNUMBER(B145),B145*(1+1/'13_Mapa_Liq'!$B$15-'13_Mapa_Liq'!$B$6),"")</f>
        <v/>
      </c>
      <c r="P145" s="151" t="n">
        <f aca="false">IF(ISNUMBER(B145),IF(L145&lt;O145,J145*'13_Mapa_Liq'!$C$15,0),0)</f>
        <v>0</v>
      </c>
      <c r="Q145" s="151" t="str">
        <f aca="false">IF(ISNUMBER(B145),B145*(1-1/'13_Mapa_Liq'!$B$16+'13_Mapa_Liq'!$B$6),"")</f>
        <v/>
      </c>
      <c r="R145" s="151" t="n">
        <f aca="false">IF(ISNUMBER(B145),IF(K145&gt;Q145,I145*'13_Mapa_Liq'!$C$16,0),0)</f>
        <v>0</v>
      </c>
      <c r="S145" s="151" t="str">
        <f aca="false">IF(ISNUMBER(B145),B145*(1+1/'13_Mapa_Liq'!$B$16-'13_Mapa_Liq'!$B$6),"")</f>
        <v/>
      </c>
      <c r="T145" s="151" t="n">
        <f aca="false">IF(ISNUMBER(B145),IF(L145&lt;S145,J145*'13_Mapa_Liq'!$C$16,0),0)</f>
        <v>0</v>
      </c>
      <c r="U145" s="151" t="str">
        <f aca="false">IF(ISNUMBER(B145),B145*(1-1/'13_Mapa_Liq'!$B$17+'13_Mapa_Liq'!$B$6),"")</f>
        <v/>
      </c>
      <c r="V145" s="151" t="n">
        <f aca="false">IF(ISNUMBER(B145),IF(K145&gt;U145,I145*'13_Mapa_Liq'!$C$17,0),0)</f>
        <v>0</v>
      </c>
      <c r="W145" s="151" t="str">
        <f aca="false">IF(ISNUMBER(B145),B145*(1+1/'13_Mapa_Liq'!$B$17-'13_Mapa_Liq'!$B$6),"")</f>
        <v/>
      </c>
      <c r="X145" s="151" t="n">
        <f aca="false">IF(ISNUMBER(B145),IF(L145&lt;W145,J145*'13_Mapa_Liq'!$C$17,0),0)</f>
        <v>0</v>
      </c>
      <c r="Y145" s="151" t="str">
        <f aca="false">IF(ISNUMBER(B145),B145*(1-1/'13_Mapa_Liq'!$B$18+'13_Mapa_Liq'!$B$6),"")</f>
        <v/>
      </c>
      <c r="Z145" s="151" t="n">
        <f aca="false">IF(ISNUMBER(B145),IF(K145&gt;Y145,I145*'13_Mapa_Liq'!$C$18,0),0)</f>
        <v>0</v>
      </c>
      <c r="AA145" s="151" t="str">
        <f aca="false">IF(ISNUMBER(B145),B145*(1+1/'13_Mapa_Liq'!$B$18-'13_Mapa_Liq'!$B$6),"")</f>
        <v/>
      </c>
      <c r="AB145" s="151" t="n">
        <f aca="false">IF(ISNUMBER(B145),IF(L145&lt;AA145,J145*'13_Mapa_Liq'!$C$18,0),0)</f>
        <v>0</v>
      </c>
      <c r="AC145" s="151" t="str">
        <f aca="false">IF(ISNUMBER(B145),B145*(1-1/'13_Mapa_Liq'!$B$19+'13_Mapa_Liq'!$B$6),"")</f>
        <v/>
      </c>
      <c r="AD145" s="151" t="n">
        <f aca="false">IF(ISNUMBER(B145),IF(K145&gt;AC145,I145*'13_Mapa_Liq'!$C$19,0),0)</f>
        <v>0</v>
      </c>
      <c r="AE145" s="151" t="str">
        <f aca="false">IF(ISNUMBER(B145),B145*(1+1/'13_Mapa_Liq'!$B$19-'13_Mapa_Liq'!$B$6),"")</f>
        <v/>
      </c>
      <c r="AF145" s="151" t="n">
        <f aca="false">IF(ISNUMBER(B145),IF(L145&lt;AE145,J145*'13_Mapa_Liq'!$C$19,0),0)</f>
        <v>0</v>
      </c>
      <c r="AG145" s="151"/>
      <c r="AH145" s="151" t="n">
        <f aca="false">IF(ISNUMBER(B145),E145*F145*((K145&lt;=M145)*'13_Mapa_Liq'!$C$15+(K145&lt;=Q145)*'13_Mapa_Liq'!$C$16+(K145&lt;=U145)*'13_Mapa_Liq'!$C$17+(K145&lt;=Y145)*'13_Mapa_Liq'!$C$18+(K145&lt;=AC145)*'13_Mapa_Liq'!$C$19),0)</f>
        <v>0</v>
      </c>
      <c r="AI145" s="151" t="n">
        <f aca="false">IF(ISNUMBER(B145),E145*(1-F145)*((L145&gt;=O145)*'13_Mapa_Liq'!$C$15+(L145&gt;=S145)*'13_Mapa_Liq'!$C$16+(L145&gt;=W145)*'13_Mapa_Liq'!$C$17+(L145&gt;=AA145)*'13_Mapa_Liq'!$C$18+(L145&gt;=AE145)*'13_Mapa_Liq'!$C$19),0)</f>
        <v>0</v>
      </c>
    </row>
    <row r="146" customFormat="false" ht="15" hidden="false" customHeight="false" outlineLevel="0" collapsed="false">
      <c r="A146" s="151" t="str">
        <f aca="false">IF(ISNUMBER('12_Datos_5m'!F146),ROW()-4,"")</f>
        <v/>
      </c>
      <c r="B146" s="151" t="str">
        <f aca="false">IF(ISNUMBER('12_Datos_5m'!F146),'12_Datos_5m'!F146,"")</f>
        <v/>
      </c>
      <c r="C146" s="151" t="str">
        <f aca="false">IF(ISNUMBER('12_Datos_5m'!A146),'12_Datos_5m'!A146,"")</f>
        <v/>
      </c>
      <c r="D146" s="151" t="n">
        <f aca="false">IF(AND(ISNUMBER('12_Datos_5m'!I146),ISNUMBER('12_Datos_5m'!I145)),'12_Datos_5m'!I146-'12_Datos_5m'!I145,0)</f>
        <v>0</v>
      </c>
      <c r="E146" s="151" t="n">
        <f aca="false">MAX(0,D146)</f>
        <v>0</v>
      </c>
      <c r="F146" s="151" t="n">
        <f aca="false">IF(AND(ISNUMBER('12_Datos_5m'!G146),N('12_Datos_5m'!G146)&gt;0),'12_Datos_5m'!H146/'12_Datos_5m'!G146,0.5)</f>
        <v>0.5</v>
      </c>
      <c r="G146" s="151" t="n">
        <f aca="false">IF(ISNUMBER(C146),($C$2-C146)/3600000,0)</f>
        <v>0</v>
      </c>
      <c r="H146" s="151" t="n">
        <f aca="false">EXP(-G146/'13_Mapa_Liq'!$B$7)</f>
        <v>1</v>
      </c>
      <c r="I146" s="151" t="n">
        <f aca="false">E146*F146*H146</f>
        <v>0</v>
      </c>
      <c r="J146" s="151" t="n">
        <f aca="false">E146*(1-F146)*H146</f>
        <v>0</v>
      </c>
      <c r="K146" s="151" t="n">
        <f aca="false">IF(COUNT('12_Datos_5m'!E147:E$504)=0,1000000000000,MIN('12_Datos_5m'!E147:E$504))</f>
        <v>1000000000000</v>
      </c>
      <c r="L146" s="151" t="n">
        <f aca="false">IF(COUNT('12_Datos_5m'!D147:D$504)=0,0,MAX('12_Datos_5m'!D147:D$504))</f>
        <v>0</v>
      </c>
      <c r="M146" s="151" t="str">
        <f aca="false">IF(ISNUMBER(B146),B146*(1-1/'13_Mapa_Liq'!$B$15+'13_Mapa_Liq'!$B$6),"")</f>
        <v/>
      </c>
      <c r="N146" s="151" t="n">
        <f aca="false">IF(ISNUMBER(B146),IF(K146&gt;M146,I146*'13_Mapa_Liq'!$C$15,0),0)</f>
        <v>0</v>
      </c>
      <c r="O146" s="151" t="str">
        <f aca="false">IF(ISNUMBER(B146),B146*(1+1/'13_Mapa_Liq'!$B$15-'13_Mapa_Liq'!$B$6),"")</f>
        <v/>
      </c>
      <c r="P146" s="151" t="n">
        <f aca="false">IF(ISNUMBER(B146),IF(L146&lt;O146,J146*'13_Mapa_Liq'!$C$15,0),0)</f>
        <v>0</v>
      </c>
      <c r="Q146" s="151" t="str">
        <f aca="false">IF(ISNUMBER(B146),B146*(1-1/'13_Mapa_Liq'!$B$16+'13_Mapa_Liq'!$B$6),"")</f>
        <v/>
      </c>
      <c r="R146" s="151" t="n">
        <f aca="false">IF(ISNUMBER(B146),IF(K146&gt;Q146,I146*'13_Mapa_Liq'!$C$16,0),0)</f>
        <v>0</v>
      </c>
      <c r="S146" s="151" t="str">
        <f aca="false">IF(ISNUMBER(B146),B146*(1+1/'13_Mapa_Liq'!$B$16-'13_Mapa_Liq'!$B$6),"")</f>
        <v/>
      </c>
      <c r="T146" s="151" t="n">
        <f aca="false">IF(ISNUMBER(B146),IF(L146&lt;S146,J146*'13_Mapa_Liq'!$C$16,0),0)</f>
        <v>0</v>
      </c>
      <c r="U146" s="151" t="str">
        <f aca="false">IF(ISNUMBER(B146),B146*(1-1/'13_Mapa_Liq'!$B$17+'13_Mapa_Liq'!$B$6),"")</f>
        <v/>
      </c>
      <c r="V146" s="151" t="n">
        <f aca="false">IF(ISNUMBER(B146),IF(K146&gt;U146,I146*'13_Mapa_Liq'!$C$17,0),0)</f>
        <v>0</v>
      </c>
      <c r="W146" s="151" t="str">
        <f aca="false">IF(ISNUMBER(B146),B146*(1+1/'13_Mapa_Liq'!$B$17-'13_Mapa_Liq'!$B$6),"")</f>
        <v/>
      </c>
      <c r="X146" s="151" t="n">
        <f aca="false">IF(ISNUMBER(B146),IF(L146&lt;W146,J146*'13_Mapa_Liq'!$C$17,0),0)</f>
        <v>0</v>
      </c>
      <c r="Y146" s="151" t="str">
        <f aca="false">IF(ISNUMBER(B146),B146*(1-1/'13_Mapa_Liq'!$B$18+'13_Mapa_Liq'!$B$6),"")</f>
        <v/>
      </c>
      <c r="Z146" s="151" t="n">
        <f aca="false">IF(ISNUMBER(B146),IF(K146&gt;Y146,I146*'13_Mapa_Liq'!$C$18,0),0)</f>
        <v>0</v>
      </c>
      <c r="AA146" s="151" t="str">
        <f aca="false">IF(ISNUMBER(B146),B146*(1+1/'13_Mapa_Liq'!$B$18-'13_Mapa_Liq'!$B$6),"")</f>
        <v/>
      </c>
      <c r="AB146" s="151" t="n">
        <f aca="false">IF(ISNUMBER(B146),IF(L146&lt;AA146,J146*'13_Mapa_Liq'!$C$18,0),0)</f>
        <v>0</v>
      </c>
      <c r="AC146" s="151" t="str">
        <f aca="false">IF(ISNUMBER(B146),B146*(1-1/'13_Mapa_Liq'!$B$19+'13_Mapa_Liq'!$B$6),"")</f>
        <v/>
      </c>
      <c r="AD146" s="151" t="n">
        <f aca="false">IF(ISNUMBER(B146),IF(K146&gt;AC146,I146*'13_Mapa_Liq'!$C$19,0),0)</f>
        <v>0</v>
      </c>
      <c r="AE146" s="151" t="str">
        <f aca="false">IF(ISNUMBER(B146),B146*(1+1/'13_Mapa_Liq'!$B$19-'13_Mapa_Liq'!$B$6),"")</f>
        <v/>
      </c>
      <c r="AF146" s="151" t="n">
        <f aca="false">IF(ISNUMBER(B146),IF(L146&lt;AE146,J146*'13_Mapa_Liq'!$C$19,0),0)</f>
        <v>0</v>
      </c>
      <c r="AG146" s="151"/>
      <c r="AH146" s="151" t="n">
        <f aca="false">IF(ISNUMBER(B146),E146*F146*((K146&lt;=M146)*'13_Mapa_Liq'!$C$15+(K146&lt;=Q146)*'13_Mapa_Liq'!$C$16+(K146&lt;=U146)*'13_Mapa_Liq'!$C$17+(K146&lt;=Y146)*'13_Mapa_Liq'!$C$18+(K146&lt;=AC146)*'13_Mapa_Liq'!$C$19),0)</f>
        <v>0</v>
      </c>
      <c r="AI146" s="151" t="n">
        <f aca="false">IF(ISNUMBER(B146),E146*(1-F146)*((L146&gt;=O146)*'13_Mapa_Liq'!$C$15+(L146&gt;=S146)*'13_Mapa_Liq'!$C$16+(L146&gt;=W146)*'13_Mapa_Liq'!$C$17+(L146&gt;=AA146)*'13_Mapa_Liq'!$C$18+(L146&gt;=AE146)*'13_Mapa_Liq'!$C$19),0)</f>
        <v>0</v>
      </c>
    </row>
    <row r="147" customFormat="false" ht="15" hidden="false" customHeight="false" outlineLevel="0" collapsed="false">
      <c r="A147" s="151" t="str">
        <f aca="false">IF(ISNUMBER('12_Datos_5m'!F147),ROW()-4,"")</f>
        <v/>
      </c>
      <c r="B147" s="151" t="str">
        <f aca="false">IF(ISNUMBER('12_Datos_5m'!F147),'12_Datos_5m'!F147,"")</f>
        <v/>
      </c>
      <c r="C147" s="151" t="str">
        <f aca="false">IF(ISNUMBER('12_Datos_5m'!A147),'12_Datos_5m'!A147,"")</f>
        <v/>
      </c>
      <c r="D147" s="151" t="n">
        <f aca="false">IF(AND(ISNUMBER('12_Datos_5m'!I147),ISNUMBER('12_Datos_5m'!I146)),'12_Datos_5m'!I147-'12_Datos_5m'!I146,0)</f>
        <v>0</v>
      </c>
      <c r="E147" s="151" t="n">
        <f aca="false">MAX(0,D147)</f>
        <v>0</v>
      </c>
      <c r="F147" s="151" t="n">
        <f aca="false">IF(AND(ISNUMBER('12_Datos_5m'!G147),N('12_Datos_5m'!G147)&gt;0),'12_Datos_5m'!H147/'12_Datos_5m'!G147,0.5)</f>
        <v>0.5</v>
      </c>
      <c r="G147" s="151" t="n">
        <f aca="false">IF(ISNUMBER(C147),($C$2-C147)/3600000,0)</f>
        <v>0</v>
      </c>
      <c r="H147" s="151" t="n">
        <f aca="false">EXP(-G147/'13_Mapa_Liq'!$B$7)</f>
        <v>1</v>
      </c>
      <c r="I147" s="151" t="n">
        <f aca="false">E147*F147*H147</f>
        <v>0</v>
      </c>
      <c r="J147" s="151" t="n">
        <f aca="false">E147*(1-F147)*H147</f>
        <v>0</v>
      </c>
      <c r="K147" s="151" t="n">
        <f aca="false">IF(COUNT('12_Datos_5m'!E148:E$504)=0,1000000000000,MIN('12_Datos_5m'!E148:E$504))</f>
        <v>1000000000000</v>
      </c>
      <c r="L147" s="151" t="n">
        <f aca="false">IF(COUNT('12_Datos_5m'!D148:D$504)=0,0,MAX('12_Datos_5m'!D148:D$504))</f>
        <v>0</v>
      </c>
      <c r="M147" s="151" t="str">
        <f aca="false">IF(ISNUMBER(B147),B147*(1-1/'13_Mapa_Liq'!$B$15+'13_Mapa_Liq'!$B$6),"")</f>
        <v/>
      </c>
      <c r="N147" s="151" t="n">
        <f aca="false">IF(ISNUMBER(B147),IF(K147&gt;M147,I147*'13_Mapa_Liq'!$C$15,0),0)</f>
        <v>0</v>
      </c>
      <c r="O147" s="151" t="str">
        <f aca="false">IF(ISNUMBER(B147),B147*(1+1/'13_Mapa_Liq'!$B$15-'13_Mapa_Liq'!$B$6),"")</f>
        <v/>
      </c>
      <c r="P147" s="151" t="n">
        <f aca="false">IF(ISNUMBER(B147),IF(L147&lt;O147,J147*'13_Mapa_Liq'!$C$15,0),0)</f>
        <v>0</v>
      </c>
      <c r="Q147" s="151" t="str">
        <f aca="false">IF(ISNUMBER(B147),B147*(1-1/'13_Mapa_Liq'!$B$16+'13_Mapa_Liq'!$B$6),"")</f>
        <v/>
      </c>
      <c r="R147" s="151" t="n">
        <f aca="false">IF(ISNUMBER(B147),IF(K147&gt;Q147,I147*'13_Mapa_Liq'!$C$16,0),0)</f>
        <v>0</v>
      </c>
      <c r="S147" s="151" t="str">
        <f aca="false">IF(ISNUMBER(B147),B147*(1+1/'13_Mapa_Liq'!$B$16-'13_Mapa_Liq'!$B$6),"")</f>
        <v/>
      </c>
      <c r="T147" s="151" t="n">
        <f aca="false">IF(ISNUMBER(B147),IF(L147&lt;S147,J147*'13_Mapa_Liq'!$C$16,0),0)</f>
        <v>0</v>
      </c>
      <c r="U147" s="151" t="str">
        <f aca="false">IF(ISNUMBER(B147),B147*(1-1/'13_Mapa_Liq'!$B$17+'13_Mapa_Liq'!$B$6),"")</f>
        <v/>
      </c>
      <c r="V147" s="151" t="n">
        <f aca="false">IF(ISNUMBER(B147),IF(K147&gt;U147,I147*'13_Mapa_Liq'!$C$17,0),0)</f>
        <v>0</v>
      </c>
      <c r="W147" s="151" t="str">
        <f aca="false">IF(ISNUMBER(B147),B147*(1+1/'13_Mapa_Liq'!$B$17-'13_Mapa_Liq'!$B$6),"")</f>
        <v/>
      </c>
      <c r="X147" s="151" t="n">
        <f aca="false">IF(ISNUMBER(B147),IF(L147&lt;W147,J147*'13_Mapa_Liq'!$C$17,0),0)</f>
        <v>0</v>
      </c>
      <c r="Y147" s="151" t="str">
        <f aca="false">IF(ISNUMBER(B147),B147*(1-1/'13_Mapa_Liq'!$B$18+'13_Mapa_Liq'!$B$6),"")</f>
        <v/>
      </c>
      <c r="Z147" s="151" t="n">
        <f aca="false">IF(ISNUMBER(B147),IF(K147&gt;Y147,I147*'13_Mapa_Liq'!$C$18,0),0)</f>
        <v>0</v>
      </c>
      <c r="AA147" s="151" t="str">
        <f aca="false">IF(ISNUMBER(B147),B147*(1+1/'13_Mapa_Liq'!$B$18-'13_Mapa_Liq'!$B$6),"")</f>
        <v/>
      </c>
      <c r="AB147" s="151" t="n">
        <f aca="false">IF(ISNUMBER(B147),IF(L147&lt;AA147,J147*'13_Mapa_Liq'!$C$18,0),0)</f>
        <v>0</v>
      </c>
      <c r="AC147" s="151" t="str">
        <f aca="false">IF(ISNUMBER(B147),B147*(1-1/'13_Mapa_Liq'!$B$19+'13_Mapa_Liq'!$B$6),"")</f>
        <v/>
      </c>
      <c r="AD147" s="151" t="n">
        <f aca="false">IF(ISNUMBER(B147),IF(K147&gt;AC147,I147*'13_Mapa_Liq'!$C$19,0),0)</f>
        <v>0</v>
      </c>
      <c r="AE147" s="151" t="str">
        <f aca="false">IF(ISNUMBER(B147),B147*(1+1/'13_Mapa_Liq'!$B$19-'13_Mapa_Liq'!$B$6),"")</f>
        <v/>
      </c>
      <c r="AF147" s="151" t="n">
        <f aca="false">IF(ISNUMBER(B147),IF(L147&lt;AE147,J147*'13_Mapa_Liq'!$C$19,0),0)</f>
        <v>0</v>
      </c>
      <c r="AG147" s="151"/>
      <c r="AH147" s="151" t="n">
        <f aca="false">IF(ISNUMBER(B147),E147*F147*((K147&lt;=M147)*'13_Mapa_Liq'!$C$15+(K147&lt;=Q147)*'13_Mapa_Liq'!$C$16+(K147&lt;=U147)*'13_Mapa_Liq'!$C$17+(K147&lt;=Y147)*'13_Mapa_Liq'!$C$18+(K147&lt;=AC147)*'13_Mapa_Liq'!$C$19),0)</f>
        <v>0</v>
      </c>
      <c r="AI147" s="151" t="n">
        <f aca="false">IF(ISNUMBER(B147),E147*(1-F147)*((L147&gt;=O147)*'13_Mapa_Liq'!$C$15+(L147&gt;=S147)*'13_Mapa_Liq'!$C$16+(L147&gt;=W147)*'13_Mapa_Liq'!$C$17+(L147&gt;=AA147)*'13_Mapa_Liq'!$C$18+(L147&gt;=AE147)*'13_Mapa_Liq'!$C$19),0)</f>
        <v>0</v>
      </c>
    </row>
    <row r="148" customFormat="false" ht="15" hidden="false" customHeight="false" outlineLevel="0" collapsed="false">
      <c r="A148" s="151" t="str">
        <f aca="false">IF(ISNUMBER('12_Datos_5m'!F148),ROW()-4,"")</f>
        <v/>
      </c>
      <c r="B148" s="151" t="str">
        <f aca="false">IF(ISNUMBER('12_Datos_5m'!F148),'12_Datos_5m'!F148,"")</f>
        <v/>
      </c>
      <c r="C148" s="151" t="str">
        <f aca="false">IF(ISNUMBER('12_Datos_5m'!A148),'12_Datos_5m'!A148,"")</f>
        <v/>
      </c>
      <c r="D148" s="151" t="n">
        <f aca="false">IF(AND(ISNUMBER('12_Datos_5m'!I148),ISNUMBER('12_Datos_5m'!I147)),'12_Datos_5m'!I148-'12_Datos_5m'!I147,0)</f>
        <v>0</v>
      </c>
      <c r="E148" s="151" t="n">
        <f aca="false">MAX(0,D148)</f>
        <v>0</v>
      </c>
      <c r="F148" s="151" t="n">
        <f aca="false">IF(AND(ISNUMBER('12_Datos_5m'!G148),N('12_Datos_5m'!G148)&gt;0),'12_Datos_5m'!H148/'12_Datos_5m'!G148,0.5)</f>
        <v>0.5</v>
      </c>
      <c r="G148" s="151" t="n">
        <f aca="false">IF(ISNUMBER(C148),($C$2-C148)/3600000,0)</f>
        <v>0</v>
      </c>
      <c r="H148" s="151" t="n">
        <f aca="false">EXP(-G148/'13_Mapa_Liq'!$B$7)</f>
        <v>1</v>
      </c>
      <c r="I148" s="151" t="n">
        <f aca="false">E148*F148*H148</f>
        <v>0</v>
      </c>
      <c r="J148" s="151" t="n">
        <f aca="false">E148*(1-F148)*H148</f>
        <v>0</v>
      </c>
      <c r="K148" s="151" t="n">
        <f aca="false">IF(COUNT('12_Datos_5m'!E149:E$504)=0,1000000000000,MIN('12_Datos_5m'!E149:E$504))</f>
        <v>1000000000000</v>
      </c>
      <c r="L148" s="151" t="n">
        <f aca="false">IF(COUNT('12_Datos_5m'!D149:D$504)=0,0,MAX('12_Datos_5m'!D149:D$504))</f>
        <v>0</v>
      </c>
      <c r="M148" s="151" t="str">
        <f aca="false">IF(ISNUMBER(B148),B148*(1-1/'13_Mapa_Liq'!$B$15+'13_Mapa_Liq'!$B$6),"")</f>
        <v/>
      </c>
      <c r="N148" s="151" t="n">
        <f aca="false">IF(ISNUMBER(B148),IF(K148&gt;M148,I148*'13_Mapa_Liq'!$C$15,0),0)</f>
        <v>0</v>
      </c>
      <c r="O148" s="151" t="str">
        <f aca="false">IF(ISNUMBER(B148),B148*(1+1/'13_Mapa_Liq'!$B$15-'13_Mapa_Liq'!$B$6),"")</f>
        <v/>
      </c>
      <c r="P148" s="151" t="n">
        <f aca="false">IF(ISNUMBER(B148),IF(L148&lt;O148,J148*'13_Mapa_Liq'!$C$15,0),0)</f>
        <v>0</v>
      </c>
      <c r="Q148" s="151" t="str">
        <f aca="false">IF(ISNUMBER(B148),B148*(1-1/'13_Mapa_Liq'!$B$16+'13_Mapa_Liq'!$B$6),"")</f>
        <v/>
      </c>
      <c r="R148" s="151" t="n">
        <f aca="false">IF(ISNUMBER(B148),IF(K148&gt;Q148,I148*'13_Mapa_Liq'!$C$16,0),0)</f>
        <v>0</v>
      </c>
      <c r="S148" s="151" t="str">
        <f aca="false">IF(ISNUMBER(B148),B148*(1+1/'13_Mapa_Liq'!$B$16-'13_Mapa_Liq'!$B$6),"")</f>
        <v/>
      </c>
      <c r="T148" s="151" t="n">
        <f aca="false">IF(ISNUMBER(B148),IF(L148&lt;S148,J148*'13_Mapa_Liq'!$C$16,0),0)</f>
        <v>0</v>
      </c>
      <c r="U148" s="151" t="str">
        <f aca="false">IF(ISNUMBER(B148),B148*(1-1/'13_Mapa_Liq'!$B$17+'13_Mapa_Liq'!$B$6),"")</f>
        <v/>
      </c>
      <c r="V148" s="151" t="n">
        <f aca="false">IF(ISNUMBER(B148),IF(K148&gt;U148,I148*'13_Mapa_Liq'!$C$17,0),0)</f>
        <v>0</v>
      </c>
      <c r="W148" s="151" t="str">
        <f aca="false">IF(ISNUMBER(B148),B148*(1+1/'13_Mapa_Liq'!$B$17-'13_Mapa_Liq'!$B$6),"")</f>
        <v/>
      </c>
      <c r="X148" s="151" t="n">
        <f aca="false">IF(ISNUMBER(B148),IF(L148&lt;W148,J148*'13_Mapa_Liq'!$C$17,0),0)</f>
        <v>0</v>
      </c>
      <c r="Y148" s="151" t="str">
        <f aca="false">IF(ISNUMBER(B148),B148*(1-1/'13_Mapa_Liq'!$B$18+'13_Mapa_Liq'!$B$6),"")</f>
        <v/>
      </c>
      <c r="Z148" s="151" t="n">
        <f aca="false">IF(ISNUMBER(B148),IF(K148&gt;Y148,I148*'13_Mapa_Liq'!$C$18,0),0)</f>
        <v>0</v>
      </c>
      <c r="AA148" s="151" t="str">
        <f aca="false">IF(ISNUMBER(B148),B148*(1+1/'13_Mapa_Liq'!$B$18-'13_Mapa_Liq'!$B$6),"")</f>
        <v/>
      </c>
      <c r="AB148" s="151" t="n">
        <f aca="false">IF(ISNUMBER(B148),IF(L148&lt;AA148,J148*'13_Mapa_Liq'!$C$18,0),0)</f>
        <v>0</v>
      </c>
      <c r="AC148" s="151" t="str">
        <f aca="false">IF(ISNUMBER(B148),B148*(1-1/'13_Mapa_Liq'!$B$19+'13_Mapa_Liq'!$B$6),"")</f>
        <v/>
      </c>
      <c r="AD148" s="151" t="n">
        <f aca="false">IF(ISNUMBER(B148),IF(K148&gt;AC148,I148*'13_Mapa_Liq'!$C$19,0),0)</f>
        <v>0</v>
      </c>
      <c r="AE148" s="151" t="str">
        <f aca="false">IF(ISNUMBER(B148),B148*(1+1/'13_Mapa_Liq'!$B$19-'13_Mapa_Liq'!$B$6),"")</f>
        <v/>
      </c>
      <c r="AF148" s="151" t="n">
        <f aca="false">IF(ISNUMBER(B148),IF(L148&lt;AE148,J148*'13_Mapa_Liq'!$C$19,0),0)</f>
        <v>0</v>
      </c>
      <c r="AG148" s="151"/>
      <c r="AH148" s="151" t="n">
        <f aca="false">IF(ISNUMBER(B148),E148*F148*((K148&lt;=M148)*'13_Mapa_Liq'!$C$15+(K148&lt;=Q148)*'13_Mapa_Liq'!$C$16+(K148&lt;=U148)*'13_Mapa_Liq'!$C$17+(K148&lt;=Y148)*'13_Mapa_Liq'!$C$18+(K148&lt;=AC148)*'13_Mapa_Liq'!$C$19),0)</f>
        <v>0</v>
      </c>
      <c r="AI148" s="151" t="n">
        <f aca="false">IF(ISNUMBER(B148),E148*(1-F148)*((L148&gt;=O148)*'13_Mapa_Liq'!$C$15+(L148&gt;=S148)*'13_Mapa_Liq'!$C$16+(L148&gt;=W148)*'13_Mapa_Liq'!$C$17+(L148&gt;=AA148)*'13_Mapa_Liq'!$C$18+(L148&gt;=AE148)*'13_Mapa_Liq'!$C$19),0)</f>
        <v>0</v>
      </c>
    </row>
    <row r="149" customFormat="false" ht="15" hidden="false" customHeight="false" outlineLevel="0" collapsed="false">
      <c r="A149" s="151" t="str">
        <f aca="false">IF(ISNUMBER('12_Datos_5m'!F149),ROW()-4,"")</f>
        <v/>
      </c>
      <c r="B149" s="151" t="str">
        <f aca="false">IF(ISNUMBER('12_Datos_5m'!F149),'12_Datos_5m'!F149,"")</f>
        <v/>
      </c>
      <c r="C149" s="151" t="str">
        <f aca="false">IF(ISNUMBER('12_Datos_5m'!A149),'12_Datos_5m'!A149,"")</f>
        <v/>
      </c>
      <c r="D149" s="151" t="n">
        <f aca="false">IF(AND(ISNUMBER('12_Datos_5m'!I149),ISNUMBER('12_Datos_5m'!I148)),'12_Datos_5m'!I149-'12_Datos_5m'!I148,0)</f>
        <v>0</v>
      </c>
      <c r="E149" s="151" t="n">
        <f aca="false">MAX(0,D149)</f>
        <v>0</v>
      </c>
      <c r="F149" s="151" t="n">
        <f aca="false">IF(AND(ISNUMBER('12_Datos_5m'!G149),N('12_Datos_5m'!G149)&gt;0),'12_Datos_5m'!H149/'12_Datos_5m'!G149,0.5)</f>
        <v>0.5</v>
      </c>
      <c r="G149" s="151" t="n">
        <f aca="false">IF(ISNUMBER(C149),($C$2-C149)/3600000,0)</f>
        <v>0</v>
      </c>
      <c r="H149" s="151" t="n">
        <f aca="false">EXP(-G149/'13_Mapa_Liq'!$B$7)</f>
        <v>1</v>
      </c>
      <c r="I149" s="151" t="n">
        <f aca="false">E149*F149*H149</f>
        <v>0</v>
      </c>
      <c r="J149" s="151" t="n">
        <f aca="false">E149*(1-F149)*H149</f>
        <v>0</v>
      </c>
      <c r="K149" s="151" t="n">
        <f aca="false">IF(COUNT('12_Datos_5m'!E150:E$504)=0,1000000000000,MIN('12_Datos_5m'!E150:E$504))</f>
        <v>1000000000000</v>
      </c>
      <c r="L149" s="151" t="n">
        <f aca="false">IF(COUNT('12_Datos_5m'!D150:D$504)=0,0,MAX('12_Datos_5m'!D150:D$504))</f>
        <v>0</v>
      </c>
      <c r="M149" s="151" t="str">
        <f aca="false">IF(ISNUMBER(B149),B149*(1-1/'13_Mapa_Liq'!$B$15+'13_Mapa_Liq'!$B$6),"")</f>
        <v/>
      </c>
      <c r="N149" s="151" t="n">
        <f aca="false">IF(ISNUMBER(B149),IF(K149&gt;M149,I149*'13_Mapa_Liq'!$C$15,0),0)</f>
        <v>0</v>
      </c>
      <c r="O149" s="151" t="str">
        <f aca="false">IF(ISNUMBER(B149),B149*(1+1/'13_Mapa_Liq'!$B$15-'13_Mapa_Liq'!$B$6),"")</f>
        <v/>
      </c>
      <c r="P149" s="151" t="n">
        <f aca="false">IF(ISNUMBER(B149),IF(L149&lt;O149,J149*'13_Mapa_Liq'!$C$15,0),0)</f>
        <v>0</v>
      </c>
      <c r="Q149" s="151" t="str">
        <f aca="false">IF(ISNUMBER(B149),B149*(1-1/'13_Mapa_Liq'!$B$16+'13_Mapa_Liq'!$B$6),"")</f>
        <v/>
      </c>
      <c r="R149" s="151" t="n">
        <f aca="false">IF(ISNUMBER(B149),IF(K149&gt;Q149,I149*'13_Mapa_Liq'!$C$16,0),0)</f>
        <v>0</v>
      </c>
      <c r="S149" s="151" t="str">
        <f aca="false">IF(ISNUMBER(B149),B149*(1+1/'13_Mapa_Liq'!$B$16-'13_Mapa_Liq'!$B$6),"")</f>
        <v/>
      </c>
      <c r="T149" s="151" t="n">
        <f aca="false">IF(ISNUMBER(B149),IF(L149&lt;S149,J149*'13_Mapa_Liq'!$C$16,0),0)</f>
        <v>0</v>
      </c>
      <c r="U149" s="151" t="str">
        <f aca="false">IF(ISNUMBER(B149),B149*(1-1/'13_Mapa_Liq'!$B$17+'13_Mapa_Liq'!$B$6),"")</f>
        <v/>
      </c>
      <c r="V149" s="151" t="n">
        <f aca="false">IF(ISNUMBER(B149),IF(K149&gt;U149,I149*'13_Mapa_Liq'!$C$17,0),0)</f>
        <v>0</v>
      </c>
      <c r="W149" s="151" t="str">
        <f aca="false">IF(ISNUMBER(B149),B149*(1+1/'13_Mapa_Liq'!$B$17-'13_Mapa_Liq'!$B$6),"")</f>
        <v/>
      </c>
      <c r="X149" s="151" t="n">
        <f aca="false">IF(ISNUMBER(B149),IF(L149&lt;W149,J149*'13_Mapa_Liq'!$C$17,0),0)</f>
        <v>0</v>
      </c>
      <c r="Y149" s="151" t="str">
        <f aca="false">IF(ISNUMBER(B149),B149*(1-1/'13_Mapa_Liq'!$B$18+'13_Mapa_Liq'!$B$6),"")</f>
        <v/>
      </c>
      <c r="Z149" s="151" t="n">
        <f aca="false">IF(ISNUMBER(B149),IF(K149&gt;Y149,I149*'13_Mapa_Liq'!$C$18,0),0)</f>
        <v>0</v>
      </c>
      <c r="AA149" s="151" t="str">
        <f aca="false">IF(ISNUMBER(B149),B149*(1+1/'13_Mapa_Liq'!$B$18-'13_Mapa_Liq'!$B$6),"")</f>
        <v/>
      </c>
      <c r="AB149" s="151" t="n">
        <f aca="false">IF(ISNUMBER(B149),IF(L149&lt;AA149,J149*'13_Mapa_Liq'!$C$18,0),0)</f>
        <v>0</v>
      </c>
      <c r="AC149" s="151" t="str">
        <f aca="false">IF(ISNUMBER(B149),B149*(1-1/'13_Mapa_Liq'!$B$19+'13_Mapa_Liq'!$B$6),"")</f>
        <v/>
      </c>
      <c r="AD149" s="151" t="n">
        <f aca="false">IF(ISNUMBER(B149),IF(K149&gt;AC149,I149*'13_Mapa_Liq'!$C$19,0),0)</f>
        <v>0</v>
      </c>
      <c r="AE149" s="151" t="str">
        <f aca="false">IF(ISNUMBER(B149),B149*(1+1/'13_Mapa_Liq'!$B$19-'13_Mapa_Liq'!$B$6),"")</f>
        <v/>
      </c>
      <c r="AF149" s="151" t="n">
        <f aca="false">IF(ISNUMBER(B149),IF(L149&lt;AE149,J149*'13_Mapa_Liq'!$C$19,0),0)</f>
        <v>0</v>
      </c>
      <c r="AG149" s="151"/>
      <c r="AH149" s="151" t="n">
        <f aca="false">IF(ISNUMBER(B149),E149*F149*((K149&lt;=M149)*'13_Mapa_Liq'!$C$15+(K149&lt;=Q149)*'13_Mapa_Liq'!$C$16+(K149&lt;=U149)*'13_Mapa_Liq'!$C$17+(K149&lt;=Y149)*'13_Mapa_Liq'!$C$18+(K149&lt;=AC149)*'13_Mapa_Liq'!$C$19),0)</f>
        <v>0</v>
      </c>
      <c r="AI149" s="151" t="n">
        <f aca="false">IF(ISNUMBER(B149),E149*(1-F149)*((L149&gt;=O149)*'13_Mapa_Liq'!$C$15+(L149&gt;=S149)*'13_Mapa_Liq'!$C$16+(L149&gt;=W149)*'13_Mapa_Liq'!$C$17+(L149&gt;=AA149)*'13_Mapa_Liq'!$C$18+(L149&gt;=AE149)*'13_Mapa_Liq'!$C$19),0)</f>
        <v>0</v>
      </c>
    </row>
    <row r="150" customFormat="false" ht="15" hidden="false" customHeight="false" outlineLevel="0" collapsed="false">
      <c r="A150" s="151" t="str">
        <f aca="false">IF(ISNUMBER('12_Datos_5m'!F150),ROW()-4,"")</f>
        <v/>
      </c>
      <c r="B150" s="151" t="str">
        <f aca="false">IF(ISNUMBER('12_Datos_5m'!F150),'12_Datos_5m'!F150,"")</f>
        <v/>
      </c>
      <c r="C150" s="151" t="str">
        <f aca="false">IF(ISNUMBER('12_Datos_5m'!A150),'12_Datos_5m'!A150,"")</f>
        <v/>
      </c>
      <c r="D150" s="151" t="n">
        <f aca="false">IF(AND(ISNUMBER('12_Datos_5m'!I150),ISNUMBER('12_Datos_5m'!I149)),'12_Datos_5m'!I150-'12_Datos_5m'!I149,0)</f>
        <v>0</v>
      </c>
      <c r="E150" s="151" t="n">
        <f aca="false">MAX(0,D150)</f>
        <v>0</v>
      </c>
      <c r="F150" s="151" t="n">
        <f aca="false">IF(AND(ISNUMBER('12_Datos_5m'!G150),N('12_Datos_5m'!G150)&gt;0),'12_Datos_5m'!H150/'12_Datos_5m'!G150,0.5)</f>
        <v>0.5</v>
      </c>
      <c r="G150" s="151" t="n">
        <f aca="false">IF(ISNUMBER(C150),($C$2-C150)/3600000,0)</f>
        <v>0</v>
      </c>
      <c r="H150" s="151" t="n">
        <f aca="false">EXP(-G150/'13_Mapa_Liq'!$B$7)</f>
        <v>1</v>
      </c>
      <c r="I150" s="151" t="n">
        <f aca="false">E150*F150*H150</f>
        <v>0</v>
      </c>
      <c r="J150" s="151" t="n">
        <f aca="false">E150*(1-F150)*H150</f>
        <v>0</v>
      </c>
      <c r="K150" s="151" t="n">
        <f aca="false">IF(COUNT('12_Datos_5m'!E151:E$504)=0,1000000000000,MIN('12_Datos_5m'!E151:E$504))</f>
        <v>1000000000000</v>
      </c>
      <c r="L150" s="151" t="n">
        <f aca="false">IF(COUNT('12_Datos_5m'!D151:D$504)=0,0,MAX('12_Datos_5m'!D151:D$504))</f>
        <v>0</v>
      </c>
      <c r="M150" s="151" t="str">
        <f aca="false">IF(ISNUMBER(B150),B150*(1-1/'13_Mapa_Liq'!$B$15+'13_Mapa_Liq'!$B$6),"")</f>
        <v/>
      </c>
      <c r="N150" s="151" t="n">
        <f aca="false">IF(ISNUMBER(B150),IF(K150&gt;M150,I150*'13_Mapa_Liq'!$C$15,0),0)</f>
        <v>0</v>
      </c>
      <c r="O150" s="151" t="str">
        <f aca="false">IF(ISNUMBER(B150),B150*(1+1/'13_Mapa_Liq'!$B$15-'13_Mapa_Liq'!$B$6),"")</f>
        <v/>
      </c>
      <c r="P150" s="151" t="n">
        <f aca="false">IF(ISNUMBER(B150),IF(L150&lt;O150,J150*'13_Mapa_Liq'!$C$15,0),0)</f>
        <v>0</v>
      </c>
      <c r="Q150" s="151" t="str">
        <f aca="false">IF(ISNUMBER(B150),B150*(1-1/'13_Mapa_Liq'!$B$16+'13_Mapa_Liq'!$B$6),"")</f>
        <v/>
      </c>
      <c r="R150" s="151" t="n">
        <f aca="false">IF(ISNUMBER(B150),IF(K150&gt;Q150,I150*'13_Mapa_Liq'!$C$16,0),0)</f>
        <v>0</v>
      </c>
      <c r="S150" s="151" t="str">
        <f aca="false">IF(ISNUMBER(B150),B150*(1+1/'13_Mapa_Liq'!$B$16-'13_Mapa_Liq'!$B$6),"")</f>
        <v/>
      </c>
      <c r="T150" s="151" t="n">
        <f aca="false">IF(ISNUMBER(B150),IF(L150&lt;S150,J150*'13_Mapa_Liq'!$C$16,0),0)</f>
        <v>0</v>
      </c>
      <c r="U150" s="151" t="str">
        <f aca="false">IF(ISNUMBER(B150),B150*(1-1/'13_Mapa_Liq'!$B$17+'13_Mapa_Liq'!$B$6),"")</f>
        <v/>
      </c>
      <c r="V150" s="151" t="n">
        <f aca="false">IF(ISNUMBER(B150),IF(K150&gt;U150,I150*'13_Mapa_Liq'!$C$17,0),0)</f>
        <v>0</v>
      </c>
      <c r="W150" s="151" t="str">
        <f aca="false">IF(ISNUMBER(B150),B150*(1+1/'13_Mapa_Liq'!$B$17-'13_Mapa_Liq'!$B$6),"")</f>
        <v/>
      </c>
      <c r="X150" s="151" t="n">
        <f aca="false">IF(ISNUMBER(B150),IF(L150&lt;W150,J150*'13_Mapa_Liq'!$C$17,0),0)</f>
        <v>0</v>
      </c>
      <c r="Y150" s="151" t="str">
        <f aca="false">IF(ISNUMBER(B150),B150*(1-1/'13_Mapa_Liq'!$B$18+'13_Mapa_Liq'!$B$6),"")</f>
        <v/>
      </c>
      <c r="Z150" s="151" t="n">
        <f aca="false">IF(ISNUMBER(B150),IF(K150&gt;Y150,I150*'13_Mapa_Liq'!$C$18,0),0)</f>
        <v>0</v>
      </c>
      <c r="AA150" s="151" t="str">
        <f aca="false">IF(ISNUMBER(B150),B150*(1+1/'13_Mapa_Liq'!$B$18-'13_Mapa_Liq'!$B$6),"")</f>
        <v/>
      </c>
      <c r="AB150" s="151" t="n">
        <f aca="false">IF(ISNUMBER(B150),IF(L150&lt;AA150,J150*'13_Mapa_Liq'!$C$18,0),0)</f>
        <v>0</v>
      </c>
      <c r="AC150" s="151" t="str">
        <f aca="false">IF(ISNUMBER(B150),B150*(1-1/'13_Mapa_Liq'!$B$19+'13_Mapa_Liq'!$B$6),"")</f>
        <v/>
      </c>
      <c r="AD150" s="151" t="n">
        <f aca="false">IF(ISNUMBER(B150),IF(K150&gt;AC150,I150*'13_Mapa_Liq'!$C$19,0),0)</f>
        <v>0</v>
      </c>
      <c r="AE150" s="151" t="str">
        <f aca="false">IF(ISNUMBER(B150),B150*(1+1/'13_Mapa_Liq'!$B$19-'13_Mapa_Liq'!$B$6),"")</f>
        <v/>
      </c>
      <c r="AF150" s="151" t="n">
        <f aca="false">IF(ISNUMBER(B150),IF(L150&lt;AE150,J150*'13_Mapa_Liq'!$C$19,0),0)</f>
        <v>0</v>
      </c>
      <c r="AG150" s="151"/>
      <c r="AH150" s="151" t="n">
        <f aca="false">IF(ISNUMBER(B150),E150*F150*((K150&lt;=M150)*'13_Mapa_Liq'!$C$15+(K150&lt;=Q150)*'13_Mapa_Liq'!$C$16+(K150&lt;=U150)*'13_Mapa_Liq'!$C$17+(K150&lt;=Y150)*'13_Mapa_Liq'!$C$18+(K150&lt;=AC150)*'13_Mapa_Liq'!$C$19),0)</f>
        <v>0</v>
      </c>
      <c r="AI150" s="151" t="n">
        <f aca="false">IF(ISNUMBER(B150),E150*(1-F150)*((L150&gt;=O150)*'13_Mapa_Liq'!$C$15+(L150&gt;=S150)*'13_Mapa_Liq'!$C$16+(L150&gt;=W150)*'13_Mapa_Liq'!$C$17+(L150&gt;=AA150)*'13_Mapa_Liq'!$C$18+(L150&gt;=AE150)*'13_Mapa_Liq'!$C$19),0)</f>
        <v>0</v>
      </c>
    </row>
    <row r="151" customFormat="false" ht="15" hidden="false" customHeight="false" outlineLevel="0" collapsed="false">
      <c r="A151" s="151" t="str">
        <f aca="false">IF(ISNUMBER('12_Datos_5m'!F151),ROW()-4,"")</f>
        <v/>
      </c>
      <c r="B151" s="151" t="str">
        <f aca="false">IF(ISNUMBER('12_Datos_5m'!F151),'12_Datos_5m'!F151,"")</f>
        <v/>
      </c>
      <c r="C151" s="151" t="str">
        <f aca="false">IF(ISNUMBER('12_Datos_5m'!A151),'12_Datos_5m'!A151,"")</f>
        <v/>
      </c>
      <c r="D151" s="151" t="n">
        <f aca="false">IF(AND(ISNUMBER('12_Datos_5m'!I151),ISNUMBER('12_Datos_5m'!I150)),'12_Datos_5m'!I151-'12_Datos_5m'!I150,0)</f>
        <v>0</v>
      </c>
      <c r="E151" s="151" t="n">
        <f aca="false">MAX(0,D151)</f>
        <v>0</v>
      </c>
      <c r="F151" s="151" t="n">
        <f aca="false">IF(AND(ISNUMBER('12_Datos_5m'!G151),N('12_Datos_5m'!G151)&gt;0),'12_Datos_5m'!H151/'12_Datos_5m'!G151,0.5)</f>
        <v>0.5</v>
      </c>
      <c r="G151" s="151" t="n">
        <f aca="false">IF(ISNUMBER(C151),($C$2-C151)/3600000,0)</f>
        <v>0</v>
      </c>
      <c r="H151" s="151" t="n">
        <f aca="false">EXP(-G151/'13_Mapa_Liq'!$B$7)</f>
        <v>1</v>
      </c>
      <c r="I151" s="151" t="n">
        <f aca="false">E151*F151*H151</f>
        <v>0</v>
      </c>
      <c r="J151" s="151" t="n">
        <f aca="false">E151*(1-F151)*H151</f>
        <v>0</v>
      </c>
      <c r="K151" s="151" t="n">
        <f aca="false">IF(COUNT('12_Datos_5m'!E152:E$504)=0,1000000000000,MIN('12_Datos_5m'!E152:E$504))</f>
        <v>1000000000000</v>
      </c>
      <c r="L151" s="151" t="n">
        <f aca="false">IF(COUNT('12_Datos_5m'!D152:D$504)=0,0,MAX('12_Datos_5m'!D152:D$504))</f>
        <v>0</v>
      </c>
      <c r="M151" s="151" t="str">
        <f aca="false">IF(ISNUMBER(B151),B151*(1-1/'13_Mapa_Liq'!$B$15+'13_Mapa_Liq'!$B$6),"")</f>
        <v/>
      </c>
      <c r="N151" s="151" t="n">
        <f aca="false">IF(ISNUMBER(B151),IF(K151&gt;M151,I151*'13_Mapa_Liq'!$C$15,0),0)</f>
        <v>0</v>
      </c>
      <c r="O151" s="151" t="str">
        <f aca="false">IF(ISNUMBER(B151),B151*(1+1/'13_Mapa_Liq'!$B$15-'13_Mapa_Liq'!$B$6),"")</f>
        <v/>
      </c>
      <c r="P151" s="151" t="n">
        <f aca="false">IF(ISNUMBER(B151),IF(L151&lt;O151,J151*'13_Mapa_Liq'!$C$15,0),0)</f>
        <v>0</v>
      </c>
      <c r="Q151" s="151" t="str">
        <f aca="false">IF(ISNUMBER(B151),B151*(1-1/'13_Mapa_Liq'!$B$16+'13_Mapa_Liq'!$B$6),"")</f>
        <v/>
      </c>
      <c r="R151" s="151" t="n">
        <f aca="false">IF(ISNUMBER(B151),IF(K151&gt;Q151,I151*'13_Mapa_Liq'!$C$16,0),0)</f>
        <v>0</v>
      </c>
      <c r="S151" s="151" t="str">
        <f aca="false">IF(ISNUMBER(B151),B151*(1+1/'13_Mapa_Liq'!$B$16-'13_Mapa_Liq'!$B$6),"")</f>
        <v/>
      </c>
      <c r="T151" s="151" t="n">
        <f aca="false">IF(ISNUMBER(B151),IF(L151&lt;S151,J151*'13_Mapa_Liq'!$C$16,0),0)</f>
        <v>0</v>
      </c>
      <c r="U151" s="151" t="str">
        <f aca="false">IF(ISNUMBER(B151),B151*(1-1/'13_Mapa_Liq'!$B$17+'13_Mapa_Liq'!$B$6),"")</f>
        <v/>
      </c>
      <c r="V151" s="151" t="n">
        <f aca="false">IF(ISNUMBER(B151),IF(K151&gt;U151,I151*'13_Mapa_Liq'!$C$17,0),0)</f>
        <v>0</v>
      </c>
      <c r="W151" s="151" t="str">
        <f aca="false">IF(ISNUMBER(B151),B151*(1+1/'13_Mapa_Liq'!$B$17-'13_Mapa_Liq'!$B$6),"")</f>
        <v/>
      </c>
      <c r="X151" s="151" t="n">
        <f aca="false">IF(ISNUMBER(B151),IF(L151&lt;W151,J151*'13_Mapa_Liq'!$C$17,0),0)</f>
        <v>0</v>
      </c>
      <c r="Y151" s="151" t="str">
        <f aca="false">IF(ISNUMBER(B151),B151*(1-1/'13_Mapa_Liq'!$B$18+'13_Mapa_Liq'!$B$6),"")</f>
        <v/>
      </c>
      <c r="Z151" s="151" t="n">
        <f aca="false">IF(ISNUMBER(B151),IF(K151&gt;Y151,I151*'13_Mapa_Liq'!$C$18,0),0)</f>
        <v>0</v>
      </c>
      <c r="AA151" s="151" t="str">
        <f aca="false">IF(ISNUMBER(B151),B151*(1+1/'13_Mapa_Liq'!$B$18-'13_Mapa_Liq'!$B$6),"")</f>
        <v/>
      </c>
      <c r="AB151" s="151" t="n">
        <f aca="false">IF(ISNUMBER(B151),IF(L151&lt;AA151,J151*'13_Mapa_Liq'!$C$18,0),0)</f>
        <v>0</v>
      </c>
      <c r="AC151" s="151" t="str">
        <f aca="false">IF(ISNUMBER(B151),B151*(1-1/'13_Mapa_Liq'!$B$19+'13_Mapa_Liq'!$B$6),"")</f>
        <v/>
      </c>
      <c r="AD151" s="151" t="n">
        <f aca="false">IF(ISNUMBER(B151),IF(K151&gt;AC151,I151*'13_Mapa_Liq'!$C$19,0),0)</f>
        <v>0</v>
      </c>
      <c r="AE151" s="151" t="str">
        <f aca="false">IF(ISNUMBER(B151),B151*(1+1/'13_Mapa_Liq'!$B$19-'13_Mapa_Liq'!$B$6),"")</f>
        <v/>
      </c>
      <c r="AF151" s="151" t="n">
        <f aca="false">IF(ISNUMBER(B151),IF(L151&lt;AE151,J151*'13_Mapa_Liq'!$C$19,0),0)</f>
        <v>0</v>
      </c>
      <c r="AG151" s="151"/>
      <c r="AH151" s="151" t="n">
        <f aca="false">IF(ISNUMBER(B151),E151*F151*((K151&lt;=M151)*'13_Mapa_Liq'!$C$15+(K151&lt;=Q151)*'13_Mapa_Liq'!$C$16+(K151&lt;=U151)*'13_Mapa_Liq'!$C$17+(K151&lt;=Y151)*'13_Mapa_Liq'!$C$18+(K151&lt;=AC151)*'13_Mapa_Liq'!$C$19),0)</f>
        <v>0</v>
      </c>
      <c r="AI151" s="151" t="n">
        <f aca="false">IF(ISNUMBER(B151),E151*(1-F151)*((L151&gt;=O151)*'13_Mapa_Liq'!$C$15+(L151&gt;=S151)*'13_Mapa_Liq'!$C$16+(L151&gt;=W151)*'13_Mapa_Liq'!$C$17+(L151&gt;=AA151)*'13_Mapa_Liq'!$C$18+(L151&gt;=AE151)*'13_Mapa_Liq'!$C$19),0)</f>
        <v>0</v>
      </c>
    </row>
    <row r="152" customFormat="false" ht="15" hidden="false" customHeight="false" outlineLevel="0" collapsed="false">
      <c r="A152" s="151" t="str">
        <f aca="false">IF(ISNUMBER('12_Datos_5m'!F152),ROW()-4,"")</f>
        <v/>
      </c>
      <c r="B152" s="151" t="str">
        <f aca="false">IF(ISNUMBER('12_Datos_5m'!F152),'12_Datos_5m'!F152,"")</f>
        <v/>
      </c>
      <c r="C152" s="151" t="str">
        <f aca="false">IF(ISNUMBER('12_Datos_5m'!A152),'12_Datos_5m'!A152,"")</f>
        <v/>
      </c>
      <c r="D152" s="151" t="n">
        <f aca="false">IF(AND(ISNUMBER('12_Datos_5m'!I152),ISNUMBER('12_Datos_5m'!I151)),'12_Datos_5m'!I152-'12_Datos_5m'!I151,0)</f>
        <v>0</v>
      </c>
      <c r="E152" s="151" t="n">
        <f aca="false">MAX(0,D152)</f>
        <v>0</v>
      </c>
      <c r="F152" s="151" t="n">
        <f aca="false">IF(AND(ISNUMBER('12_Datos_5m'!G152),N('12_Datos_5m'!G152)&gt;0),'12_Datos_5m'!H152/'12_Datos_5m'!G152,0.5)</f>
        <v>0.5</v>
      </c>
      <c r="G152" s="151" t="n">
        <f aca="false">IF(ISNUMBER(C152),($C$2-C152)/3600000,0)</f>
        <v>0</v>
      </c>
      <c r="H152" s="151" t="n">
        <f aca="false">EXP(-G152/'13_Mapa_Liq'!$B$7)</f>
        <v>1</v>
      </c>
      <c r="I152" s="151" t="n">
        <f aca="false">E152*F152*H152</f>
        <v>0</v>
      </c>
      <c r="J152" s="151" t="n">
        <f aca="false">E152*(1-F152)*H152</f>
        <v>0</v>
      </c>
      <c r="K152" s="151" t="n">
        <f aca="false">IF(COUNT('12_Datos_5m'!E153:E$504)=0,1000000000000,MIN('12_Datos_5m'!E153:E$504))</f>
        <v>1000000000000</v>
      </c>
      <c r="L152" s="151" t="n">
        <f aca="false">IF(COUNT('12_Datos_5m'!D153:D$504)=0,0,MAX('12_Datos_5m'!D153:D$504))</f>
        <v>0</v>
      </c>
      <c r="M152" s="151" t="str">
        <f aca="false">IF(ISNUMBER(B152),B152*(1-1/'13_Mapa_Liq'!$B$15+'13_Mapa_Liq'!$B$6),"")</f>
        <v/>
      </c>
      <c r="N152" s="151" t="n">
        <f aca="false">IF(ISNUMBER(B152),IF(K152&gt;M152,I152*'13_Mapa_Liq'!$C$15,0),0)</f>
        <v>0</v>
      </c>
      <c r="O152" s="151" t="str">
        <f aca="false">IF(ISNUMBER(B152),B152*(1+1/'13_Mapa_Liq'!$B$15-'13_Mapa_Liq'!$B$6),"")</f>
        <v/>
      </c>
      <c r="P152" s="151" t="n">
        <f aca="false">IF(ISNUMBER(B152),IF(L152&lt;O152,J152*'13_Mapa_Liq'!$C$15,0),0)</f>
        <v>0</v>
      </c>
      <c r="Q152" s="151" t="str">
        <f aca="false">IF(ISNUMBER(B152),B152*(1-1/'13_Mapa_Liq'!$B$16+'13_Mapa_Liq'!$B$6),"")</f>
        <v/>
      </c>
      <c r="R152" s="151" t="n">
        <f aca="false">IF(ISNUMBER(B152),IF(K152&gt;Q152,I152*'13_Mapa_Liq'!$C$16,0),0)</f>
        <v>0</v>
      </c>
      <c r="S152" s="151" t="str">
        <f aca="false">IF(ISNUMBER(B152),B152*(1+1/'13_Mapa_Liq'!$B$16-'13_Mapa_Liq'!$B$6),"")</f>
        <v/>
      </c>
      <c r="T152" s="151" t="n">
        <f aca="false">IF(ISNUMBER(B152),IF(L152&lt;S152,J152*'13_Mapa_Liq'!$C$16,0),0)</f>
        <v>0</v>
      </c>
      <c r="U152" s="151" t="str">
        <f aca="false">IF(ISNUMBER(B152),B152*(1-1/'13_Mapa_Liq'!$B$17+'13_Mapa_Liq'!$B$6),"")</f>
        <v/>
      </c>
      <c r="V152" s="151" t="n">
        <f aca="false">IF(ISNUMBER(B152),IF(K152&gt;U152,I152*'13_Mapa_Liq'!$C$17,0),0)</f>
        <v>0</v>
      </c>
      <c r="W152" s="151" t="str">
        <f aca="false">IF(ISNUMBER(B152),B152*(1+1/'13_Mapa_Liq'!$B$17-'13_Mapa_Liq'!$B$6),"")</f>
        <v/>
      </c>
      <c r="X152" s="151" t="n">
        <f aca="false">IF(ISNUMBER(B152),IF(L152&lt;W152,J152*'13_Mapa_Liq'!$C$17,0),0)</f>
        <v>0</v>
      </c>
      <c r="Y152" s="151" t="str">
        <f aca="false">IF(ISNUMBER(B152),B152*(1-1/'13_Mapa_Liq'!$B$18+'13_Mapa_Liq'!$B$6),"")</f>
        <v/>
      </c>
      <c r="Z152" s="151" t="n">
        <f aca="false">IF(ISNUMBER(B152),IF(K152&gt;Y152,I152*'13_Mapa_Liq'!$C$18,0),0)</f>
        <v>0</v>
      </c>
      <c r="AA152" s="151" t="str">
        <f aca="false">IF(ISNUMBER(B152),B152*(1+1/'13_Mapa_Liq'!$B$18-'13_Mapa_Liq'!$B$6),"")</f>
        <v/>
      </c>
      <c r="AB152" s="151" t="n">
        <f aca="false">IF(ISNUMBER(B152),IF(L152&lt;AA152,J152*'13_Mapa_Liq'!$C$18,0),0)</f>
        <v>0</v>
      </c>
      <c r="AC152" s="151" t="str">
        <f aca="false">IF(ISNUMBER(B152),B152*(1-1/'13_Mapa_Liq'!$B$19+'13_Mapa_Liq'!$B$6),"")</f>
        <v/>
      </c>
      <c r="AD152" s="151" t="n">
        <f aca="false">IF(ISNUMBER(B152),IF(K152&gt;AC152,I152*'13_Mapa_Liq'!$C$19,0),0)</f>
        <v>0</v>
      </c>
      <c r="AE152" s="151" t="str">
        <f aca="false">IF(ISNUMBER(B152),B152*(1+1/'13_Mapa_Liq'!$B$19-'13_Mapa_Liq'!$B$6),"")</f>
        <v/>
      </c>
      <c r="AF152" s="151" t="n">
        <f aca="false">IF(ISNUMBER(B152),IF(L152&lt;AE152,J152*'13_Mapa_Liq'!$C$19,0),0)</f>
        <v>0</v>
      </c>
      <c r="AG152" s="151"/>
      <c r="AH152" s="151" t="n">
        <f aca="false">IF(ISNUMBER(B152),E152*F152*((K152&lt;=M152)*'13_Mapa_Liq'!$C$15+(K152&lt;=Q152)*'13_Mapa_Liq'!$C$16+(K152&lt;=U152)*'13_Mapa_Liq'!$C$17+(K152&lt;=Y152)*'13_Mapa_Liq'!$C$18+(K152&lt;=AC152)*'13_Mapa_Liq'!$C$19),0)</f>
        <v>0</v>
      </c>
      <c r="AI152" s="151" t="n">
        <f aca="false">IF(ISNUMBER(B152),E152*(1-F152)*((L152&gt;=O152)*'13_Mapa_Liq'!$C$15+(L152&gt;=S152)*'13_Mapa_Liq'!$C$16+(L152&gt;=W152)*'13_Mapa_Liq'!$C$17+(L152&gt;=AA152)*'13_Mapa_Liq'!$C$18+(L152&gt;=AE152)*'13_Mapa_Liq'!$C$19),0)</f>
        <v>0</v>
      </c>
    </row>
    <row r="153" customFormat="false" ht="15" hidden="false" customHeight="false" outlineLevel="0" collapsed="false">
      <c r="A153" s="151" t="str">
        <f aca="false">IF(ISNUMBER('12_Datos_5m'!F153),ROW()-4,"")</f>
        <v/>
      </c>
      <c r="B153" s="151" t="str">
        <f aca="false">IF(ISNUMBER('12_Datos_5m'!F153),'12_Datos_5m'!F153,"")</f>
        <v/>
      </c>
      <c r="C153" s="151" t="str">
        <f aca="false">IF(ISNUMBER('12_Datos_5m'!A153),'12_Datos_5m'!A153,"")</f>
        <v/>
      </c>
      <c r="D153" s="151" t="n">
        <f aca="false">IF(AND(ISNUMBER('12_Datos_5m'!I153),ISNUMBER('12_Datos_5m'!I152)),'12_Datos_5m'!I153-'12_Datos_5m'!I152,0)</f>
        <v>0</v>
      </c>
      <c r="E153" s="151" t="n">
        <f aca="false">MAX(0,D153)</f>
        <v>0</v>
      </c>
      <c r="F153" s="151" t="n">
        <f aca="false">IF(AND(ISNUMBER('12_Datos_5m'!G153),N('12_Datos_5m'!G153)&gt;0),'12_Datos_5m'!H153/'12_Datos_5m'!G153,0.5)</f>
        <v>0.5</v>
      </c>
      <c r="G153" s="151" t="n">
        <f aca="false">IF(ISNUMBER(C153),($C$2-C153)/3600000,0)</f>
        <v>0</v>
      </c>
      <c r="H153" s="151" t="n">
        <f aca="false">EXP(-G153/'13_Mapa_Liq'!$B$7)</f>
        <v>1</v>
      </c>
      <c r="I153" s="151" t="n">
        <f aca="false">E153*F153*H153</f>
        <v>0</v>
      </c>
      <c r="J153" s="151" t="n">
        <f aca="false">E153*(1-F153)*H153</f>
        <v>0</v>
      </c>
      <c r="K153" s="151" t="n">
        <f aca="false">IF(COUNT('12_Datos_5m'!E154:E$504)=0,1000000000000,MIN('12_Datos_5m'!E154:E$504))</f>
        <v>1000000000000</v>
      </c>
      <c r="L153" s="151" t="n">
        <f aca="false">IF(COUNT('12_Datos_5m'!D154:D$504)=0,0,MAX('12_Datos_5m'!D154:D$504))</f>
        <v>0</v>
      </c>
      <c r="M153" s="151" t="str">
        <f aca="false">IF(ISNUMBER(B153),B153*(1-1/'13_Mapa_Liq'!$B$15+'13_Mapa_Liq'!$B$6),"")</f>
        <v/>
      </c>
      <c r="N153" s="151" t="n">
        <f aca="false">IF(ISNUMBER(B153),IF(K153&gt;M153,I153*'13_Mapa_Liq'!$C$15,0),0)</f>
        <v>0</v>
      </c>
      <c r="O153" s="151" t="str">
        <f aca="false">IF(ISNUMBER(B153),B153*(1+1/'13_Mapa_Liq'!$B$15-'13_Mapa_Liq'!$B$6),"")</f>
        <v/>
      </c>
      <c r="P153" s="151" t="n">
        <f aca="false">IF(ISNUMBER(B153),IF(L153&lt;O153,J153*'13_Mapa_Liq'!$C$15,0),0)</f>
        <v>0</v>
      </c>
      <c r="Q153" s="151" t="str">
        <f aca="false">IF(ISNUMBER(B153),B153*(1-1/'13_Mapa_Liq'!$B$16+'13_Mapa_Liq'!$B$6),"")</f>
        <v/>
      </c>
      <c r="R153" s="151" t="n">
        <f aca="false">IF(ISNUMBER(B153),IF(K153&gt;Q153,I153*'13_Mapa_Liq'!$C$16,0),0)</f>
        <v>0</v>
      </c>
      <c r="S153" s="151" t="str">
        <f aca="false">IF(ISNUMBER(B153),B153*(1+1/'13_Mapa_Liq'!$B$16-'13_Mapa_Liq'!$B$6),"")</f>
        <v/>
      </c>
      <c r="T153" s="151" t="n">
        <f aca="false">IF(ISNUMBER(B153),IF(L153&lt;S153,J153*'13_Mapa_Liq'!$C$16,0),0)</f>
        <v>0</v>
      </c>
      <c r="U153" s="151" t="str">
        <f aca="false">IF(ISNUMBER(B153),B153*(1-1/'13_Mapa_Liq'!$B$17+'13_Mapa_Liq'!$B$6),"")</f>
        <v/>
      </c>
      <c r="V153" s="151" t="n">
        <f aca="false">IF(ISNUMBER(B153),IF(K153&gt;U153,I153*'13_Mapa_Liq'!$C$17,0),0)</f>
        <v>0</v>
      </c>
      <c r="W153" s="151" t="str">
        <f aca="false">IF(ISNUMBER(B153),B153*(1+1/'13_Mapa_Liq'!$B$17-'13_Mapa_Liq'!$B$6),"")</f>
        <v/>
      </c>
      <c r="X153" s="151" t="n">
        <f aca="false">IF(ISNUMBER(B153),IF(L153&lt;W153,J153*'13_Mapa_Liq'!$C$17,0),0)</f>
        <v>0</v>
      </c>
      <c r="Y153" s="151" t="str">
        <f aca="false">IF(ISNUMBER(B153),B153*(1-1/'13_Mapa_Liq'!$B$18+'13_Mapa_Liq'!$B$6),"")</f>
        <v/>
      </c>
      <c r="Z153" s="151" t="n">
        <f aca="false">IF(ISNUMBER(B153),IF(K153&gt;Y153,I153*'13_Mapa_Liq'!$C$18,0),0)</f>
        <v>0</v>
      </c>
      <c r="AA153" s="151" t="str">
        <f aca="false">IF(ISNUMBER(B153),B153*(1+1/'13_Mapa_Liq'!$B$18-'13_Mapa_Liq'!$B$6),"")</f>
        <v/>
      </c>
      <c r="AB153" s="151" t="n">
        <f aca="false">IF(ISNUMBER(B153),IF(L153&lt;AA153,J153*'13_Mapa_Liq'!$C$18,0),0)</f>
        <v>0</v>
      </c>
      <c r="AC153" s="151" t="str">
        <f aca="false">IF(ISNUMBER(B153),B153*(1-1/'13_Mapa_Liq'!$B$19+'13_Mapa_Liq'!$B$6),"")</f>
        <v/>
      </c>
      <c r="AD153" s="151" t="n">
        <f aca="false">IF(ISNUMBER(B153),IF(K153&gt;AC153,I153*'13_Mapa_Liq'!$C$19,0),0)</f>
        <v>0</v>
      </c>
      <c r="AE153" s="151" t="str">
        <f aca="false">IF(ISNUMBER(B153),B153*(1+1/'13_Mapa_Liq'!$B$19-'13_Mapa_Liq'!$B$6),"")</f>
        <v/>
      </c>
      <c r="AF153" s="151" t="n">
        <f aca="false">IF(ISNUMBER(B153),IF(L153&lt;AE153,J153*'13_Mapa_Liq'!$C$19,0),0)</f>
        <v>0</v>
      </c>
      <c r="AG153" s="151"/>
      <c r="AH153" s="151" t="n">
        <f aca="false">IF(ISNUMBER(B153),E153*F153*((K153&lt;=M153)*'13_Mapa_Liq'!$C$15+(K153&lt;=Q153)*'13_Mapa_Liq'!$C$16+(K153&lt;=U153)*'13_Mapa_Liq'!$C$17+(K153&lt;=Y153)*'13_Mapa_Liq'!$C$18+(K153&lt;=AC153)*'13_Mapa_Liq'!$C$19),0)</f>
        <v>0</v>
      </c>
      <c r="AI153" s="151" t="n">
        <f aca="false">IF(ISNUMBER(B153),E153*(1-F153)*((L153&gt;=O153)*'13_Mapa_Liq'!$C$15+(L153&gt;=S153)*'13_Mapa_Liq'!$C$16+(L153&gt;=W153)*'13_Mapa_Liq'!$C$17+(L153&gt;=AA153)*'13_Mapa_Liq'!$C$18+(L153&gt;=AE153)*'13_Mapa_Liq'!$C$19),0)</f>
        <v>0</v>
      </c>
    </row>
    <row r="154" customFormat="false" ht="15" hidden="false" customHeight="false" outlineLevel="0" collapsed="false">
      <c r="A154" s="151" t="str">
        <f aca="false">IF(ISNUMBER('12_Datos_5m'!F154),ROW()-4,"")</f>
        <v/>
      </c>
      <c r="B154" s="151" t="str">
        <f aca="false">IF(ISNUMBER('12_Datos_5m'!F154),'12_Datos_5m'!F154,"")</f>
        <v/>
      </c>
      <c r="C154" s="151" t="str">
        <f aca="false">IF(ISNUMBER('12_Datos_5m'!A154),'12_Datos_5m'!A154,"")</f>
        <v/>
      </c>
      <c r="D154" s="151" t="n">
        <f aca="false">IF(AND(ISNUMBER('12_Datos_5m'!I154),ISNUMBER('12_Datos_5m'!I153)),'12_Datos_5m'!I154-'12_Datos_5m'!I153,0)</f>
        <v>0</v>
      </c>
      <c r="E154" s="151" t="n">
        <f aca="false">MAX(0,D154)</f>
        <v>0</v>
      </c>
      <c r="F154" s="151" t="n">
        <f aca="false">IF(AND(ISNUMBER('12_Datos_5m'!G154),N('12_Datos_5m'!G154)&gt;0),'12_Datos_5m'!H154/'12_Datos_5m'!G154,0.5)</f>
        <v>0.5</v>
      </c>
      <c r="G154" s="151" t="n">
        <f aca="false">IF(ISNUMBER(C154),($C$2-C154)/3600000,0)</f>
        <v>0</v>
      </c>
      <c r="H154" s="151" t="n">
        <f aca="false">EXP(-G154/'13_Mapa_Liq'!$B$7)</f>
        <v>1</v>
      </c>
      <c r="I154" s="151" t="n">
        <f aca="false">E154*F154*H154</f>
        <v>0</v>
      </c>
      <c r="J154" s="151" t="n">
        <f aca="false">E154*(1-F154)*H154</f>
        <v>0</v>
      </c>
      <c r="K154" s="151" t="n">
        <f aca="false">IF(COUNT('12_Datos_5m'!E155:E$504)=0,1000000000000,MIN('12_Datos_5m'!E155:E$504))</f>
        <v>1000000000000</v>
      </c>
      <c r="L154" s="151" t="n">
        <f aca="false">IF(COUNT('12_Datos_5m'!D155:D$504)=0,0,MAX('12_Datos_5m'!D155:D$504))</f>
        <v>0</v>
      </c>
      <c r="M154" s="151" t="str">
        <f aca="false">IF(ISNUMBER(B154),B154*(1-1/'13_Mapa_Liq'!$B$15+'13_Mapa_Liq'!$B$6),"")</f>
        <v/>
      </c>
      <c r="N154" s="151" t="n">
        <f aca="false">IF(ISNUMBER(B154),IF(K154&gt;M154,I154*'13_Mapa_Liq'!$C$15,0),0)</f>
        <v>0</v>
      </c>
      <c r="O154" s="151" t="str">
        <f aca="false">IF(ISNUMBER(B154),B154*(1+1/'13_Mapa_Liq'!$B$15-'13_Mapa_Liq'!$B$6),"")</f>
        <v/>
      </c>
      <c r="P154" s="151" t="n">
        <f aca="false">IF(ISNUMBER(B154),IF(L154&lt;O154,J154*'13_Mapa_Liq'!$C$15,0),0)</f>
        <v>0</v>
      </c>
      <c r="Q154" s="151" t="str">
        <f aca="false">IF(ISNUMBER(B154),B154*(1-1/'13_Mapa_Liq'!$B$16+'13_Mapa_Liq'!$B$6),"")</f>
        <v/>
      </c>
      <c r="R154" s="151" t="n">
        <f aca="false">IF(ISNUMBER(B154),IF(K154&gt;Q154,I154*'13_Mapa_Liq'!$C$16,0),0)</f>
        <v>0</v>
      </c>
      <c r="S154" s="151" t="str">
        <f aca="false">IF(ISNUMBER(B154),B154*(1+1/'13_Mapa_Liq'!$B$16-'13_Mapa_Liq'!$B$6),"")</f>
        <v/>
      </c>
      <c r="T154" s="151" t="n">
        <f aca="false">IF(ISNUMBER(B154),IF(L154&lt;S154,J154*'13_Mapa_Liq'!$C$16,0),0)</f>
        <v>0</v>
      </c>
      <c r="U154" s="151" t="str">
        <f aca="false">IF(ISNUMBER(B154),B154*(1-1/'13_Mapa_Liq'!$B$17+'13_Mapa_Liq'!$B$6),"")</f>
        <v/>
      </c>
      <c r="V154" s="151" t="n">
        <f aca="false">IF(ISNUMBER(B154),IF(K154&gt;U154,I154*'13_Mapa_Liq'!$C$17,0),0)</f>
        <v>0</v>
      </c>
      <c r="W154" s="151" t="str">
        <f aca="false">IF(ISNUMBER(B154),B154*(1+1/'13_Mapa_Liq'!$B$17-'13_Mapa_Liq'!$B$6),"")</f>
        <v/>
      </c>
      <c r="X154" s="151" t="n">
        <f aca="false">IF(ISNUMBER(B154),IF(L154&lt;W154,J154*'13_Mapa_Liq'!$C$17,0),0)</f>
        <v>0</v>
      </c>
      <c r="Y154" s="151" t="str">
        <f aca="false">IF(ISNUMBER(B154),B154*(1-1/'13_Mapa_Liq'!$B$18+'13_Mapa_Liq'!$B$6),"")</f>
        <v/>
      </c>
      <c r="Z154" s="151" t="n">
        <f aca="false">IF(ISNUMBER(B154),IF(K154&gt;Y154,I154*'13_Mapa_Liq'!$C$18,0),0)</f>
        <v>0</v>
      </c>
      <c r="AA154" s="151" t="str">
        <f aca="false">IF(ISNUMBER(B154),B154*(1+1/'13_Mapa_Liq'!$B$18-'13_Mapa_Liq'!$B$6),"")</f>
        <v/>
      </c>
      <c r="AB154" s="151" t="n">
        <f aca="false">IF(ISNUMBER(B154),IF(L154&lt;AA154,J154*'13_Mapa_Liq'!$C$18,0),0)</f>
        <v>0</v>
      </c>
      <c r="AC154" s="151" t="str">
        <f aca="false">IF(ISNUMBER(B154),B154*(1-1/'13_Mapa_Liq'!$B$19+'13_Mapa_Liq'!$B$6),"")</f>
        <v/>
      </c>
      <c r="AD154" s="151" t="n">
        <f aca="false">IF(ISNUMBER(B154),IF(K154&gt;AC154,I154*'13_Mapa_Liq'!$C$19,0),0)</f>
        <v>0</v>
      </c>
      <c r="AE154" s="151" t="str">
        <f aca="false">IF(ISNUMBER(B154),B154*(1+1/'13_Mapa_Liq'!$B$19-'13_Mapa_Liq'!$B$6),"")</f>
        <v/>
      </c>
      <c r="AF154" s="151" t="n">
        <f aca="false">IF(ISNUMBER(B154),IF(L154&lt;AE154,J154*'13_Mapa_Liq'!$C$19,0),0)</f>
        <v>0</v>
      </c>
      <c r="AG154" s="151"/>
      <c r="AH154" s="151" t="n">
        <f aca="false">IF(ISNUMBER(B154),E154*F154*((K154&lt;=M154)*'13_Mapa_Liq'!$C$15+(K154&lt;=Q154)*'13_Mapa_Liq'!$C$16+(K154&lt;=U154)*'13_Mapa_Liq'!$C$17+(K154&lt;=Y154)*'13_Mapa_Liq'!$C$18+(K154&lt;=AC154)*'13_Mapa_Liq'!$C$19),0)</f>
        <v>0</v>
      </c>
      <c r="AI154" s="151" t="n">
        <f aca="false">IF(ISNUMBER(B154),E154*(1-F154)*((L154&gt;=O154)*'13_Mapa_Liq'!$C$15+(L154&gt;=S154)*'13_Mapa_Liq'!$C$16+(L154&gt;=W154)*'13_Mapa_Liq'!$C$17+(L154&gt;=AA154)*'13_Mapa_Liq'!$C$18+(L154&gt;=AE154)*'13_Mapa_Liq'!$C$19),0)</f>
        <v>0</v>
      </c>
    </row>
    <row r="155" customFormat="false" ht="15" hidden="false" customHeight="false" outlineLevel="0" collapsed="false">
      <c r="A155" s="151" t="str">
        <f aca="false">IF(ISNUMBER('12_Datos_5m'!F155),ROW()-4,"")</f>
        <v/>
      </c>
      <c r="B155" s="151" t="str">
        <f aca="false">IF(ISNUMBER('12_Datos_5m'!F155),'12_Datos_5m'!F155,"")</f>
        <v/>
      </c>
      <c r="C155" s="151" t="str">
        <f aca="false">IF(ISNUMBER('12_Datos_5m'!A155),'12_Datos_5m'!A155,"")</f>
        <v/>
      </c>
      <c r="D155" s="151" t="n">
        <f aca="false">IF(AND(ISNUMBER('12_Datos_5m'!I155),ISNUMBER('12_Datos_5m'!I154)),'12_Datos_5m'!I155-'12_Datos_5m'!I154,0)</f>
        <v>0</v>
      </c>
      <c r="E155" s="151" t="n">
        <f aca="false">MAX(0,D155)</f>
        <v>0</v>
      </c>
      <c r="F155" s="151" t="n">
        <f aca="false">IF(AND(ISNUMBER('12_Datos_5m'!G155),N('12_Datos_5m'!G155)&gt;0),'12_Datos_5m'!H155/'12_Datos_5m'!G155,0.5)</f>
        <v>0.5</v>
      </c>
      <c r="G155" s="151" t="n">
        <f aca="false">IF(ISNUMBER(C155),($C$2-C155)/3600000,0)</f>
        <v>0</v>
      </c>
      <c r="H155" s="151" t="n">
        <f aca="false">EXP(-G155/'13_Mapa_Liq'!$B$7)</f>
        <v>1</v>
      </c>
      <c r="I155" s="151" t="n">
        <f aca="false">E155*F155*H155</f>
        <v>0</v>
      </c>
      <c r="J155" s="151" t="n">
        <f aca="false">E155*(1-F155)*H155</f>
        <v>0</v>
      </c>
      <c r="K155" s="151" t="n">
        <f aca="false">IF(COUNT('12_Datos_5m'!E156:E$504)=0,1000000000000,MIN('12_Datos_5m'!E156:E$504))</f>
        <v>1000000000000</v>
      </c>
      <c r="L155" s="151" t="n">
        <f aca="false">IF(COUNT('12_Datos_5m'!D156:D$504)=0,0,MAX('12_Datos_5m'!D156:D$504))</f>
        <v>0</v>
      </c>
      <c r="M155" s="151" t="str">
        <f aca="false">IF(ISNUMBER(B155),B155*(1-1/'13_Mapa_Liq'!$B$15+'13_Mapa_Liq'!$B$6),"")</f>
        <v/>
      </c>
      <c r="N155" s="151" t="n">
        <f aca="false">IF(ISNUMBER(B155),IF(K155&gt;M155,I155*'13_Mapa_Liq'!$C$15,0),0)</f>
        <v>0</v>
      </c>
      <c r="O155" s="151" t="str">
        <f aca="false">IF(ISNUMBER(B155),B155*(1+1/'13_Mapa_Liq'!$B$15-'13_Mapa_Liq'!$B$6),"")</f>
        <v/>
      </c>
      <c r="P155" s="151" t="n">
        <f aca="false">IF(ISNUMBER(B155),IF(L155&lt;O155,J155*'13_Mapa_Liq'!$C$15,0),0)</f>
        <v>0</v>
      </c>
      <c r="Q155" s="151" t="str">
        <f aca="false">IF(ISNUMBER(B155),B155*(1-1/'13_Mapa_Liq'!$B$16+'13_Mapa_Liq'!$B$6),"")</f>
        <v/>
      </c>
      <c r="R155" s="151" t="n">
        <f aca="false">IF(ISNUMBER(B155),IF(K155&gt;Q155,I155*'13_Mapa_Liq'!$C$16,0),0)</f>
        <v>0</v>
      </c>
      <c r="S155" s="151" t="str">
        <f aca="false">IF(ISNUMBER(B155),B155*(1+1/'13_Mapa_Liq'!$B$16-'13_Mapa_Liq'!$B$6),"")</f>
        <v/>
      </c>
      <c r="T155" s="151" t="n">
        <f aca="false">IF(ISNUMBER(B155),IF(L155&lt;S155,J155*'13_Mapa_Liq'!$C$16,0),0)</f>
        <v>0</v>
      </c>
      <c r="U155" s="151" t="str">
        <f aca="false">IF(ISNUMBER(B155),B155*(1-1/'13_Mapa_Liq'!$B$17+'13_Mapa_Liq'!$B$6),"")</f>
        <v/>
      </c>
      <c r="V155" s="151" t="n">
        <f aca="false">IF(ISNUMBER(B155),IF(K155&gt;U155,I155*'13_Mapa_Liq'!$C$17,0),0)</f>
        <v>0</v>
      </c>
      <c r="W155" s="151" t="str">
        <f aca="false">IF(ISNUMBER(B155),B155*(1+1/'13_Mapa_Liq'!$B$17-'13_Mapa_Liq'!$B$6),"")</f>
        <v/>
      </c>
      <c r="X155" s="151" t="n">
        <f aca="false">IF(ISNUMBER(B155),IF(L155&lt;W155,J155*'13_Mapa_Liq'!$C$17,0),0)</f>
        <v>0</v>
      </c>
      <c r="Y155" s="151" t="str">
        <f aca="false">IF(ISNUMBER(B155),B155*(1-1/'13_Mapa_Liq'!$B$18+'13_Mapa_Liq'!$B$6),"")</f>
        <v/>
      </c>
      <c r="Z155" s="151" t="n">
        <f aca="false">IF(ISNUMBER(B155),IF(K155&gt;Y155,I155*'13_Mapa_Liq'!$C$18,0),0)</f>
        <v>0</v>
      </c>
      <c r="AA155" s="151" t="str">
        <f aca="false">IF(ISNUMBER(B155),B155*(1+1/'13_Mapa_Liq'!$B$18-'13_Mapa_Liq'!$B$6),"")</f>
        <v/>
      </c>
      <c r="AB155" s="151" t="n">
        <f aca="false">IF(ISNUMBER(B155),IF(L155&lt;AA155,J155*'13_Mapa_Liq'!$C$18,0),0)</f>
        <v>0</v>
      </c>
      <c r="AC155" s="151" t="str">
        <f aca="false">IF(ISNUMBER(B155),B155*(1-1/'13_Mapa_Liq'!$B$19+'13_Mapa_Liq'!$B$6),"")</f>
        <v/>
      </c>
      <c r="AD155" s="151" t="n">
        <f aca="false">IF(ISNUMBER(B155),IF(K155&gt;AC155,I155*'13_Mapa_Liq'!$C$19,0),0)</f>
        <v>0</v>
      </c>
      <c r="AE155" s="151" t="str">
        <f aca="false">IF(ISNUMBER(B155),B155*(1+1/'13_Mapa_Liq'!$B$19-'13_Mapa_Liq'!$B$6),"")</f>
        <v/>
      </c>
      <c r="AF155" s="151" t="n">
        <f aca="false">IF(ISNUMBER(B155),IF(L155&lt;AE155,J155*'13_Mapa_Liq'!$C$19,0),0)</f>
        <v>0</v>
      </c>
      <c r="AG155" s="151"/>
      <c r="AH155" s="151" t="n">
        <f aca="false">IF(ISNUMBER(B155),E155*F155*((K155&lt;=M155)*'13_Mapa_Liq'!$C$15+(K155&lt;=Q155)*'13_Mapa_Liq'!$C$16+(K155&lt;=U155)*'13_Mapa_Liq'!$C$17+(K155&lt;=Y155)*'13_Mapa_Liq'!$C$18+(K155&lt;=AC155)*'13_Mapa_Liq'!$C$19),0)</f>
        <v>0</v>
      </c>
      <c r="AI155" s="151" t="n">
        <f aca="false">IF(ISNUMBER(B155),E155*(1-F155)*((L155&gt;=O155)*'13_Mapa_Liq'!$C$15+(L155&gt;=S155)*'13_Mapa_Liq'!$C$16+(L155&gt;=W155)*'13_Mapa_Liq'!$C$17+(L155&gt;=AA155)*'13_Mapa_Liq'!$C$18+(L155&gt;=AE155)*'13_Mapa_Liq'!$C$19),0)</f>
        <v>0</v>
      </c>
    </row>
    <row r="156" customFormat="false" ht="15" hidden="false" customHeight="false" outlineLevel="0" collapsed="false">
      <c r="A156" s="151" t="str">
        <f aca="false">IF(ISNUMBER('12_Datos_5m'!F156),ROW()-4,"")</f>
        <v/>
      </c>
      <c r="B156" s="151" t="str">
        <f aca="false">IF(ISNUMBER('12_Datos_5m'!F156),'12_Datos_5m'!F156,"")</f>
        <v/>
      </c>
      <c r="C156" s="151" t="str">
        <f aca="false">IF(ISNUMBER('12_Datos_5m'!A156),'12_Datos_5m'!A156,"")</f>
        <v/>
      </c>
      <c r="D156" s="151" t="n">
        <f aca="false">IF(AND(ISNUMBER('12_Datos_5m'!I156),ISNUMBER('12_Datos_5m'!I155)),'12_Datos_5m'!I156-'12_Datos_5m'!I155,0)</f>
        <v>0</v>
      </c>
      <c r="E156" s="151" t="n">
        <f aca="false">MAX(0,D156)</f>
        <v>0</v>
      </c>
      <c r="F156" s="151" t="n">
        <f aca="false">IF(AND(ISNUMBER('12_Datos_5m'!G156),N('12_Datos_5m'!G156)&gt;0),'12_Datos_5m'!H156/'12_Datos_5m'!G156,0.5)</f>
        <v>0.5</v>
      </c>
      <c r="G156" s="151" t="n">
        <f aca="false">IF(ISNUMBER(C156),($C$2-C156)/3600000,0)</f>
        <v>0</v>
      </c>
      <c r="H156" s="151" t="n">
        <f aca="false">EXP(-G156/'13_Mapa_Liq'!$B$7)</f>
        <v>1</v>
      </c>
      <c r="I156" s="151" t="n">
        <f aca="false">E156*F156*H156</f>
        <v>0</v>
      </c>
      <c r="J156" s="151" t="n">
        <f aca="false">E156*(1-F156)*H156</f>
        <v>0</v>
      </c>
      <c r="K156" s="151" t="n">
        <f aca="false">IF(COUNT('12_Datos_5m'!E157:E$504)=0,1000000000000,MIN('12_Datos_5m'!E157:E$504))</f>
        <v>1000000000000</v>
      </c>
      <c r="L156" s="151" t="n">
        <f aca="false">IF(COUNT('12_Datos_5m'!D157:D$504)=0,0,MAX('12_Datos_5m'!D157:D$504))</f>
        <v>0</v>
      </c>
      <c r="M156" s="151" t="str">
        <f aca="false">IF(ISNUMBER(B156),B156*(1-1/'13_Mapa_Liq'!$B$15+'13_Mapa_Liq'!$B$6),"")</f>
        <v/>
      </c>
      <c r="N156" s="151" t="n">
        <f aca="false">IF(ISNUMBER(B156),IF(K156&gt;M156,I156*'13_Mapa_Liq'!$C$15,0),0)</f>
        <v>0</v>
      </c>
      <c r="O156" s="151" t="str">
        <f aca="false">IF(ISNUMBER(B156),B156*(1+1/'13_Mapa_Liq'!$B$15-'13_Mapa_Liq'!$B$6),"")</f>
        <v/>
      </c>
      <c r="P156" s="151" t="n">
        <f aca="false">IF(ISNUMBER(B156),IF(L156&lt;O156,J156*'13_Mapa_Liq'!$C$15,0),0)</f>
        <v>0</v>
      </c>
      <c r="Q156" s="151" t="str">
        <f aca="false">IF(ISNUMBER(B156),B156*(1-1/'13_Mapa_Liq'!$B$16+'13_Mapa_Liq'!$B$6),"")</f>
        <v/>
      </c>
      <c r="R156" s="151" t="n">
        <f aca="false">IF(ISNUMBER(B156),IF(K156&gt;Q156,I156*'13_Mapa_Liq'!$C$16,0),0)</f>
        <v>0</v>
      </c>
      <c r="S156" s="151" t="str">
        <f aca="false">IF(ISNUMBER(B156),B156*(1+1/'13_Mapa_Liq'!$B$16-'13_Mapa_Liq'!$B$6),"")</f>
        <v/>
      </c>
      <c r="T156" s="151" t="n">
        <f aca="false">IF(ISNUMBER(B156),IF(L156&lt;S156,J156*'13_Mapa_Liq'!$C$16,0),0)</f>
        <v>0</v>
      </c>
      <c r="U156" s="151" t="str">
        <f aca="false">IF(ISNUMBER(B156),B156*(1-1/'13_Mapa_Liq'!$B$17+'13_Mapa_Liq'!$B$6),"")</f>
        <v/>
      </c>
      <c r="V156" s="151" t="n">
        <f aca="false">IF(ISNUMBER(B156),IF(K156&gt;U156,I156*'13_Mapa_Liq'!$C$17,0),0)</f>
        <v>0</v>
      </c>
      <c r="W156" s="151" t="str">
        <f aca="false">IF(ISNUMBER(B156),B156*(1+1/'13_Mapa_Liq'!$B$17-'13_Mapa_Liq'!$B$6),"")</f>
        <v/>
      </c>
      <c r="X156" s="151" t="n">
        <f aca="false">IF(ISNUMBER(B156),IF(L156&lt;W156,J156*'13_Mapa_Liq'!$C$17,0),0)</f>
        <v>0</v>
      </c>
      <c r="Y156" s="151" t="str">
        <f aca="false">IF(ISNUMBER(B156),B156*(1-1/'13_Mapa_Liq'!$B$18+'13_Mapa_Liq'!$B$6),"")</f>
        <v/>
      </c>
      <c r="Z156" s="151" t="n">
        <f aca="false">IF(ISNUMBER(B156),IF(K156&gt;Y156,I156*'13_Mapa_Liq'!$C$18,0),0)</f>
        <v>0</v>
      </c>
      <c r="AA156" s="151" t="str">
        <f aca="false">IF(ISNUMBER(B156),B156*(1+1/'13_Mapa_Liq'!$B$18-'13_Mapa_Liq'!$B$6),"")</f>
        <v/>
      </c>
      <c r="AB156" s="151" t="n">
        <f aca="false">IF(ISNUMBER(B156),IF(L156&lt;AA156,J156*'13_Mapa_Liq'!$C$18,0),0)</f>
        <v>0</v>
      </c>
      <c r="AC156" s="151" t="str">
        <f aca="false">IF(ISNUMBER(B156),B156*(1-1/'13_Mapa_Liq'!$B$19+'13_Mapa_Liq'!$B$6),"")</f>
        <v/>
      </c>
      <c r="AD156" s="151" t="n">
        <f aca="false">IF(ISNUMBER(B156),IF(K156&gt;AC156,I156*'13_Mapa_Liq'!$C$19,0),0)</f>
        <v>0</v>
      </c>
      <c r="AE156" s="151" t="str">
        <f aca="false">IF(ISNUMBER(B156),B156*(1+1/'13_Mapa_Liq'!$B$19-'13_Mapa_Liq'!$B$6),"")</f>
        <v/>
      </c>
      <c r="AF156" s="151" t="n">
        <f aca="false">IF(ISNUMBER(B156),IF(L156&lt;AE156,J156*'13_Mapa_Liq'!$C$19,0),0)</f>
        <v>0</v>
      </c>
      <c r="AG156" s="151"/>
      <c r="AH156" s="151" t="n">
        <f aca="false">IF(ISNUMBER(B156),E156*F156*((K156&lt;=M156)*'13_Mapa_Liq'!$C$15+(K156&lt;=Q156)*'13_Mapa_Liq'!$C$16+(K156&lt;=U156)*'13_Mapa_Liq'!$C$17+(K156&lt;=Y156)*'13_Mapa_Liq'!$C$18+(K156&lt;=AC156)*'13_Mapa_Liq'!$C$19),0)</f>
        <v>0</v>
      </c>
      <c r="AI156" s="151" t="n">
        <f aca="false">IF(ISNUMBER(B156),E156*(1-F156)*((L156&gt;=O156)*'13_Mapa_Liq'!$C$15+(L156&gt;=S156)*'13_Mapa_Liq'!$C$16+(L156&gt;=W156)*'13_Mapa_Liq'!$C$17+(L156&gt;=AA156)*'13_Mapa_Liq'!$C$18+(L156&gt;=AE156)*'13_Mapa_Liq'!$C$19),0)</f>
        <v>0</v>
      </c>
    </row>
    <row r="157" customFormat="false" ht="15" hidden="false" customHeight="false" outlineLevel="0" collapsed="false">
      <c r="A157" s="151" t="str">
        <f aca="false">IF(ISNUMBER('12_Datos_5m'!F157),ROW()-4,"")</f>
        <v/>
      </c>
      <c r="B157" s="151" t="str">
        <f aca="false">IF(ISNUMBER('12_Datos_5m'!F157),'12_Datos_5m'!F157,"")</f>
        <v/>
      </c>
      <c r="C157" s="151" t="str">
        <f aca="false">IF(ISNUMBER('12_Datos_5m'!A157),'12_Datos_5m'!A157,"")</f>
        <v/>
      </c>
      <c r="D157" s="151" t="n">
        <f aca="false">IF(AND(ISNUMBER('12_Datos_5m'!I157),ISNUMBER('12_Datos_5m'!I156)),'12_Datos_5m'!I157-'12_Datos_5m'!I156,0)</f>
        <v>0</v>
      </c>
      <c r="E157" s="151" t="n">
        <f aca="false">MAX(0,D157)</f>
        <v>0</v>
      </c>
      <c r="F157" s="151" t="n">
        <f aca="false">IF(AND(ISNUMBER('12_Datos_5m'!G157),N('12_Datos_5m'!G157)&gt;0),'12_Datos_5m'!H157/'12_Datos_5m'!G157,0.5)</f>
        <v>0.5</v>
      </c>
      <c r="G157" s="151" t="n">
        <f aca="false">IF(ISNUMBER(C157),($C$2-C157)/3600000,0)</f>
        <v>0</v>
      </c>
      <c r="H157" s="151" t="n">
        <f aca="false">EXP(-G157/'13_Mapa_Liq'!$B$7)</f>
        <v>1</v>
      </c>
      <c r="I157" s="151" t="n">
        <f aca="false">E157*F157*H157</f>
        <v>0</v>
      </c>
      <c r="J157" s="151" t="n">
        <f aca="false">E157*(1-F157)*H157</f>
        <v>0</v>
      </c>
      <c r="K157" s="151" t="n">
        <f aca="false">IF(COUNT('12_Datos_5m'!E158:E$504)=0,1000000000000,MIN('12_Datos_5m'!E158:E$504))</f>
        <v>1000000000000</v>
      </c>
      <c r="L157" s="151" t="n">
        <f aca="false">IF(COUNT('12_Datos_5m'!D158:D$504)=0,0,MAX('12_Datos_5m'!D158:D$504))</f>
        <v>0</v>
      </c>
      <c r="M157" s="151" t="str">
        <f aca="false">IF(ISNUMBER(B157),B157*(1-1/'13_Mapa_Liq'!$B$15+'13_Mapa_Liq'!$B$6),"")</f>
        <v/>
      </c>
      <c r="N157" s="151" t="n">
        <f aca="false">IF(ISNUMBER(B157),IF(K157&gt;M157,I157*'13_Mapa_Liq'!$C$15,0),0)</f>
        <v>0</v>
      </c>
      <c r="O157" s="151" t="str">
        <f aca="false">IF(ISNUMBER(B157),B157*(1+1/'13_Mapa_Liq'!$B$15-'13_Mapa_Liq'!$B$6),"")</f>
        <v/>
      </c>
      <c r="P157" s="151" t="n">
        <f aca="false">IF(ISNUMBER(B157),IF(L157&lt;O157,J157*'13_Mapa_Liq'!$C$15,0),0)</f>
        <v>0</v>
      </c>
      <c r="Q157" s="151" t="str">
        <f aca="false">IF(ISNUMBER(B157),B157*(1-1/'13_Mapa_Liq'!$B$16+'13_Mapa_Liq'!$B$6),"")</f>
        <v/>
      </c>
      <c r="R157" s="151" t="n">
        <f aca="false">IF(ISNUMBER(B157),IF(K157&gt;Q157,I157*'13_Mapa_Liq'!$C$16,0),0)</f>
        <v>0</v>
      </c>
      <c r="S157" s="151" t="str">
        <f aca="false">IF(ISNUMBER(B157),B157*(1+1/'13_Mapa_Liq'!$B$16-'13_Mapa_Liq'!$B$6),"")</f>
        <v/>
      </c>
      <c r="T157" s="151" t="n">
        <f aca="false">IF(ISNUMBER(B157),IF(L157&lt;S157,J157*'13_Mapa_Liq'!$C$16,0),0)</f>
        <v>0</v>
      </c>
      <c r="U157" s="151" t="str">
        <f aca="false">IF(ISNUMBER(B157),B157*(1-1/'13_Mapa_Liq'!$B$17+'13_Mapa_Liq'!$B$6),"")</f>
        <v/>
      </c>
      <c r="V157" s="151" t="n">
        <f aca="false">IF(ISNUMBER(B157),IF(K157&gt;U157,I157*'13_Mapa_Liq'!$C$17,0),0)</f>
        <v>0</v>
      </c>
      <c r="W157" s="151" t="str">
        <f aca="false">IF(ISNUMBER(B157),B157*(1+1/'13_Mapa_Liq'!$B$17-'13_Mapa_Liq'!$B$6),"")</f>
        <v/>
      </c>
      <c r="X157" s="151" t="n">
        <f aca="false">IF(ISNUMBER(B157),IF(L157&lt;W157,J157*'13_Mapa_Liq'!$C$17,0),0)</f>
        <v>0</v>
      </c>
      <c r="Y157" s="151" t="str">
        <f aca="false">IF(ISNUMBER(B157),B157*(1-1/'13_Mapa_Liq'!$B$18+'13_Mapa_Liq'!$B$6),"")</f>
        <v/>
      </c>
      <c r="Z157" s="151" t="n">
        <f aca="false">IF(ISNUMBER(B157),IF(K157&gt;Y157,I157*'13_Mapa_Liq'!$C$18,0),0)</f>
        <v>0</v>
      </c>
      <c r="AA157" s="151" t="str">
        <f aca="false">IF(ISNUMBER(B157),B157*(1+1/'13_Mapa_Liq'!$B$18-'13_Mapa_Liq'!$B$6),"")</f>
        <v/>
      </c>
      <c r="AB157" s="151" t="n">
        <f aca="false">IF(ISNUMBER(B157),IF(L157&lt;AA157,J157*'13_Mapa_Liq'!$C$18,0),0)</f>
        <v>0</v>
      </c>
      <c r="AC157" s="151" t="str">
        <f aca="false">IF(ISNUMBER(B157),B157*(1-1/'13_Mapa_Liq'!$B$19+'13_Mapa_Liq'!$B$6),"")</f>
        <v/>
      </c>
      <c r="AD157" s="151" t="n">
        <f aca="false">IF(ISNUMBER(B157),IF(K157&gt;AC157,I157*'13_Mapa_Liq'!$C$19,0),0)</f>
        <v>0</v>
      </c>
      <c r="AE157" s="151" t="str">
        <f aca="false">IF(ISNUMBER(B157),B157*(1+1/'13_Mapa_Liq'!$B$19-'13_Mapa_Liq'!$B$6),"")</f>
        <v/>
      </c>
      <c r="AF157" s="151" t="n">
        <f aca="false">IF(ISNUMBER(B157),IF(L157&lt;AE157,J157*'13_Mapa_Liq'!$C$19,0),0)</f>
        <v>0</v>
      </c>
      <c r="AG157" s="151"/>
      <c r="AH157" s="151" t="n">
        <f aca="false">IF(ISNUMBER(B157),E157*F157*((K157&lt;=M157)*'13_Mapa_Liq'!$C$15+(K157&lt;=Q157)*'13_Mapa_Liq'!$C$16+(K157&lt;=U157)*'13_Mapa_Liq'!$C$17+(K157&lt;=Y157)*'13_Mapa_Liq'!$C$18+(K157&lt;=AC157)*'13_Mapa_Liq'!$C$19),0)</f>
        <v>0</v>
      </c>
      <c r="AI157" s="151" t="n">
        <f aca="false">IF(ISNUMBER(B157),E157*(1-F157)*((L157&gt;=O157)*'13_Mapa_Liq'!$C$15+(L157&gt;=S157)*'13_Mapa_Liq'!$C$16+(L157&gt;=W157)*'13_Mapa_Liq'!$C$17+(L157&gt;=AA157)*'13_Mapa_Liq'!$C$18+(L157&gt;=AE157)*'13_Mapa_Liq'!$C$19),0)</f>
        <v>0</v>
      </c>
    </row>
    <row r="158" customFormat="false" ht="15" hidden="false" customHeight="false" outlineLevel="0" collapsed="false">
      <c r="A158" s="151" t="str">
        <f aca="false">IF(ISNUMBER('12_Datos_5m'!F158),ROW()-4,"")</f>
        <v/>
      </c>
      <c r="B158" s="151" t="str">
        <f aca="false">IF(ISNUMBER('12_Datos_5m'!F158),'12_Datos_5m'!F158,"")</f>
        <v/>
      </c>
      <c r="C158" s="151" t="str">
        <f aca="false">IF(ISNUMBER('12_Datos_5m'!A158),'12_Datos_5m'!A158,"")</f>
        <v/>
      </c>
      <c r="D158" s="151" t="n">
        <f aca="false">IF(AND(ISNUMBER('12_Datos_5m'!I158),ISNUMBER('12_Datos_5m'!I157)),'12_Datos_5m'!I158-'12_Datos_5m'!I157,0)</f>
        <v>0</v>
      </c>
      <c r="E158" s="151" t="n">
        <f aca="false">MAX(0,D158)</f>
        <v>0</v>
      </c>
      <c r="F158" s="151" t="n">
        <f aca="false">IF(AND(ISNUMBER('12_Datos_5m'!G158),N('12_Datos_5m'!G158)&gt;0),'12_Datos_5m'!H158/'12_Datos_5m'!G158,0.5)</f>
        <v>0.5</v>
      </c>
      <c r="G158" s="151" t="n">
        <f aca="false">IF(ISNUMBER(C158),($C$2-C158)/3600000,0)</f>
        <v>0</v>
      </c>
      <c r="H158" s="151" t="n">
        <f aca="false">EXP(-G158/'13_Mapa_Liq'!$B$7)</f>
        <v>1</v>
      </c>
      <c r="I158" s="151" t="n">
        <f aca="false">E158*F158*H158</f>
        <v>0</v>
      </c>
      <c r="J158" s="151" t="n">
        <f aca="false">E158*(1-F158)*H158</f>
        <v>0</v>
      </c>
      <c r="K158" s="151" t="n">
        <f aca="false">IF(COUNT('12_Datos_5m'!E159:E$504)=0,1000000000000,MIN('12_Datos_5m'!E159:E$504))</f>
        <v>1000000000000</v>
      </c>
      <c r="L158" s="151" t="n">
        <f aca="false">IF(COUNT('12_Datos_5m'!D159:D$504)=0,0,MAX('12_Datos_5m'!D159:D$504))</f>
        <v>0</v>
      </c>
      <c r="M158" s="151" t="str">
        <f aca="false">IF(ISNUMBER(B158),B158*(1-1/'13_Mapa_Liq'!$B$15+'13_Mapa_Liq'!$B$6),"")</f>
        <v/>
      </c>
      <c r="N158" s="151" t="n">
        <f aca="false">IF(ISNUMBER(B158),IF(K158&gt;M158,I158*'13_Mapa_Liq'!$C$15,0),0)</f>
        <v>0</v>
      </c>
      <c r="O158" s="151" t="str">
        <f aca="false">IF(ISNUMBER(B158),B158*(1+1/'13_Mapa_Liq'!$B$15-'13_Mapa_Liq'!$B$6),"")</f>
        <v/>
      </c>
      <c r="P158" s="151" t="n">
        <f aca="false">IF(ISNUMBER(B158),IF(L158&lt;O158,J158*'13_Mapa_Liq'!$C$15,0),0)</f>
        <v>0</v>
      </c>
      <c r="Q158" s="151" t="str">
        <f aca="false">IF(ISNUMBER(B158),B158*(1-1/'13_Mapa_Liq'!$B$16+'13_Mapa_Liq'!$B$6),"")</f>
        <v/>
      </c>
      <c r="R158" s="151" t="n">
        <f aca="false">IF(ISNUMBER(B158),IF(K158&gt;Q158,I158*'13_Mapa_Liq'!$C$16,0),0)</f>
        <v>0</v>
      </c>
      <c r="S158" s="151" t="str">
        <f aca="false">IF(ISNUMBER(B158),B158*(1+1/'13_Mapa_Liq'!$B$16-'13_Mapa_Liq'!$B$6),"")</f>
        <v/>
      </c>
      <c r="T158" s="151" t="n">
        <f aca="false">IF(ISNUMBER(B158),IF(L158&lt;S158,J158*'13_Mapa_Liq'!$C$16,0),0)</f>
        <v>0</v>
      </c>
      <c r="U158" s="151" t="str">
        <f aca="false">IF(ISNUMBER(B158),B158*(1-1/'13_Mapa_Liq'!$B$17+'13_Mapa_Liq'!$B$6),"")</f>
        <v/>
      </c>
      <c r="V158" s="151" t="n">
        <f aca="false">IF(ISNUMBER(B158),IF(K158&gt;U158,I158*'13_Mapa_Liq'!$C$17,0),0)</f>
        <v>0</v>
      </c>
      <c r="W158" s="151" t="str">
        <f aca="false">IF(ISNUMBER(B158),B158*(1+1/'13_Mapa_Liq'!$B$17-'13_Mapa_Liq'!$B$6),"")</f>
        <v/>
      </c>
      <c r="X158" s="151" t="n">
        <f aca="false">IF(ISNUMBER(B158),IF(L158&lt;W158,J158*'13_Mapa_Liq'!$C$17,0),0)</f>
        <v>0</v>
      </c>
      <c r="Y158" s="151" t="str">
        <f aca="false">IF(ISNUMBER(B158),B158*(1-1/'13_Mapa_Liq'!$B$18+'13_Mapa_Liq'!$B$6),"")</f>
        <v/>
      </c>
      <c r="Z158" s="151" t="n">
        <f aca="false">IF(ISNUMBER(B158),IF(K158&gt;Y158,I158*'13_Mapa_Liq'!$C$18,0),0)</f>
        <v>0</v>
      </c>
      <c r="AA158" s="151" t="str">
        <f aca="false">IF(ISNUMBER(B158),B158*(1+1/'13_Mapa_Liq'!$B$18-'13_Mapa_Liq'!$B$6),"")</f>
        <v/>
      </c>
      <c r="AB158" s="151" t="n">
        <f aca="false">IF(ISNUMBER(B158),IF(L158&lt;AA158,J158*'13_Mapa_Liq'!$C$18,0),0)</f>
        <v>0</v>
      </c>
      <c r="AC158" s="151" t="str">
        <f aca="false">IF(ISNUMBER(B158),B158*(1-1/'13_Mapa_Liq'!$B$19+'13_Mapa_Liq'!$B$6),"")</f>
        <v/>
      </c>
      <c r="AD158" s="151" t="n">
        <f aca="false">IF(ISNUMBER(B158),IF(K158&gt;AC158,I158*'13_Mapa_Liq'!$C$19,0),0)</f>
        <v>0</v>
      </c>
      <c r="AE158" s="151" t="str">
        <f aca="false">IF(ISNUMBER(B158),B158*(1+1/'13_Mapa_Liq'!$B$19-'13_Mapa_Liq'!$B$6),"")</f>
        <v/>
      </c>
      <c r="AF158" s="151" t="n">
        <f aca="false">IF(ISNUMBER(B158),IF(L158&lt;AE158,J158*'13_Mapa_Liq'!$C$19,0),0)</f>
        <v>0</v>
      </c>
      <c r="AG158" s="151"/>
      <c r="AH158" s="151" t="n">
        <f aca="false">IF(ISNUMBER(B158),E158*F158*((K158&lt;=M158)*'13_Mapa_Liq'!$C$15+(K158&lt;=Q158)*'13_Mapa_Liq'!$C$16+(K158&lt;=U158)*'13_Mapa_Liq'!$C$17+(K158&lt;=Y158)*'13_Mapa_Liq'!$C$18+(K158&lt;=AC158)*'13_Mapa_Liq'!$C$19),0)</f>
        <v>0</v>
      </c>
      <c r="AI158" s="151" t="n">
        <f aca="false">IF(ISNUMBER(B158),E158*(1-F158)*((L158&gt;=O158)*'13_Mapa_Liq'!$C$15+(L158&gt;=S158)*'13_Mapa_Liq'!$C$16+(L158&gt;=W158)*'13_Mapa_Liq'!$C$17+(L158&gt;=AA158)*'13_Mapa_Liq'!$C$18+(L158&gt;=AE158)*'13_Mapa_Liq'!$C$19),0)</f>
        <v>0</v>
      </c>
    </row>
    <row r="159" customFormat="false" ht="15" hidden="false" customHeight="false" outlineLevel="0" collapsed="false">
      <c r="A159" s="151" t="str">
        <f aca="false">IF(ISNUMBER('12_Datos_5m'!F159),ROW()-4,"")</f>
        <v/>
      </c>
      <c r="B159" s="151" t="str">
        <f aca="false">IF(ISNUMBER('12_Datos_5m'!F159),'12_Datos_5m'!F159,"")</f>
        <v/>
      </c>
      <c r="C159" s="151" t="str">
        <f aca="false">IF(ISNUMBER('12_Datos_5m'!A159),'12_Datos_5m'!A159,"")</f>
        <v/>
      </c>
      <c r="D159" s="151" t="n">
        <f aca="false">IF(AND(ISNUMBER('12_Datos_5m'!I159),ISNUMBER('12_Datos_5m'!I158)),'12_Datos_5m'!I159-'12_Datos_5m'!I158,0)</f>
        <v>0</v>
      </c>
      <c r="E159" s="151" t="n">
        <f aca="false">MAX(0,D159)</f>
        <v>0</v>
      </c>
      <c r="F159" s="151" t="n">
        <f aca="false">IF(AND(ISNUMBER('12_Datos_5m'!G159),N('12_Datos_5m'!G159)&gt;0),'12_Datos_5m'!H159/'12_Datos_5m'!G159,0.5)</f>
        <v>0.5</v>
      </c>
      <c r="G159" s="151" t="n">
        <f aca="false">IF(ISNUMBER(C159),($C$2-C159)/3600000,0)</f>
        <v>0</v>
      </c>
      <c r="H159" s="151" t="n">
        <f aca="false">EXP(-G159/'13_Mapa_Liq'!$B$7)</f>
        <v>1</v>
      </c>
      <c r="I159" s="151" t="n">
        <f aca="false">E159*F159*H159</f>
        <v>0</v>
      </c>
      <c r="J159" s="151" t="n">
        <f aca="false">E159*(1-F159)*H159</f>
        <v>0</v>
      </c>
      <c r="K159" s="151" t="n">
        <f aca="false">IF(COUNT('12_Datos_5m'!E160:E$504)=0,1000000000000,MIN('12_Datos_5m'!E160:E$504))</f>
        <v>1000000000000</v>
      </c>
      <c r="L159" s="151" t="n">
        <f aca="false">IF(COUNT('12_Datos_5m'!D160:D$504)=0,0,MAX('12_Datos_5m'!D160:D$504))</f>
        <v>0</v>
      </c>
      <c r="M159" s="151" t="str">
        <f aca="false">IF(ISNUMBER(B159),B159*(1-1/'13_Mapa_Liq'!$B$15+'13_Mapa_Liq'!$B$6),"")</f>
        <v/>
      </c>
      <c r="N159" s="151" t="n">
        <f aca="false">IF(ISNUMBER(B159),IF(K159&gt;M159,I159*'13_Mapa_Liq'!$C$15,0),0)</f>
        <v>0</v>
      </c>
      <c r="O159" s="151" t="str">
        <f aca="false">IF(ISNUMBER(B159),B159*(1+1/'13_Mapa_Liq'!$B$15-'13_Mapa_Liq'!$B$6),"")</f>
        <v/>
      </c>
      <c r="P159" s="151" t="n">
        <f aca="false">IF(ISNUMBER(B159),IF(L159&lt;O159,J159*'13_Mapa_Liq'!$C$15,0),0)</f>
        <v>0</v>
      </c>
      <c r="Q159" s="151" t="str">
        <f aca="false">IF(ISNUMBER(B159),B159*(1-1/'13_Mapa_Liq'!$B$16+'13_Mapa_Liq'!$B$6),"")</f>
        <v/>
      </c>
      <c r="R159" s="151" t="n">
        <f aca="false">IF(ISNUMBER(B159),IF(K159&gt;Q159,I159*'13_Mapa_Liq'!$C$16,0),0)</f>
        <v>0</v>
      </c>
      <c r="S159" s="151" t="str">
        <f aca="false">IF(ISNUMBER(B159),B159*(1+1/'13_Mapa_Liq'!$B$16-'13_Mapa_Liq'!$B$6),"")</f>
        <v/>
      </c>
      <c r="T159" s="151" t="n">
        <f aca="false">IF(ISNUMBER(B159),IF(L159&lt;S159,J159*'13_Mapa_Liq'!$C$16,0),0)</f>
        <v>0</v>
      </c>
      <c r="U159" s="151" t="str">
        <f aca="false">IF(ISNUMBER(B159),B159*(1-1/'13_Mapa_Liq'!$B$17+'13_Mapa_Liq'!$B$6),"")</f>
        <v/>
      </c>
      <c r="V159" s="151" t="n">
        <f aca="false">IF(ISNUMBER(B159),IF(K159&gt;U159,I159*'13_Mapa_Liq'!$C$17,0),0)</f>
        <v>0</v>
      </c>
      <c r="W159" s="151" t="str">
        <f aca="false">IF(ISNUMBER(B159),B159*(1+1/'13_Mapa_Liq'!$B$17-'13_Mapa_Liq'!$B$6),"")</f>
        <v/>
      </c>
      <c r="X159" s="151" t="n">
        <f aca="false">IF(ISNUMBER(B159),IF(L159&lt;W159,J159*'13_Mapa_Liq'!$C$17,0),0)</f>
        <v>0</v>
      </c>
      <c r="Y159" s="151" t="str">
        <f aca="false">IF(ISNUMBER(B159),B159*(1-1/'13_Mapa_Liq'!$B$18+'13_Mapa_Liq'!$B$6),"")</f>
        <v/>
      </c>
      <c r="Z159" s="151" t="n">
        <f aca="false">IF(ISNUMBER(B159),IF(K159&gt;Y159,I159*'13_Mapa_Liq'!$C$18,0),0)</f>
        <v>0</v>
      </c>
      <c r="AA159" s="151" t="str">
        <f aca="false">IF(ISNUMBER(B159),B159*(1+1/'13_Mapa_Liq'!$B$18-'13_Mapa_Liq'!$B$6),"")</f>
        <v/>
      </c>
      <c r="AB159" s="151" t="n">
        <f aca="false">IF(ISNUMBER(B159),IF(L159&lt;AA159,J159*'13_Mapa_Liq'!$C$18,0),0)</f>
        <v>0</v>
      </c>
      <c r="AC159" s="151" t="str">
        <f aca="false">IF(ISNUMBER(B159),B159*(1-1/'13_Mapa_Liq'!$B$19+'13_Mapa_Liq'!$B$6),"")</f>
        <v/>
      </c>
      <c r="AD159" s="151" t="n">
        <f aca="false">IF(ISNUMBER(B159),IF(K159&gt;AC159,I159*'13_Mapa_Liq'!$C$19,0),0)</f>
        <v>0</v>
      </c>
      <c r="AE159" s="151" t="str">
        <f aca="false">IF(ISNUMBER(B159),B159*(1+1/'13_Mapa_Liq'!$B$19-'13_Mapa_Liq'!$B$6),"")</f>
        <v/>
      </c>
      <c r="AF159" s="151" t="n">
        <f aca="false">IF(ISNUMBER(B159),IF(L159&lt;AE159,J159*'13_Mapa_Liq'!$C$19,0),0)</f>
        <v>0</v>
      </c>
      <c r="AG159" s="151"/>
      <c r="AH159" s="151" t="n">
        <f aca="false">IF(ISNUMBER(B159),E159*F159*((K159&lt;=M159)*'13_Mapa_Liq'!$C$15+(K159&lt;=Q159)*'13_Mapa_Liq'!$C$16+(K159&lt;=U159)*'13_Mapa_Liq'!$C$17+(K159&lt;=Y159)*'13_Mapa_Liq'!$C$18+(K159&lt;=AC159)*'13_Mapa_Liq'!$C$19),0)</f>
        <v>0</v>
      </c>
      <c r="AI159" s="151" t="n">
        <f aca="false">IF(ISNUMBER(B159),E159*(1-F159)*((L159&gt;=O159)*'13_Mapa_Liq'!$C$15+(L159&gt;=S159)*'13_Mapa_Liq'!$C$16+(L159&gt;=W159)*'13_Mapa_Liq'!$C$17+(L159&gt;=AA159)*'13_Mapa_Liq'!$C$18+(L159&gt;=AE159)*'13_Mapa_Liq'!$C$19),0)</f>
        <v>0</v>
      </c>
    </row>
    <row r="160" customFormat="false" ht="15" hidden="false" customHeight="false" outlineLevel="0" collapsed="false">
      <c r="A160" s="151" t="str">
        <f aca="false">IF(ISNUMBER('12_Datos_5m'!F160),ROW()-4,"")</f>
        <v/>
      </c>
      <c r="B160" s="151" t="str">
        <f aca="false">IF(ISNUMBER('12_Datos_5m'!F160),'12_Datos_5m'!F160,"")</f>
        <v/>
      </c>
      <c r="C160" s="151" t="str">
        <f aca="false">IF(ISNUMBER('12_Datos_5m'!A160),'12_Datos_5m'!A160,"")</f>
        <v/>
      </c>
      <c r="D160" s="151" t="n">
        <f aca="false">IF(AND(ISNUMBER('12_Datos_5m'!I160),ISNUMBER('12_Datos_5m'!I159)),'12_Datos_5m'!I160-'12_Datos_5m'!I159,0)</f>
        <v>0</v>
      </c>
      <c r="E160" s="151" t="n">
        <f aca="false">MAX(0,D160)</f>
        <v>0</v>
      </c>
      <c r="F160" s="151" t="n">
        <f aca="false">IF(AND(ISNUMBER('12_Datos_5m'!G160),N('12_Datos_5m'!G160)&gt;0),'12_Datos_5m'!H160/'12_Datos_5m'!G160,0.5)</f>
        <v>0.5</v>
      </c>
      <c r="G160" s="151" t="n">
        <f aca="false">IF(ISNUMBER(C160),($C$2-C160)/3600000,0)</f>
        <v>0</v>
      </c>
      <c r="H160" s="151" t="n">
        <f aca="false">EXP(-G160/'13_Mapa_Liq'!$B$7)</f>
        <v>1</v>
      </c>
      <c r="I160" s="151" t="n">
        <f aca="false">E160*F160*H160</f>
        <v>0</v>
      </c>
      <c r="J160" s="151" t="n">
        <f aca="false">E160*(1-F160)*H160</f>
        <v>0</v>
      </c>
      <c r="K160" s="151" t="n">
        <f aca="false">IF(COUNT('12_Datos_5m'!E161:E$504)=0,1000000000000,MIN('12_Datos_5m'!E161:E$504))</f>
        <v>1000000000000</v>
      </c>
      <c r="L160" s="151" t="n">
        <f aca="false">IF(COUNT('12_Datos_5m'!D161:D$504)=0,0,MAX('12_Datos_5m'!D161:D$504))</f>
        <v>0</v>
      </c>
      <c r="M160" s="151" t="str">
        <f aca="false">IF(ISNUMBER(B160),B160*(1-1/'13_Mapa_Liq'!$B$15+'13_Mapa_Liq'!$B$6),"")</f>
        <v/>
      </c>
      <c r="N160" s="151" t="n">
        <f aca="false">IF(ISNUMBER(B160),IF(K160&gt;M160,I160*'13_Mapa_Liq'!$C$15,0),0)</f>
        <v>0</v>
      </c>
      <c r="O160" s="151" t="str">
        <f aca="false">IF(ISNUMBER(B160),B160*(1+1/'13_Mapa_Liq'!$B$15-'13_Mapa_Liq'!$B$6),"")</f>
        <v/>
      </c>
      <c r="P160" s="151" t="n">
        <f aca="false">IF(ISNUMBER(B160),IF(L160&lt;O160,J160*'13_Mapa_Liq'!$C$15,0),0)</f>
        <v>0</v>
      </c>
      <c r="Q160" s="151" t="str">
        <f aca="false">IF(ISNUMBER(B160),B160*(1-1/'13_Mapa_Liq'!$B$16+'13_Mapa_Liq'!$B$6),"")</f>
        <v/>
      </c>
      <c r="R160" s="151" t="n">
        <f aca="false">IF(ISNUMBER(B160),IF(K160&gt;Q160,I160*'13_Mapa_Liq'!$C$16,0),0)</f>
        <v>0</v>
      </c>
      <c r="S160" s="151" t="str">
        <f aca="false">IF(ISNUMBER(B160),B160*(1+1/'13_Mapa_Liq'!$B$16-'13_Mapa_Liq'!$B$6),"")</f>
        <v/>
      </c>
      <c r="T160" s="151" t="n">
        <f aca="false">IF(ISNUMBER(B160),IF(L160&lt;S160,J160*'13_Mapa_Liq'!$C$16,0),0)</f>
        <v>0</v>
      </c>
      <c r="U160" s="151" t="str">
        <f aca="false">IF(ISNUMBER(B160),B160*(1-1/'13_Mapa_Liq'!$B$17+'13_Mapa_Liq'!$B$6),"")</f>
        <v/>
      </c>
      <c r="V160" s="151" t="n">
        <f aca="false">IF(ISNUMBER(B160),IF(K160&gt;U160,I160*'13_Mapa_Liq'!$C$17,0),0)</f>
        <v>0</v>
      </c>
      <c r="W160" s="151" t="str">
        <f aca="false">IF(ISNUMBER(B160),B160*(1+1/'13_Mapa_Liq'!$B$17-'13_Mapa_Liq'!$B$6),"")</f>
        <v/>
      </c>
      <c r="X160" s="151" t="n">
        <f aca="false">IF(ISNUMBER(B160),IF(L160&lt;W160,J160*'13_Mapa_Liq'!$C$17,0),0)</f>
        <v>0</v>
      </c>
      <c r="Y160" s="151" t="str">
        <f aca="false">IF(ISNUMBER(B160),B160*(1-1/'13_Mapa_Liq'!$B$18+'13_Mapa_Liq'!$B$6),"")</f>
        <v/>
      </c>
      <c r="Z160" s="151" t="n">
        <f aca="false">IF(ISNUMBER(B160),IF(K160&gt;Y160,I160*'13_Mapa_Liq'!$C$18,0),0)</f>
        <v>0</v>
      </c>
      <c r="AA160" s="151" t="str">
        <f aca="false">IF(ISNUMBER(B160),B160*(1+1/'13_Mapa_Liq'!$B$18-'13_Mapa_Liq'!$B$6),"")</f>
        <v/>
      </c>
      <c r="AB160" s="151" t="n">
        <f aca="false">IF(ISNUMBER(B160),IF(L160&lt;AA160,J160*'13_Mapa_Liq'!$C$18,0),0)</f>
        <v>0</v>
      </c>
      <c r="AC160" s="151" t="str">
        <f aca="false">IF(ISNUMBER(B160),B160*(1-1/'13_Mapa_Liq'!$B$19+'13_Mapa_Liq'!$B$6),"")</f>
        <v/>
      </c>
      <c r="AD160" s="151" t="n">
        <f aca="false">IF(ISNUMBER(B160),IF(K160&gt;AC160,I160*'13_Mapa_Liq'!$C$19,0),0)</f>
        <v>0</v>
      </c>
      <c r="AE160" s="151" t="str">
        <f aca="false">IF(ISNUMBER(B160),B160*(1+1/'13_Mapa_Liq'!$B$19-'13_Mapa_Liq'!$B$6),"")</f>
        <v/>
      </c>
      <c r="AF160" s="151" t="n">
        <f aca="false">IF(ISNUMBER(B160),IF(L160&lt;AE160,J160*'13_Mapa_Liq'!$C$19,0),0)</f>
        <v>0</v>
      </c>
      <c r="AG160" s="151"/>
      <c r="AH160" s="151" t="n">
        <f aca="false">IF(ISNUMBER(B160),E160*F160*((K160&lt;=M160)*'13_Mapa_Liq'!$C$15+(K160&lt;=Q160)*'13_Mapa_Liq'!$C$16+(K160&lt;=U160)*'13_Mapa_Liq'!$C$17+(K160&lt;=Y160)*'13_Mapa_Liq'!$C$18+(K160&lt;=AC160)*'13_Mapa_Liq'!$C$19),0)</f>
        <v>0</v>
      </c>
      <c r="AI160" s="151" t="n">
        <f aca="false">IF(ISNUMBER(B160),E160*(1-F160)*((L160&gt;=O160)*'13_Mapa_Liq'!$C$15+(L160&gt;=S160)*'13_Mapa_Liq'!$C$16+(L160&gt;=W160)*'13_Mapa_Liq'!$C$17+(L160&gt;=AA160)*'13_Mapa_Liq'!$C$18+(L160&gt;=AE160)*'13_Mapa_Liq'!$C$19),0)</f>
        <v>0</v>
      </c>
    </row>
    <row r="161" customFormat="false" ht="15" hidden="false" customHeight="false" outlineLevel="0" collapsed="false">
      <c r="A161" s="151" t="str">
        <f aca="false">IF(ISNUMBER('12_Datos_5m'!F161),ROW()-4,"")</f>
        <v/>
      </c>
      <c r="B161" s="151" t="str">
        <f aca="false">IF(ISNUMBER('12_Datos_5m'!F161),'12_Datos_5m'!F161,"")</f>
        <v/>
      </c>
      <c r="C161" s="151" t="str">
        <f aca="false">IF(ISNUMBER('12_Datos_5m'!A161),'12_Datos_5m'!A161,"")</f>
        <v/>
      </c>
      <c r="D161" s="151" t="n">
        <f aca="false">IF(AND(ISNUMBER('12_Datos_5m'!I161),ISNUMBER('12_Datos_5m'!I160)),'12_Datos_5m'!I161-'12_Datos_5m'!I160,0)</f>
        <v>0</v>
      </c>
      <c r="E161" s="151" t="n">
        <f aca="false">MAX(0,D161)</f>
        <v>0</v>
      </c>
      <c r="F161" s="151" t="n">
        <f aca="false">IF(AND(ISNUMBER('12_Datos_5m'!G161),N('12_Datos_5m'!G161)&gt;0),'12_Datos_5m'!H161/'12_Datos_5m'!G161,0.5)</f>
        <v>0.5</v>
      </c>
      <c r="G161" s="151" t="n">
        <f aca="false">IF(ISNUMBER(C161),($C$2-C161)/3600000,0)</f>
        <v>0</v>
      </c>
      <c r="H161" s="151" t="n">
        <f aca="false">EXP(-G161/'13_Mapa_Liq'!$B$7)</f>
        <v>1</v>
      </c>
      <c r="I161" s="151" t="n">
        <f aca="false">E161*F161*H161</f>
        <v>0</v>
      </c>
      <c r="J161" s="151" t="n">
        <f aca="false">E161*(1-F161)*H161</f>
        <v>0</v>
      </c>
      <c r="K161" s="151" t="n">
        <f aca="false">IF(COUNT('12_Datos_5m'!E162:E$504)=0,1000000000000,MIN('12_Datos_5m'!E162:E$504))</f>
        <v>1000000000000</v>
      </c>
      <c r="L161" s="151" t="n">
        <f aca="false">IF(COUNT('12_Datos_5m'!D162:D$504)=0,0,MAX('12_Datos_5m'!D162:D$504))</f>
        <v>0</v>
      </c>
      <c r="M161" s="151" t="str">
        <f aca="false">IF(ISNUMBER(B161),B161*(1-1/'13_Mapa_Liq'!$B$15+'13_Mapa_Liq'!$B$6),"")</f>
        <v/>
      </c>
      <c r="N161" s="151" t="n">
        <f aca="false">IF(ISNUMBER(B161),IF(K161&gt;M161,I161*'13_Mapa_Liq'!$C$15,0),0)</f>
        <v>0</v>
      </c>
      <c r="O161" s="151" t="str">
        <f aca="false">IF(ISNUMBER(B161),B161*(1+1/'13_Mapa_Liq'!$B$15-'13_Mapa_Liq'!$B$6),"")</f>
        <v/>
      </c>
      <c r="P161" s="151" t="n">
        <f aca="false">IF(ISNUMBER(B161),IF(L161&lt;O161,J161*'13_Mapa_Liq'!$C$15,0),0)</f>
        <v>0</v>
      </c>
      <c r="Q161" s="151" t="str">
        <f aca="false">IF(ISNUMBER(B161),B161*(1-1/'13_Mapa_Liq'!$B$16+'13_Mapa_Liq'!$B$6),"")</f>
        <v/>
      </c>
      <c r="R161" s="151" t="n">
        <f aca="false">IF(ISNUMBER(B161),IF(K161&gt;Q161,I161*'13_Mapa_Liq'!$C$16,0),0)</f>
        <v>0</v>
      </c>
      <c r="S161" s="151" t="str">
        <f aca="false">IF(ISNUMBER(B161),B161*(1+1/'13_Mapa_Liq'!$B$16-'13_Mapa_Liq'!$B$6),"")</f>
        <v/>
      </c>
      <c r="T161" s="151" t="n">
        <f aca="false">IF(ISNUMBER(B161),IF(L161&lt;S161,J161*'13_Mapa_Liq'!$C$16,0),0)</f>
        <v>0</v>
      </c>
      <c r="U161" s="151" t="str">
        <f aca="false">IF(ISNUMBER(B161),B161*(1-1/'13_Mapa_Liq'!$B$17+'13_Mapa_Liq'!$B$6),"")</f>
        <v/>
      </c>
      <c r="V161" s="151" t="n">
        <f aca="false">IF(ISNUMBER(B161),IF(K161&gt;U161,I161*'13_Mapa_Liq'!$C$17,0),0)</f>
        <v>0</v>
      </c>
      <c r="W161" s="151" t="str">
        <f aca="false">IF(ISNUMBER(B161),B161*(1+1/'13_Mapa_Liq'!$B$17-'13_Mapa_Liq'!$B$6),"")</f>
        <v/>
      </c>
      <c r="X161" s="151" t="n">
        <f aca="false">IF(ISNUMBER(B161),IF(L161&lt;W161,J161*'13_Mapa_Liq'!$C$17,0),0)</f>
        <v>0</v>
      </c>
      <c r="Y161" s="151" t="str">
        <f aca="false">IF(ISNUMBER(B161),B161*(1-1/'13_Mapa_Liq'!$B$18+'13_Mapa_Liq'!$B$6),"")</f>
        <v/>
      </c>
      <c r="Z161" s="151" t="n">
        <f aca="false">IF(ISNUMBER(B161),IF(K161&gt;Y161,I161*'13_Mapa_Liq'!$C$18,0),0)</f>
        <v>0</v>
      </c>
      <c r="AA161" s="151" t="str">
        <f aca="false">IF(ISNUMBER(B161),B161*(1+1/'13_Mapa_Liq'!$B$18-'13_Mapa_Liq'!$B$6),"")</f>
        <v/>
      </c>
      <c r="AB161" s="151" t="n">
        <f aca="false">IF(ISNUMBER(B161),IF(L161&lt;AA161,J161*'13_Mapa_Liq'!$C$18,0),0)</f>
        <v>0</v>
      </c>
      <c r="AC161" s="151" t="str">
        <f aca="false">IF(ISNUMBER(B161),B161*(1-1/'13_Mapa_Liq'!$B$19+'13_Mapa_Liq'!$B$6),"")</f>
        <v/>
      </c>
      <c r="AD161" s="151" t="n">
        <f aca="false">IF(ISNUMBER(B161),IF(K161&gt;AC161,I161*'13_Mapa_Liq'!$C$19,0),0)</f>
        <v>0</v>
      </c>
      <c r="AE161" s="151" t="str">
        <f aca="false">IF(ISNUMBER(B161),B161*(1+1/'13_Mapa_Liq'!$B$19-'13_Mapa_Liq'!$B$6),"")</f>
        <v/>
      </c>
      <c r="AF161" s="151" t="n">
        <f aca="false">IF(ISNUMBER(B161),IF(L161&lt;AE161,J161*'13_Mapa_Liq'!$C$19,0),0)</f>
        <v>0</v>
      </c>
      <c r="AG161" s="151"/>
      <c r="AH161" s="151" t="n">
        <f aca="false">IF(ISNUMBER(B161),E161*F161*((K161&lt;=M161)*'13_Mapa_Liq'!$C$15+(K161&lt;=Q161)*'13_Mapa_Liq'!$C$16+(K161&lt;=U161)*'13_Mapa_Liq'!$C$17+(K161&lt;=Y161)*'13_Mapa_Liq'!$C$18+(K161&lt;=AC161)*'13_Mapa_Liq'!$C$19),0)</f>
        <v>0</v>
      </c>
      <c r="AI161" s="151" t="n">
        <f aca="false">IF(ISNUMBER(B161),E161*(1-F161)*((L161&gt;=O161)*'13_Mapa_Liq'!$C$15+(L161&gt;=S161)*'13_Mapa_Liq'!$C$16+(L161&gt;=W161)*'13_Mapa_Liq'!$C$17+(L161&gt;=AA161)*'13_Mapa_Liq'!$C$18+(L161&gt;=AE161)*'13_Mapa_Liq'!$C$19),0)</f>
        <v>0</v>
      </c>
    </row>
    <row r="162" customFormat="false" ht="15" hidden="false" customHeight="false" outlineLevel="0" collapsed="false">
      <c r="A162" s="151" t="str">
        <f aca="false">IF(ISNUMBER('12_Datos_5m'!F162),ROW()-4,"")</f>
        <v/>
      </c>
      <c r="B162" s="151" t="str">
        <f aca="false">IF(ISNUMBER('12_Datos_5m'!F162),'12_Datos_5m'!F162,"")</f>
        <v/>
      </c>
      <c r="C162" s="151" t="str">
        <f aca="false">IF(ISNUMBER('12_Datos_5m'!A162),'12_Datos_5m'!A162,"")</f>
        <v/>
      </c>
      <c r="D162" s="151" t="n">
        <f aca="false">IF(AND(ISNUMBER('12_Datos_5m'!I162),ISNUMBER('12_Datos_5m'!I161)),'12_Datos_5m'!I162-'12_Datos_5m'!I161,0)</f>
        <v>0</v>
      </c>
      <c r="E162" s="151" t="n">
        <f aca="false">MAX(0,D162)</f>
        <v>0</v>
      </c>
      <c r="F162" s="151" t="n">
        <f aca="false">IF(AND(ISNUMBER('12_Datos_5m'!G162),N('12_Datos_5m'!G162)&gt;0),'12_Datos_5m'!H162/'12_Datos_5m'!G162,0.5)</f>
        <v>0.5</v>
      </c>
      <c r="G162" s="151" t="n">
        <f aca="false">IF(ISNUMBER(C162),($C$2-C162)/3600000,0)</f>
        <v>0</v>
      </c>
      <c r="H162" s="151" t="n">
        <f aca="false">EXP(-G162/'13_Mapa_Liq'!$B$7)</f>
        <v>1</v>
      </c>
      <c r="I162" s="151" t="n">
        <f aca="false">E162*F162*H162</f>
        <v>0</v>
      </c>
      <c r="J162" s="151" t="n">
        <f aca="false">E162*(1-F162)*H162</f>
        <v>0</v>
      </c>
      <c r="K162" s="151" t="n">
        <f aca="false">IF(COUNT('12_Datos_5m'!E163:E$504)=0,1000000000000,MIN('12_Datos_5m'!E163:E$504))</f>
        <v>1000000000000</v>
      </c>
      <c r="L162" s="151" t="n">
        <f aca="false">IF(COUNT('12_Datos_5m'!D163:D$504)=0,0,MAX('12_Datos_5m'!D163:D$504))</f>
        <v>0</v>
      </c>
      <c r="M162" s="151" t="str">
        <f aca="false">IF(ISNUMBER(B162),B162*(1-1/'13_Mapa_Liq'!$B$15+'13_Mapa_Liq'!$B$6),"")</f>
        <v/>
      </c>
      <c r="N162" s="151" t="n">
        <f aca="false">IF(ISNUMBER(B162),IF(K162&gt;M162,I162*'13_Mapa_Liq'!$C$15,0),0)</f>
        <v>0</v>
      </c>
      <c r="O162" s="151" t="str">
        <f aca="false">IF(ISNUMBER(B162),B162*(1+1/'13_Mapa_Liq'!$B$15-'13_Mapa_Liq'!$B$6),"")</f>
        <v/>
      </c>
      <c r="P162" s="151" t="n">
        <f aca="false">IF(ISNUMBER(B162),IF(L162&lt;O162,J162*'13_Mapa_Liq'!$C$15,0),0)</f>
        <v>0</v>
      </c>
      <c r="Q162" s="151" t="str">
        <f aca="false">IF(ISNUMBER(B162),B162*(1-1/'13_Mapa_Liq'!$B$16+'13_Mapa_Liq'!$B$6),"")</f>
        <v/>
      </c>
      <c r="R162" s="151" t="n">
        <f aca="false">IF(ISNUMBER(B162),IF(K162&gt;Q162,I162*'13_Mapa_Liq'!$C$16,0),0)</f>
        <v>0</v>
      </c>
      <c r="S162" s="151" t="str">
        <f aca="false">IF(ISNUMBER(B162),B162*(1+1/'13_Mapa_Liq'!$B$16-'13_Mapa_Liq'!$B$6),"")</f>
        <v/>
      </c>
      <c r="T162" s="151" t="n">
        <f aca="false">IF(ISNUMBER(B162),IF(L162&lt;S162,J162*'13_Mapa_Liq'!$C$16,0),0)</f>
        <v>0</v>
      </c>
      <c r="U162" s="151" t="str">
        <f aca="false">IF(ISNUMBER(B162),B162*(1-1/'13_Mapa_Liq'!$B$17+'13_Mapa_Liq'!$B$6),"")</f>
        <v/>
      </c>
      <c r="V162" s="151" t="n">
        <f aca="false">IF(ISNUMBER(B162),IF(K162&gt;U162,I162*'13_Mapa_Liq'!$C$17,0),0)</f>
        <v>0</v>
      </c>
      <c r="W162" s="151" t="str">
        <f aca="false">IF(ISNUMBER(B162),B162*(1+1/'13_Mapa_Liq'!$B$17-'13_Mapa_Liq'!$B$6),"")</f>
        <v/>
      </c>
      <c r="X162" s="151" t="n">
        <f aca="false">IF(ISNUMBER(B162),IF(L162&lt;W162,J162*'13_Mapa_Liq'!$C$17,0),0)</f>
        <v>0</v>
      </c>
      <c r="Y162" s="151" t="str">
        <f aca="false">IF(ISNUMBER(B162),B162*(1-1/'13_Mapa_Liq'!$B$18+'13_Mapa_Liq'!$B$6),"")</f>
        <v/>
      </c>
      <c r="Z162" s="151" t="n">
        <f aca="false">IF(ISNUMBER(B162),IF(K162&gt;Y162,I162*'13_Mapa_Liq'!$C$18,0),0)</f>
        <v>0</v>
      </c>
      <c r="AA162" s="151" t="str">
        <f aca="false">IF(ISNUMBER(B162),B162*(1+1/'13_Mapa_Liq'!$B$18-'13_Mapa_Liq'!$B$6),"")</f>
        <v/>
      </c>
      <c r="AB162" s="151" t="n">
        <f aca="false">IF(ISNUMBER(B162),IF(L162&lt;AA162,J162*'13_Mapa_Liq'!$C$18,0),0)</f>
        <v>0</v>
      </c>
      <c r="AC162" s="151" t="str">
        <f aca="false">IF(ISNUMBER(B162),B162*(1-1/'13_Mapa_Liq'!$B$19+'13_Mapa_Liq'!$B$6),"")</f>
        <v/>
      </c>
      <c r="AD162" s="151" t="n">
        <f aca="false">IF(ISNUMBER(B162),IF(K162&gt;AC162,I162*'13_Mapa_Liq'!$C$19,0),0)</f>
        <v>0</v>
      </c>
      <c r="AE162" s="151" t="str">
        <f aca="false">IF(ISNUMBER(B162),B162*(1+1/'13_Mapa_Liq'!$B$19-'13_Mapa_Liq'!$B$6),"")</f>
        <v/>
      </c>
      <c r="AF162" s="151" t="n">
        <f aca="false">IF(ISNUMBER(B162),IF(L162&lt;AE162,J162*'13_Mapa_Liq'!$C$19,0),0)</f>
        <v>0</v>
      </c>
      <c r="AG162" s="151"/>
      <c r="AH162" s="151" t="n">
        <f aca="false">IF(ISNUMBER(B162),E162*F162*((K162&lt;=M162)*'13_Mapa_Liq'!$C$15+(K162&lt;=Q162)*'13_Mapa_Liq'!$C$16+(K162&lt;=U162)*'13_Mapa_Liq'!$C$17+(K162&lt;=Y162)*'13_Mapa_Liq'!$C$18+(K162&lt;=AC162)*'13_Mapa_Liq'!$C$19),0)</f>
        <v>0</v>
      </c>
      <c r="AI162" s="151" t="n">
        <f aca="false">IF(ISNUMBER(B162),E162*(1-F162)*((L162&gt;=O162)*'13_Mapa_Liq'!$C$15+(L162&gt;=S162)*'13_Mapa_Liq'!$C$16+(L162&gt;=W162)*'13_Mapa_Liq'!$C$17+(L162&gt;=AA162)*'13_Mapa_Liq'!$C$18+(L162&gt;=AE162)*'13_Mapa_Liq'!$C$19),0)</f>
        <v>0</v>
      </c>
    </row>
    <row r="163" customFormat="false" ht="15" hidden="false" customHeight="false" outlineLevel="0" collapsed="false">
      <c r="A163" s="151" t="str">
        <f aca="false">IF(ISNUMBER('12_Datos_5m'!F163),ROW()-4,"")</f>
        <v/>
      </c>
      <c r="B163" s="151" t="str">
        <f aca="false">IF(ISNUMBER('12_Datos_5m'!F163),'12_Datos_5m'!F163,"")</f>
        <v/>
      </c>
      <c r="C163" s="151" t="str">
        <f aca="false">IF(ISNUMBER('12_Datos_5m'!A163),'12_Datos_5m'!A163,"")</f>
        <v/>
      </c>
      <c r="D163" s="151" t="n">
        <f aca="false">IF(AND(ISNUMBER('12_Datos_5m'!I163),ISNUMBER('12_Datos_5m'!I162)),'12_Datos_5m'!I163-'12_Datos_5m'!I162,0)</f>
        <v>0</v>
      </c>
      <c r="E163" s="151" t="n">
        <f aca="false">MAX(0,D163)</f>
        <v>0</v>
      </c>
      <c r="F163" s="151" t="n">
        <f aca="false">IF(AND(ISNUMBER('12_Datos_5m'!G163),N('12_Datos_5m'!G163)&gt;0),'12_Datos_5m'!H163/'12_Datos_5m'!G163,0.5)</f>
        <v>0.5</v>
      </c>
      <c r="G163" s="151" t="n">
        <f aca="false">IF(ISNUMBER(C163),($C$2-C163)/3600000,0)</f>
        <v>0</v>
      </c>
      <c r="H163" s="151" t="n">
        <f aca="false">EXP(-G163/'13_Mapa_Liq'!$B$7)</f>
        <v>1</v>
      </c>
      <c r="I163" s="151" t="n">
        <f aca="false">E163*F163*H163</f>
        <v>0</v>
      </c>
      <c r="J163" s="151" t="n">
        <f aca="false">E163*(1-F163)*H163</f>
        <v>0</v>
      </c>
      <c r="K163" s="151" t="n">
        <f aca="false">IF(COUNT('12_Datos_5m'!E164:E$504)=0,1000000000000,MIN('12_Datos_5m'!E164:E$504))</f>
        <v>1000000000000</v>
      </c>
      <c r="L163" s="151" t="n">
        <f aca="false">IF(COUNT('12_Datos_5m'!D164:D$504)=0,0,MAX('12_Datos_5m'!D164:D$504))</f>
        <v>0</v>
      </c>
      <c r="M163" s="151" t="str">
        <f aca="false">IF(ISNUMBER(B163),B163*(1-1/'13_Mapa_Liq'!$B$15+'13_Mapa_Liq'!$B$6),"")</f>
        <v/>
      </c>
      <c r="N163" s="151" t="n">
        <f aca="false">IF(ISNUMBER(B163),IF(K163&gt;M163,I163*'13_Mapa_Liq'!$C$15,0),0)</f>
        <v>0</v>
      </c>
      <c r="O163" s="151" t="str">
        <f aca="false">IF(ISNUMBER(B163),B163*(1+1/'13_Mapa_Liq'!$B$15-'13_Mapa_Liq'!$B$6),"")</f>
        <v/>
      </c>
      <c r="P163" s="151" t="n">
        <f aca="false">IF(ISNUMBER(B163),IF(L163&lt;O163,J163*'13_Mapa_Liq'!$C$15,0),0)</f>
        <v>0</v>
      </c>
      <c r="Q163" s="151" t="str">
        <f aca="false">IF(ISNUMBER(B163),B163*(1-1/'13_Mapa_Liq'!$B$16+'13_Mapa_Liq'!$B$6),"")</f>
        <v/>
      </c>
      <c r="R163" s="151" t="n">
        <f aca="false">IF(ISNUMBER(B163),IF(K163&gt;Q163,I163*'13_Mapa_Liq'!$C$16,0),0)</f>
        <v>0</v>
      </c>
      <c r="S163" s="151" t="str">
        <f aca="false">IF(ISNUMBER(B163),B163*(1+1/'13_Mapa_Liq'!$B$16-'13_Mapa_Liq'!$B$6),"")</f>
        <v/>
      </c>
      <c r="T163" s="151" t="n">
        <f aca="false">IF(ISNUMBER(B163),IF(L163&lt;S163,J163*'13_Mapa_Liq'!$C$16,0),0)</f>
        <v>0</v>
      </c>
      <c r="U163" s="151" t="str">
        <f aca="false">IF(ISNUMBER(B163),B163*(1-1/'13_Mapa_Liq'!$B$17+'13_Mapa_Liq'!$B$6),"")</f>
        <v/>
      </c>
      <c r="V163" s="151" t="n">
        <f aca="false">IF(ISNUMBER(B163),IF(K163&gt;U163,I163*'13_Mapa_Liq'!$C$17,0),0)</f>
        <v>0</v>
      </c>
      <c r="W163" s="151" t="str">
        <f aca="false">IF(ISNUMBER(B163),B163*(1+1/'13_Mapa_Liq'!$B$17-'13_Mapa_Liq'!$B$6),"")</f>
        <v/>
      </c>
      <c r="X163" s="151" t="n">
        <f aca="false">IF(ISNUMBER(B163),IF(L163&lt;W163,J163*'13_Mapa_Liq'!$C$17,0),0)</f>
        <v>0</v>
      </c>
      <c r="Y163" s="151" t="str">
        <f aca="false">IF(ISNUMBER(B163),B163*(1-1/'13_Mapa_Liq'!$B$18+'13_Mapa_Liq'!$B$6),"")</f>
        <v/>
      </c>
      <c r="Z163" s="151" t="n">
        <f aca="false">IF(ISNUMBER(B163),IF(K163&gt;Y163,I163*'13_Mapa_Liq'!$C$18,0),0)</f>
        <v>0</v>
      </c>
      <c r="AA163" s="151" t="str">
        <f aca="false">IF(ISNUMBER(B163),B163*(1+1/'13_Mapa_Liq'!$B$18-'13_Mapa_Liq'!$B$6),"")</f>
        <v/>
      </c>
      <c r="AB163" s="151" t="n">
        <f aca="false">IF(ISNUMBER(B163),IF(L163&lt;AA163,J163*'13_Mapa_Liq'!$C$18,0),0)</f>
        <v>0</v>
      </c>
      <c r="AC163" s="151" t="str">
        <f aca="false">IF(ISNUMBER(B163),B163*(1-1/'13_Mapa_Liq'!$B$19+'13_Mapa_Liq'!$B$6),"")</f>
        <v/>
      </c>
      <c r="AD163" s="151" t="n">
        <f aca="false">IF(ISNUMBER(B163),IF(K163&gt;AC163,I163*'13_Mapa_Liq'!$C$19,0),0)</f>
        <v>0</v>
      </c>
      <c r="AE163" s="151" t="str">
        <f aca="false">IF(ISNUMBER(B163),B163*(1+1/'13_Mapa_Liq'!$B$19-'13_Mapa_Liq'!$B$6),"")</f>
        <v/>
      </c>
      <c r="AF163" s="151" t="n">
        <f aca="false">IF(ISNUMBER(B163),IF(L163&lt;AE163,J163*'13_Mapa_Liq'!$C$19,0),0)</f>
        <v>0</v>
      </c>
      <c r="AG163" s="151"/>
      <c r="AH163" s="151" t="n">
        <f aca="false">IF(ISNUMBER(B163),E163*F163*((K163&lt;=M163)*'13_Mapa_Liq'!$C$15+(K163&lt;=Q163)*'13_Mapa_Liq'!$C$16+(K163&lt;=U163)*'13_Mapa_Liq'!$C$17+(K163&lt;=Y163)*'13_Mapa_Liq'!$C$18+(K163&lt;=AC163)*'13_Mapa_Liq'!$C$19),0)</f>
        <v>0</v>
      </c>
      <c r="AI163" s="151" t="n">
        <f aca="false">IF(ISNUMBER(B163),E163*(1-F163)*((L163&gt;=O163)*'13_Mapa_Liq'!$C$15+(L163&gt;=S163)*'13_Mapa_Liq'!$C$16+(L163&gt;=W163)*'13_Mapa_Liq'!$C$17+(L163&gt;=AA163)*'13_Mapa_Liq'!$C$18+(L163&gt;=AE163)*'13_Mapa_Liq'!$C$19),0)</f>
        <v>0</v>
      </c>
    </row>
    <row r="164" customFormat="false" ht="15" hidden="false" customHeight="false" outlineLevel="0" collapsed="false">
      <c r="A164" s="151" t="str">
        <f aca="false">IF(ISNUMBER('12_Datos_5m'!F164),ROW()-4,"")</f>
        <v/>
      </c>
      <c r="B164" s="151" t="str">
        <f aca="false">IF(ISNUMBER('12_Datos_5m'!F164),'12_Datos_5m'!F164,"")</f>
        <v/>
      </c>
      <c r="C164" s="151" t="str">
        <f aca="false">IF(ISNUMBER('12_Datos_5m'!A164),'12_Datos_5m'!A164,"")</f>
        <v/>
      </c>
      <c r="D164" s="151" t="n">
        <f aca="false">IF(AND(ISNUMBER('12_Datos_5m'!I164),ISNUMBER('12_Datos_5m'!I163)),'12_Datos_5m'!I164-'12_Datos_5m'!I163,0)</f>
        <v>0</v>
      </c>
      <c r="E164" s="151" t="n">
        <f aca="false">MAX(0,D164)</f>
        <v>0</v>
      </c>
      <c r="F164" s="151" t="n">
        <f aca="false">IF(AND(ISNUMBER('12_Datos_5m'!G164),N('12_Datos_5m'!G164)&gt;0),'12_Datos_5m'!H164/'12_Datos_5m'!G164,0.5)</f>
        <v>0.5</v>
      </c>
      <c r="G164" s="151" t="n">
        <f aca="false">IF(ISNUMBER(C164),($C$2-C164)/3600000,0)</f>
        <v>0</v>
      </c>
      <c r="H164" s="151" t="n">
        <f aca="false">EXP(-G164/'13_Mapa_Liq'!$B$7)</f>
        <v>1</v>
      </c>
      <c r="I164" s="151" t="n">
        <f aca="false">E164*F164*H164</f>
        <v>0</v>
      </c>
      <c r="J164" s="151" t="n">
        <f aca="false">E164*(1-F164)*H164</f>
        <v>0</v>
      </c>
      <c r="K164" s="151" t="n">
        <f aca="false">IF(COUNT('12_Datos_5m'!E165:E$504)=0,1000000000000,MIN('12_Datos_5m'!E165:E$504))</f>
        <v>1000000000000</v>
      </c>
      <c r="L164" s="151" t="n">
        <f aca="false">IF(COUNT('12_Datos_5m'!D165:D$504)=0,0,MAX('12_Datos_5m'!D165:D$504))</f>
        <v>0</v>
      </c>
      <c r="M164" s="151" t="str">
        <f aca="false">IF(ISNUMBER(B164),B164*(1-1/'13_Mapa_Liq'!$B$15+'13_Mapa_Liq'!$B$6),"")</f>
        <v/>
      </c>
      <c r="N164" s="151" t="n">
        <f aca="false">IF(ISNUMBER(B164),IF(K164&gt;M164,I164*'13_Mapa_Liq'!$C$15,0),0)</f>
        <v>0</v>
      </c>
      <c r="O164" s="151" t="str">
        <f aca="false">IF(ISNUMBER(B164),B164*(1+1/'13_Mapa_Liq'!$B$15-'13_Mapa_Liq'!$B$6),"")</f>
        <v/>
      </c>
      <c r="P164" s="151" t="n">
        <f aca="false">IF(ISNUMBER(B164),IF(L164&lt;O164,J164*'13_Mapa_Liq'!$C$15,0),0)</f>
        <v>0</v>
      </c>
      <c r="Q164" s="151" t="str">
        <f aca="false">IF(ISNUMBER(B164),B164*(1-1/'13_Mapa_Liq'!$B$16+'13_Mapa_Liq'!$B$6),"")</f>
        <v/>
      </c>
      <c r="R164" s="151" t="n">
        <f aca="false">IF(ISNUMBER(B164),IF(K164&gt;Q164,I164*'13_Mapa_Liq'!$C$16,0),0)</f>
        <v>0</v>
      </c>
      <c r="S164" s="151" t="str">
        <f aca="false">IF(ISNUMBER(B164),B164*(1+1/'13_Mapa_Liq'!$B$16-'13_Mapa_Liq'!$B$6),"")</f>
        <v/>
      </c>
      <c r="T164" s="151" t="n">
        <f aca="false">IF(ISNUMBER(B164),IF(L164&lt;S164,J164*'13_Mapa_Liq'!$C$16,0),0)</f>
        <v>0</v>
      </c>
      <c r="U164" s="151" t="str">
        <f aca="false">IF(ISNUMBER(B164),B164*(1-1/'13_Mapa_Liq'!$B$17+'13_Mapa_Liq'!$B$6),"")</f>
        <v/>
      </c>
      <c r="V164" s="151" t="n">
        <f aca="false">IF(ISNUMBER(B164),IF(K164&gt;U164,I164*'13_Mapa_Liq'!$C$17,0),0)</f>
        <v>0</v>
      </c>
      <c r="W164" s="151" t="str">
        <f aca="false">IF(ISNUMBER(B164),B164*(1+1/'13_Mapa_Liq'!$B$17-'13_Mapa_Liq'!$B$6),"")</f>
        <v/>
      </c>
      <c r="X164" s="151" t="n">
        <f aca="false">IF(ISNUMBER(B164),IF(L164&lt;W164,J164*'13_Mapa_Liq'!$C$17,0),0)</f>
        <v>0</v>
      </c>
      <c r="Y164" s="151" t="str">
        <f aca="false">IF(ISNUMBER(B164),B164*(1-1/'13_Mapa_Liq'!$B$18+'13_Mapa_Liq'!$B$6),"")</f>
        <v/>
      </c>
      <c r="Z164" s="151" t="n">
        <f aca="false">IF(ISNUMBER(B164),IF(K164&gt;Y164,I164*'13_Mapa_Liq'!$C$18,0),0)</f>
        <v>0</v>
      </c>
      <c r="AA164" s="151" t="str">
        <f aca="false">IF(ISNUMBER(B164),B164*(1+1/'13_Mapa_Liq'!$B$18-'13_Mapa_Liq'!$B$6),"")</f>
        <v/>
      </c>
      <c r="AB164" s="151" t="n">
        <f aca="false">IF(ISNUMBER(B164),IF(L164&lt;AA164,J164*'13_Mapa_Liq'!$C$18,0),0)</f>
        <v>0</v>
      </c>
      <c r="AC164" s="151" t="str">
        <f aca="false">IF(ISNUMBER(B164),B164*(1-1/'13_Mapa_Liq'!$B$19+'13_Mapa_Liq'!$B$6),"")</f>
        <v/>
      </c>
      <c r="AD164" s="151" t="n">
        <f aca="false">IF(ISNUMBER(B164),IF(K164&gt;AC164,I164*'13_Mapa_Liq'!$C$19,0),0)</f>
        <v>0</v>
      </c>
      <c r="AE164" s="151" t="str">
        <f aca="false">IF(ISNUMBER(B164),B164*(1+1/'13_Mapa_Liq'!$B$19-'13_Mapa_Liq'!$B$6),"")</f>
        <v/>
      </c>
      <c r="AF164" s="151" t="n">
        <f aca="false">IF(ISNUMBER(B164),IF(L164&lt;AE164,J164*'13_Mapa_Liq'!$C$19,0),0)</f>
        <v>0</v>
      </c>
      <c r="AG164" s="151"/>
      <c r="AH164" s="151" t="n">
        <f aca="false">IF(ISNUMBER(B164),E164*F164*((K164&lt;=M164)*'13_Mapa_Liq'!$C$15+(K164&lt;=Q164)*'13_Mapa_Liq'!$C$16+(K164&lt;=U164)*'13_Mapa_Liq'!$C$17+(K164&lt;=Y164)*'13_Mapa_Liq'!$C$18+(K164&lt;=AC164)*'13_Mapa_Liq'!$C$19),0)</f>
        <v>0</v>
      </c>
      <c r="AI164" s="151" t="n">
        <f aca="false">IF(ISNUMBER(B164),E164*(1-F164)*((L164&gt;=O164)*'13_Mapa_Liq'!$C$15+(L164&gt;=S164)*'13_Mapa_Liq'!$C$16+(L164&gt;=W164)*'13_Mapa_Liq'!$C$17+(L164&gt;=AA164)*'13_Mapa_Liq'!$C$18+(L164&gt;=AE164)*'13_Mapa_Liq'!$C$19),0)</f>
        <v>0</v>
      </c>
    </row>
    <row r="165" customFormat="false" ht="15" hidden="false" customHeight="false" outlineLevel="0" collapsed="false">
      <c r="A165" s="151" t="str">
        <f aca="false">IF(ISNUMBER('12_Datos_5m'!F165),ROW()-4,"")</f>
        <v/>
      </c>
      <c r="B165" s="151" t="str">
        <f aca="false">IF(ISNUMBER('12_Datos_5m'!F165),'12_Datos_5m'!F165,"")</f>
        <v/>
      </c>
      <c r="C165" s="151" t="str">
        <f aca="false">IF(ISNUMBER('12_Datos_5m'!A165),'12_Datos_5m'!A165,"")</f>
        <v/>
      </c>
      <c r="D165" s="151" t="n">
        <f aca="false">IF(AND(ISNUMBER('12_Datos_5m'!I165),ISNUMBER('12_Datos_5m'!I164)),'12_Datos_5m'!I165-'12_Datos_5m'!I164,0)</f>
        <v>0</v>
      </c>
      <c r="E165" s="151" t="n">
        <f aca="false">MAX(0,D165)</f>
        <v>0</v>
      </c>
      <c r="F165" s="151" t="n">
        <f aca="false">IF(AND(ISNUMBER('12_Datos_5m'!G165),N('12_Datos_5m'!G165)&gt;0),'12_Datos_5m'!H165/'12_Datos_5m'!G165,0.5)</f>
        <v>0.5</v>
      </c>
      <c r="G165" s="151" t="n">
        <f aca="false">IF(ISNUMBER(C165),($C$2-C165)/3600000,0)</f>
        <v>0</v>
      </c>
      <c r="H165" s="151" t="n">
        <f aca="false">EXP(-G165/'13_Mapa_Liq'!$B$7)</f>
        <v>1</v>
      </c>
      <c r="I165" s="151" t="n">
        <f aca="false">E165*F165*H165</f>
        <v>0</v>
      </c>
      <c r="J165" s="151" t="n">
        <f aca="false">E165*(1-F165)*H165</f>
        <v>0</v>
      </c>
      <c r="K165" s="151" t="n">
        <f aca="false">IF(COUNT('12_Datos_5m'!E166:E$504)=0,1000000000000,MIN('12_Datos_5m'!E166:E$504))</f>
        <v>1000000000000</v>
      </c>
      <c r="L165" s="151" t="n">
        <f aca="false">IF(COUNT('12_Datos_5m'!D166:D$504)=0,0,MAX('12_Datos_5m'!D166:D$504))</f>
        <v>0</v>
      </c>
      <c r="M165" s="151" t="str">
        <f aca="false">IF(ISNUMBER(B165),B165*(1-1/'13_Mapa_Liq'!$B$15+'13_Mapa_Liq'!$B$6),"")</f>
        <v/>
      </c>
      <c r="N165" s="151" t="n">
        <f aca="false">IF(ISNUMBER(B165),IF(K165&gt;M165,I165*'13_Mapa_Liq'!$C$15,0),0)</f>
        <v>0</v>
      </c>
      <c r="O165" s="151" t="str">
        <f aca="false">IF(ISNUMBER(B165),B165*(1+1/'13_Mapa_Liq'!$B$15-'13_Mapa_Liq'!$B$6),"")</f>
        <v/>
      </c>
      <c r="P165" s="151" t="n">
        <f aca="false">IF(ISNUMBER(B165),IF(L165&lt;O165,J165*'13_Mapa_Liq'!$C$15,0),0)</f>
        <v>0</v>
      </c>
      <c r="Q165" s="151" t="str">
        <f aca="false">IF(ISNUMBER(B165),B165*(1-1/'13_Mapa_Liq'!$B$16+'13_Mapa_Liq'!$B$6),"")</f>
        <v/>
      </c>
      <c r="R165" s="151" t="n">
        <f aca="false">IF(ISNUMBER(B165),IF(K165&gt;Q165,I165*'13_Mapa_Liq'!$C$16,0),0)</f>
        <v>0</v>
      </c>
      <c r="S165" s="151" t="str">
        <f aca="false">IF(ISNUMBER(B165),B165*(1+1/'13_Mapa_Liq'!$B$16-'13_Mapa_Liq'!$B$6),"")</f>
        <v/>
      </c>
      <c r="T165" s="151" t="n">
        <f aca="false">IF(ISNUMBER(B165),IF(L165&lt;S165,J165*'13_Mapa_Liq'!$C$16,0),0)</f>
        <v>0</v>
      </c>
      <c r="U165" s="151" t="str">
        <f aca="false">IF(ISNUMBER(B165),B165*(1-1/'13_Mapa_Liq'!$B$17+'13_Mapa_Liq'!$B$6),"")</f>
        <v/>
      </c>
      <c r="V165" s="151" t="n">
        <f aca="false">IF(ISNUMBER(B165),IF(K165&gt;U165,I165*'13_Mapa_Liq'!$C$17,0),0)</f>
        <v>0</v>
      </c>
      <c r="W165" s="151" t="str">
        <f aca="false">IF(ISNUMBER(B165),B165*(1+1/'13_Mapa_Liq'!$B$17-'13_Mapa_Liq'!$B$6),"")</f>
        <v/>
      </c>
      <c r="X165" s="151" t="n">
        <f aca="false">IF(ISNUMBER(B165),IF(L165&lt;W165,J165*'13_Mapa_Liq'!$C$17,0),0)</f>
        <v>0</v>
      </c>
      <c r="Y165" s="151" t="str">
        <f aca="false">IF(ISNUMBER(B165),B165*(1-1/'13_Mapa_Liq'!$B$18+'13_Mapa_Liq'!$B$6),"")</f>
        <v/>
      </c>
      <c r="Z165" s="151" t="n">
        <f aca="false">IF(ISNUMBER(B165),IF(K165&gt;Y165,I165*'13_Mapa_Liq'!$C$18,0),0)</f>
        <v>0</v>
      </c>
      <c r="AA165" s="151" t="str">
        <f aca="false">IF(ISNUMBER(B165),B165*(1+1/'13_Mapa_Liq'!$B$18-'13_Mapa_Liq'!$B$6),"")</f>
        <v/>
      </c>
      <c r="AB165" s="151" t="n">
        <f aca="false">IF(ISNUMBER(B165),IF(L165&lt;AA165,J165*'13_Mapa_Liq'!$C$18,0),0)</f>
        <v>0</v>
      </c>
      <c r="AC165" s="151" t="str">
        <f aca="false">IF(ISNUMBER(B165),B165*(1-1/'13_Mapa_Liq'!$B$19+'13_Mapa_Liq'!$B$6),"")</f>
        <v/>
      </c>
      <c r="AD165" s="151" t="n">
        <f aca="false">IF(ISNUMBER(B165),IF(K165&gt;AC165,I165*'13_Mapa_Liq'!$C$19,0),0)</f>
        <v>0</v>
      </c>
      <c r="AE165" s="151" t="str">
        <f aca="false">IF(ISNUMBER(B165),B165*(1+1/'13_Mapa_Liq'!$B$19-'13_Mapa_Liq'!$B$6),"")</f>
        <v/>
      </c>
      <c r="AF165" s="151" t="n">
        <f aca="false">IF(ISNUMBER(B165),IF(L165&lt;AE165,J165*'13_Mapa_Liq'!$C$19,0),0)</f>
        <v>0</v>
      </c>
      <c r="AG165" s="151"/>
      <c r="AH165" s="151" t="n">
        <f aca="false">IF(ISNUMBER(B165),E165*F165*((K165&lt;=M165)*'13_Mapa_Liq'!$C$15+(K165&lt;=Q165)*'13_Mapa_Liq'!$C$16+(K165&lt;=U165)*'13_Mapa_Liq'!$C$17+(K165&lt;=Y165)*'13_Mapa_Liq'!$C$18+(K165&lt;=AC165)*'13_Mapa_Liq'!$C$19),0)</f>
        <v>0</v>
      </c>
      <c r="AI165" s="151" t="n">
        <f aca="false">IF(ISNUMBER(B165),E165*(1-F165)*((L165&gt;=O165)*'13_Mapa_Liq'!$C$15+(L165&gt;=S165)*'13_Mapa_Liq'!$C$16+(L165&gt;=W165)*'13_Mapa_Liq'!$C$17+(L165&gt;=AA165)*'13_Mapa_Liq'!$C$18+(L165&gt;=AE165)*'13_Mapa_Liq'!$C$19),0)</f>
        <v>0</v>
      </c>
    </row>
    <row r="166" customFormat="false" ht="15" hidden="false" customHeight="false" outlineLevel="0" collapsed="false">
      <c r="A166" s="151" t="str">
        <f aca="false">IF(ISNUMBER('12_Datos_5m'!F166),ROW()-4,"")</f>
        <v/>
      </c>
      <c r="B166" s="151" t="str">
        <f aca="false">IF(ISNUMBER('12_Datos_5m'!F166),'12_Datos_5m'!F166,"")</f>
        <v/>
      </c>
      <c r="C166" s="151" t="str">
        <f aca="false">IF(ISNUMBER('12_Datos_5m'!A166),'12_Datos_5m'!A166,"")</f>
        <v/>
      </c>
      <c r="D166" s="151" t="n">
        <f aca="false">IF(AND(ISNUMBER('12_Datos_5m'!I166),ISNUMBER('12_Datos_5m'!I165)),'12_Datos_5m'!I166-'12_Datos_5m'!I165,0)</f>
        <v>0</v>
      </c>
      <c r="E166" s="151" t="n">
        <f aca="false">MAX(0,D166)</f>
        <v>0</v>
      </c>
      <c r="F166" s="151" t="n">
        <f aca="false">IF(AND(ISNUMBER('12_Datos_5m'!G166),N('12_Datos_5m'!G166)&gt;0),'12_Datos_5m'!H166/'12_Datos_5m'!G166,0.5)</f>
        <v>0.5</v>
      </c>
      <c r="G166" s="151" t="n">
        <f aca="false">IF(ISNUMBER(C166),($C$2-C166)/3600000,0)</f>
        <v>0</v>
      </c>
      <c r="H166" s="151" t="n">
        <f aca="false">EXP(-G166/'13_Mapa_Liq'!$B$7)</f>
        <v>1</v>
      </c>
      <c r="I166" s="151" t="n">
        <f aca="false">E166*F166*H166</f>
        <v>0</v>
      </c>
      <c r="J166" s="151" t="n">
        <f aca="false">E166*(1-F166)*H166</f>
        <v>0</v>
      </c>
      <c r="K166" s="151" t="n">
        <f aca="false">IF(COUNT('12_Datos_5m'!E167:E$504)=0,1000000000000,MIN('12_Datos_5m'!E167:E$504))</f>
        <v>1000000000000</v>
      </c>
      <c r="L166" s="151" t="n">
        <f aca="false">IF(COUNT('12_Datos_5m'!D167:D$504)=0,0,MAX('12_Datos_5m'!D167:D$504))</f>
        <v>0</v>
      </c>
      <c r="M166" s="151" t="str">
        <f aca="false">IF(ISNUMBER(B166),B166*(1-1/'13_Mapa_Liq'!$B$15+'13_Mapa_Liq'!$B$6),"")</f>
        <v/>
      </c>
      <c r="N166" s="151" t="n">
        <f aca="false">IF(ISNUMBER(B166),IF(K166&gt;M166,I166*'13_Mapa_Liq'!$C$15,0),0)</f>
        <v>0</v>
      </c>
      <c r="O166" s="151" t="str">
        <f aca="false">IF(ISNUMBER(B166),B166*(1+1/'13_Mapa_Liq'!$B$15-'13_Mapa_Liq'!$B$6),"")</f>
        <v/>
      </c>
      <c r="P166" s="151" t="n">
        <f aca="false">IF(ISNUMBER(B166),IF(L166&lt;O166,J166*'13_Mapa_Liq'!$C$15,0),0)</f>
        <v>0</v>
      </c>
      <c r="Q166" s="151" t="str">
        <f aca="false">IF(ISNUMBER(B166),B166*(1-1/'13_Mapa_Liq'!$B$16+'13_Mapa_Liq'!$B$6),"")</f>
        <v/>
      </c>
      <c r="R166" s="151" t="n">
        <f aca="false">IF(ISNUMBER(B166),IF(K166&gt;Q166,I166*'13_Mapa_Liq'!$C$16,0),0)</f>
        <v>0</v>
      </c>
      <c r="S166" s="151" t="str">
        <f aca="false">IF(ISNUMBER(B166),B166*(1+1/'13_Mapa_Liq'!$B$16-'13_Mapa_Liq'!$B$6),"")</f>
        <v/>
      </c>
      <c r="T166" s="151" t="n">
        <f aca="false">IF(ISNUMBER(B166),IF(L166&lt;S166,J166*'13_Mapa_Liq'!$C$16,0),0)</f>
        <v>0</v>
      </c>
      <c r="U166" s="151" t="str">
        <f aca="false">IF(ISNUMBER(B166),B166*(1-1/'13_Mapa_Liq'!$B$17+'13_Mapa_Liq'!$B$6),"")</f>
        <v/>
      </c>
      <c r="V166" s="151" t="n">
        <f aca="false">IF(ISNUMBER(B166),IF(K166&gt;U166,I166*'13_Mapa_Liq'!$C$17,0),0)</f>
        <v>0</v>
      </c>
      <c r="W166" s="151" t="str">
        <f aca="false">IF(ISNUMBER(B166),B166*(1+1/'13_Mapa_Liq'!$B$17-'13_Mapa_Liq'!$B$6),"")</f>
        <v/>
      </c>
      <c r="X166" s="151" t="n">
        <f aca="false">IF(ISNUMBER(B166),IF(L166&lt;W166,J166*'13_Mapa_Liq'!$C$17,0),0)</f>
        <v>0</v>
      </c>
      <c r="Y166" s="151" t="str">
        <f aca="false">IF(ISNUMBER(B166),B166*(1-1/'13_Mapa_Liq'!$B$18+'13_Mapa_Liq'!$B$6),"")</f>
        <v/>
      </c>
      <c r="Z166" s="151" t="n">
        <f aca="false">IF(ISNUMBER(B166),IF(K166&gt;Y166,I166*'13_Mapa_Liq'!$C$18,0),0)</f>
        <v>0</v>
      </c>
      <c r="AA166" s="151" t="str">
        <f aca="false">IF(ISNUMBER(B166),B166*(1+1/'13_Mapa_Liq'!$B$18-'13_Mapa_Liq'!$B$6),"")</f>
        <v/>
      </c>
      <c r="AB166" s="151" t="n">
        <f aca="false">IF(ISNUMBER(B166),IF(L166&lt;AA166,J166*'13_Mapa_Liq'!$C$18,0),0)</f>
        <v>0</v>
      </c>
      <c r="AC166" s="151" t="str">
        <f aca="false">IF(ISNUMBER(B166),B166*(1-1/'13_Mapa_Liq'!$B$19+'13_Mapa_Liq'!$B$6),"")</f>
        <v/>
      </c>
      <c r="AD166" s="151" t="n">
        <f aca="false">IF(ISNUMBER(B166),IF(K166&gt;AC166,I166*'13_Mapa_Liq'!$C$19,0),0)</f>
        <v>0</v>
      </c>
      <c r="AE166" s="151" t="str">
        <f aca="false">IF(ISNUMBER(B166),B166*(1+1/'13_Mapa_Liq'!$B$19-'13_Mapa_Liq'!$B$6),"")</f>
        <v/>
      </c>
      <c r="AF166" s="151" t="n">
        <f aca="false">IF(ISNUMBER(B166),IF(L166&lt;AE166,J166*'13_Mapa_Liq'!$C$19,0),0)</f>
        <v>0</v>
      </c>
      <c r="AG166" s="151"/>
      <c r="AH166" s="151" t="n">
        <f aca="false">IF(ISNUMBER(B166),E166*F166*((K166&lt;=M166)*'13_Mapa_Liq'!$C$15+(K166&lt;=Q166)*'13_Mapa_Liq'!$C$16+(K166&lt;=U166)*'13_Mapa_Liq'!$C$17+(K166&lt;=Y166)*'13_Mapa_Liq'!$C$18+(K166&lt;=AC166)*'13_Mapa_Liq'!$C$19),0)</f>
        <v>0</v>
      </c>
      <c r="AI166" s="151" t="n">
        <f aca="false">IF(ISNUMBER(B166),E166*(1-F166)*((L166&gt;=O166)*'13_Mapa_Liq'!$C$15+(L166&gt;=S166)*'13_Mapa_Liq'!$C$16+(L166&gt;=W166)*'13_Mapa_Liq'!$C$17+(L166&gt;=AA166)*'13_Mapa_Liq'!$C$18+(L166&gt;=AE166)*'13_Mapa_Liq'!$C$19),0)</f>
        <v>0</v>
      </c>
    </row>
    <row r="167" customFormat="false" ht="15" hidden="false" customHeight="false" outlineLevel="0" collapsed="false">
      <c r="A167" s="151" t="str">
        <f aca="false">IF(ISNUMBER('12_Datos_5m'!F167),ROW()-4,"")</f>
        <v/>
      </c>
      <c r="B167" s="151" t="str">
        <f aca="false">IF(ISNUMBER('12_Datos_5m'!F167),'12_Datos_5m'!F167,"")</f>
        <v/>
      </c>
      <c r="C167" s="151" t="str">
        <f aca="false">IF(ISNUMBER('12_Datos_5m'!A167),'12_Datos_5m'!A167,"")</f>
        <v/>
      </c>
      <c r="D167" s="151" t="n">
        <f aca="false">IF(AND(ISNUMBER('12_Datos_5m'!I167),ISNUMBER('12_Datos_5m'!I166)),'12_Datos_5m'!I167-'12_Datos_5m'!I166,0)</f>
        <v>0</v>
      </c>
      <c r="E167" s="151" t="n">
        <f aca="false">MAX(0,D167)</f>
        <v>0</v>
      </c>
      <c r="F167" s="151" t="n">
        <f aca="false">IF(AND(ISNUMBER('12_Datos_5m'!G167),N('12_Datos_5m'!G167)&gt;0),'12_Datos_5m'!H167/'12_Datos_5m'!G167,0.5)</f>
        <v>0.5</v>
      </c>
      <c r="G167" s="151" t="n">
        <f aca="false">IF(ISNUMBER(C167),($C$2-C167)/3600000,0)</f>
        <v>0</v>
      </c>
      <c r="H167" s="151" t="n">
        <f aca="false">EXP(-G167/'13_Mapa_Liq'!$B$7)</f>
        <v>1</v>
      </c>
      <c r="I167" s="151" t="n">
        <f aca="false">E167*F167*H167</f>
        <v>0</v>
      </c>
      <c r="J167" s="151" t="n">
        <f aca="false">E167*(1-F167)*H167</f>
        <v>0</v>
      </c>
      <c r="K167" s="151" t="n">
        <f aca="false">IF(COUNT('12_Datos_5m'!E168:E$504)=0,1000000000000,MIN('12_Datos_5m'!E168:E$504))</f>
        <v>1000000000000</v>
      </c>
      <c r="L167" s="151" t="n">
        <f aca="false">IF(COUNT('12_Datos_5m'!D168:D$504)=0,0,MAX('12_Datos_5m'!D168:D$504))</f>
        <v>0</v>
      </c>
      <c r="M167" s="151" t="str">
        <f aca="false">IF(ISNUMBER(B167),B167*(1-1/'13_Mapa_Liq'!$B$15+'13_Mapa_Liq'!$B$6),"")</f>
        <v/>
      </c>
      <c r="N167" s="151" t="n">
        <f aca="false">IF(ISNUMBER(B167),IF(K167&gt;M167,I167*'13_Mapa_Liq'!$C$15,0),0)</f>
        <v>0</v>
      </c>
      <c r="O167" s="151" t="str">
        <f aca="false">IF(ISNUMBER(B167),B167*(1+1/'13_Mapa_Liq'!$B$15-'13_Mapa_Liq'!$B$6),"")</f>
        <v/>
      </c>
      <c r="P167" s="151" t="n">
        <f aca="false">IF(ISNUMBER(B167),IF(L167&lt;O167,J167*'13_Mapa_Liq'!$C$15,0),0)</f>
        <v>0</v>
      </c>
      <c r="Q167" s="151" t="str">
        <f aca="false">IF(ISNUMBER(B167),B167*(1-1/'13_Mapa_Liq'!$B$16+'13_Mapa_Liq'!$B$6),"")</f>
        <v/>
      </c>
      <c r="R167" s="151" t="n">
        <f aca="false">IF(ISNUMBER(B167),IF(K167&gt;Q167,I167*'13_Mapa_Liq'!$C$16,0),0)</f>
        <v>0</v>
      </c>
      <c r="S167" s="151" t="str">
        <f aca="false">IF(ISNUMBER(B167),B167*(1+1/'13_Mapa_Liq'!$B$16-'13_Mapa_Liq'!$B$6),"")</f>
        <v/>
      </c>
      <c r="T167" s="151" t="n">
        <f aca="false">IF(ISNUMBER(B167),IF(L167&lt;S167,J167*'13_Mapa_Liq'!$C$16,0),0)</f>
        <v>0</v>
      </c>
      <c r="U167" s="151" t="str">
        <f aca="false">IF(ISNUMBER(B167),B167*(1-1/'13_Mapa_Liq'!$B$17+'13_Mapa_Liq'!$B$6),"")</f>
        <v/>
      </c>
      <c r="V167" s="151" t="n">
        <f aca="false">IF(ISNUMBER(B167),IF(K167&gt;U167,I167*'13_Mapa_Liq'!$C$17,0),0)</f>
        <v>0</v>
      </c>
      <c r="W167" s="151" t="str">
        <f aca="false">IF(ISNUMBER(B167),B167*(1+1/'13_Mapa_Liq'!$B$17-'13_Mapa_Liq'!$B$6),"")</f>
        <v/>
      </c>
      <c r="X167" s="151" t="n">
        <f aca="false">IF(ISNUMBER(B167),IF(L167&lt;W167,J167*'13_Mapa_Liq'!$C$17,0),0)</f>
        <v>0</v>
      </c>
      <c r="Y167" s="151" t="str">
        <f aca="false">IF(ISNUMBER(B167),B167*(1-1/'13_Mapa_Liq'!$B$18+'13_Mapa_Liq'!$B$6),"")</f>
        <v/>
      </c>
      <c r="Z167" s="151" t="n">
        <f aca="false">IF(ISNUMBER(B167),IF(K167&gt;Y167,I167*'13_Mapa_Liq'!$C$18,0),0)</f>
        <v>0</v>
      </c>
      <c r="AA167" s="151" t="str">
        <f aca="false">IF(ISNUMBER(B167),B167*(1+1/'13_Mapa_Liq'!$B$18-'13_Mapa_Liq'!$B$6),"")</f>
        <v/>
      </c>
      <c r="AB167" s="151" t="n">
        <f aca="false">IF(ISNUMBER(B167),IF(L167&lt;AA167,J167*'13_Mapa_Liq'!$C$18,0),0)</f>
        <v>0</v>
      </c>
      <c r="AC167" s="151" t="str">
        <f aca="false">IF(ISNUMBER(B167),B167*(1-1/'13_Mapa_Liq'!$B$19+'13_Mapa_Liq'!$B$6),"")</f>
        <v/>
      </c>
      <c r="AD167" s="151" t="n">
        <f aca="false">IF(ISNUMBER(B167),IF(K167&gt;AC167,I167*'13_Mapa_Liq'!$C$19,0),0)</f>
        <v>0</v>
      </c>
      <c r="AE167" s="151" t="str">
        <f aca="false">IF(ISNUMBER(B167),B167*(1+1/'13_Mapa_Liq'!$B$19-'13_Mapa_Liq'!$B$6),"")</f>
        <v/>
      </c>
      <c r="AF167" s="151" t="n">
        <f aca="false">IF(ISNUMBER(B167),IF(L167&lt;AE167,J167*'13_Mapa_Liq'!$C$19,0),0)</f>
        <v>0</v>
      </c>
      <c r="AG167" s="151"/>
      <c r="AH167" s="151" t="n">
        <f aca="false">IF(ISNUMBER(B167),E167*F167*((K167&lt;=M167)*'13_Mapa_Liq'!$C$15+(K167&lt;=Q167)*'13_Mapa_Liq'!$C$16+(K167&lt;=U167)*'13_Mapa_Liq'!$C$17+(K167&lt;=Y167)*'13_Mapa_Liq'!$C$18+(K167&lt;=AC167)*'13_Mapa_Liq'!$C$19),0)</f>
        <v>0</v>
      </c>
      <c r="AI167" s="151" t="n">
        <f aca="false">IF(ISNUMBER(B167),E167*(1-F167)*((L167&gt;=O167)*'13_Mapa_Liq'!$C$15+(L167&gt;=S167)*'13_Mapa_Liq'!$C$16+(L167&gt;=W167)*'13_Mapa_Liq'!$C$17+(L167&gt;=AA167)*'13_Mapa_Liq'!$C$18+(L167&gt;=AE167)*'13_Mapa_Liq'!$C$19),0)</f>
        <v>0</v>
      </c>
    </row>
    <row r="168" customFormat="false" ht="15" hidden="false" customHeight="false" outlineLevel="0" collapsed="false">
      <c r="A168" s="151" t="str">
        <f aca="false">IF(ISNUMBER('12_Datos_5m'!F168),ROW()-4,"")</f>
        <v/>
      </c>
      <c r="B168" s="151" t="str">
        <f aca="false">IF(ISNUMBER('12_Datos_5m'!F168),'12_Datos_5m'!F168,"")</f>
        <v/>
      </c>
      <c r="C168" s="151" t="str">
        <f aca="false">IF(ISNUMBER('12_Datos_5m'!A168),'12_Datos_5m'!A168,"")</f>
        <v/>
      </c>
      <c r="D168" s="151" t="n">
        <f aca="false">IF(AND(ISNUMBER('12_Datos_5m'!I168),ISNUMBER('12_Datos_5m'!I167)),'12_Datos_5m'!I168-'12_Datos_5m'!I167,0)</f>
        <v>0</v>
      </c>
      <c r="E168" s="151" t="n">
        <f aca="false">MAX(0,D168)</f>
        <v>0</v>
      </c>
      <c r="F168" s="151" t="n">
        <f aca="false">IF(AND(ISNUMBER('12_Datos_5m'!G168),N('12_Datos_5m'!G168)&gt;0),'12_Datos_5m'!H168/'12_Datos_5m'!G168,0.5)</f>
        <v>0.5</v>
      </c>
      <c r="G168" s="151" t="n">
        <f aca="false">IF(ISNUMBER(C168),($C$2-C168)/3600000,0)</f>
        <v>0</v>
      </c>
      <c r="H168" s="151" t="n">
        <f aca="false">EXP(-G168/'13_Mapa_Liq'!$B$7)</f>
        <v>1</v>
      </c>
      <c r="I168" s="151" t="n">
        <f aca="false">E168*F168*H168</f>
        <v>0</v>
      </c>
      <c r="J168" s="151" t="n">
        <f aca="false">E168*(1-F168)*H168</f>
        <v>0</v>
      </c>
      <c r="K168" s="151" t="n">
        <f aca="false">IF(COUNT('12_Datos_5m'!E169:E$504)=0,1000000000000,MIN('12_Datos_5m'!E169:E$504))</f>
        <v>1000000000000</v>
      </c>
      <c r="L168" s="151" t="n">
        <f aca="false">IF(COUNT('12_Datos_5m'!D169:D$504)=0,0,MAX('12_Datos_5m'!D169:D$504))</f>
        <v>0</v>
      </c>
      <c r="M168" s="151" t="str">
        <f aca="false">IF(ISNUMBER(B168),B168*(1-1/'13_Mapa_Liq'!$B$15+'13_Mapa_Liq'!$B$6),"")</f>
        <v/>
      </c>
      <c r="N168" s="151" t="n">
        <f aca="false">IF(ISNUMBER(B168),IF(K168&gt;M168,I168*'13_Mapa_Liq'!$C$15,0),0)</f>
        <v>0</v>
      </c>
      <c r="O168" s="151" t="str">
        <f aca="false">IF(ISNUMBER(B168),B168*(1+1/'13_Mapa_Liq'!$B$15-'13_Mapa_Liq'!$B$6),"")</f>
        <v/>
      </c>
      <c r="P168" s="151" t="n">
        <f aca="false">IF(ISNUMBER(B168),IF(L168&lt;O168,J168*'13_Mapa_Liq'!$C$15,0),0)</f>
        <v>0</v>
      </c>
      <c r="Q168" s="151" t="str">
        <f aca="false">IF(ISNUMBER(B168),B168*(1-1/'13_Mapa_Liq'!$B$16+'13_Mapa_Liq'!$B$6),"")</f>
        <v/>
      </c>
      <c r="R168" s="151" t="n">
        <f aca="false">IF(ISNUMBER(B168),IF(K168&gt;Q168,I168*'13_Mapa_Liq'!$C$16,0),0)</f>
        <v>0</v>
      </c>
      <c r="S168" s="151" t="str">
        <f aca="false">IF(ISNUMBER(B168),B168*(1+1/'13_Mapa_Liq'!$B$16-'13_Mapa_Liq'!$B$6),"")</f>
        <v/>
      </c>
      <c r="T168" s="151" t="n">
        <f aca="false">IF(ISNUMBER(B168),IF(L168&lt;S168,J168*'13_Mapa_Liq'!$C$16,0),0)</f>
        <v>0</v>
      </c>
      <c r="U168" s="151" t="str">
        <f aca="false">IF(ISNUMBER(B168),B168*(1-1/'13_Mapa_Liq'!$B$17+'13_Mapa_Liq'!$B$6),"")</f>
        <v/>
      </c>
      <c r="V168" s="151" t="n">
        <f aca="false">IF(ISNUMBER(B168),IF(K168&gt;U168,I168*'13_Mapa_Liq'!$C$17,0),0)</f>
        <v>0</v>
      </c>
      <c r="W168" s="151" t="str">
        <f aca="false">IF(ISNUMBER(B168),B168*(1+1/'13_Mapa_Liq'!$B$17-'13_Mapa_Liq'!$B$6),"")</f>
        <v/>
      </c>
      <c r="X168" s="151" t="n">
        <f aca="false">IF(ISNUMBER(B168),IF(L168&lt;W168,J168*'13_Mapa_Liq'!$C$17,0),0)</f>
        <v>0</v>
      </c>
      <c r="Y168" s="151" t="str">
        <f aca="false">IF(ISNUMBER(B168),B168*(1-1/'13_Mapa_Liq'!$B$18+'13_Mapa_Liq'!$B$6),"")</f>
        <v/>
      </c>
      <c r="Z168" s="151" t="n">
        <f aca="false">IF(ISNUMBER(B168),IF(K168&gt;Y168,I168*'13_Mapa_Liq'!$C$18,0),0)</f>
        <v>0</v>
      </c>
      <c r="AA168" s="151" t="str">
        <f aca="false">IF(ISNUMBER(B168),B168*(1+1/'13_Mapa_Liq'!$B$18-'13_Mapa_Liq'!$B$6),"")</f>
        <v/>
      </c>
      <c r="AB168" s="151" t="n">
        <f aca="false">IF(ISNUMBER(B168),IF(L168&lt;AA168,J168*'13_Mapa_Liq'!$C$18,0),0)</f>
        <v>0</v>
      </c>
      <c r="AC168" s="151" t="str">
        <f aca="false">IF(ISNUMBER(B168),B168*(1-1/'13_Mapa_Liq'!$B$19+'13_Mapa_Liq'!$B$6),"")</f>
        <v/>
      </c>
      <c r="AD168" s="151" t="n">
        <f aca="false">IF(ISNUMBER(B168),IF(K168&gt;AC168,I168*'13_Mapa_Liq'!$C$19,0),0)</f>
        <v>0</v>
      </c>
      <c r="AE168" s="151" t="str">
        <f aca="false">IF(ISNUMBER(B168),B168*(1+1/'13_Mapa_Liq'!$B$19-'13_Mapa_Liq'!$B$6),"")</f>
        <v/>
      </c>
      <c r="AF168" s="151" t="n">
        <f aca="false">IF(ISNUMBER(B168),IF(L168&lt;AE168,J168*'13_Mapa_Liq'!$C$19,0),0)</f>
        <v>0</v>
      </c>
      <c r="AG168" s="151"/>
      <c r="AH168" s="151" t="n">
        <f aca="false">IF(ISNUMBER(B168),E168*F168*((K168&lt;=M168)*'13_Mapa_Liq'!$C$15+(K168&lt;=Q168)*'13_Mapa_Liq'!$C$16+(K168&lt;=U168)*'13_Mapa_Liq'!$C$17+(K168&lt;=Y168)*'13_Mapa_Liq'!$C$18+(K168&lt;=AC168)*'13_Mapa_Liq'!$C$19),0)</f>
        <v>0</v>
      </c>
      <c r="AI168" s="151" t="n">
        <f aca="false">IF(ISNUMBER(B168),E168*(1-F168)*((L168&gt;=O168)*'13_Mapa_Liq'!$C$15+(L168&gt;=S168)*'13_Mapa_Liq'!$C$16+(L168&gt;=W168)*'13_Mapa_Liq'!$C$17+(L168&gt;=AA168)*'13_Mapa_Liq'!$C$18+(L168&gt;=AE168)*'13_Mapa_Liq'!$C$19),0)</f>
        <v>0</v>
      </c>
    </row>
    <row r="169" customFormat="false" ht="15" hidden="false" customHeight="false" outlineLevel="0" collapsed="false">
      <c r="A169" s="151" t="str">
        <f aca="false">IF(ISNUMBER('12_Datos_5m'!F169),ROW()-4,"")</f>
        <v/>
      </c>
      <c r="B169" s="151" t="str">
        <f aca="false">IF(ISNUMBER('12_Datos_5m'!F169),'12_Datos_5m'!F169,"")</f>
        <v/>
      </c>
      <c r="C169" s="151" t="str">
        <f aca="false">IF(ISNUMBER('12_Datos_5m'!A169),'12_Datos_5m'!A169,"")</f>
        <v/>
      </c>
      <c r="D169" s="151" t="n">
        <f aca="false">IF(AND(ISNUMBER('12_Datos_5m'!I169),ISNUMBER('12_Datos_5m'!I168)),'12_Datos_5m'!I169-'12_Datos_5m'!I168,0)</f>
        <v>0</v>
      </c>
      <c r="E169" s="151" t="n">
        <f aca="false">MAX(0,D169)</f>
        <v>0</v>
      </c>
      <c r="F169" s="151" t="n">
        <f aca="false">IF(AND(ISNUMBER('12_Datos_5m'!G169),N('12_Datos_5m'!G169)&gt;0),'12_Datos_5m'!H169/'12_Datos_5m'!G169,0.5)</f>
        <v>0.5</v>
      </c>
      <c r="G169" s="151" t="n">
        <f aca="false">IF(ISNUMBER(C169),($C$2-C169)/3600000,0)</f>
        <v>0</v>
      </c>
      <c r="H169" s="151" t="n">
        <f aca="false">EXP(-G169/'13_Mapa_Liq'!$B$7)</f>
        <v>1</v>
      </c>
      <c r="I169" s="151" t="n">
        <f aca="false">E169*F169*H169</f>
        <v>0</v>
      </c>
      <c r="J169" s="151" t="n">
        <f aca="false">E169*(1-F169)*H169</f>
        <v>0</v>
      </c>
      <c r="K169" s="151" t="n">
        <f aca="false">IF(COUNT('12_Datos_5m'!E170:E$504)=0,1000000000000,MIN('12_Datos_5m'!E170:E$504))</f>
        <v>1000000000000</v>
      </c>
      <c r="L169" s="151" t="n">
        <f aca="false">IF(COUNT('12_Datos_5m'!D170:D$504)=0,0,MAX('12_Datos_5m'!D170:D$504))</f>
        <v>0</v>
      </c>
      <c r="M169" s="151" t="str">
        <f aca="false">IF(ISNUMBER(B169),B169*(1-1/'13_Mapa_Liq'!$B$15+'13_Mapa_Liq'!$B$6),"")</f>
        <v/>
      </c>
      <c r="N169" s="151" t="n">
        <f aca="false">IF(ISNUMBER(B169),IF(K169&gt;M169,I169*'13_Mapa_Liq'!$C$15,0),0)</f>
        <v>0</v>
      </c>
      <c r="O169" s="151" t="str">
        <f aca="false">IF(ISNUMBER(B169),B169*(1+1/'13_Mapa_Liq'!$B$15-'13_Mapa_Liq'!$B$6),"")</f>
        <v/>
      </c>
      <c r="P169" s="151" t="n">
        <f aca="false">IF(ISNUMBER(B169),IF(L169&lt;O169,J169*'13_Mapa_Liq'!$C$15,0),0)</f>
        <v>0</v>
      </c>
      <c r="Q169" s="151" t="str">
        <f aca="false">IF(ISNUMBER(B169),B169*(1-1/'13_Mapa_Liq'!$B$16+'13_Mapa_Liq'!$B$6),"")</f>
        <v/>
      </c>
      <c r="R169" s="151" t="n">
        <f aca="false">IF(ISNUMBER(B169),IF(K169&gt;Q169,I169*'13_Mapa_Liq'!$C$16,0),0)</f>
        <v>0</v>
      </c>
      <c r="S169" s="151" t="str">
        <f aca="false">IF(ISNUMBER(B169),B169*(1+1/'13_Mapa_Liq'!$B$16-'13_Mapa_Liq'!$B$6),"")</f>
        <v/>
      </c>
      <c r="T169" s="151" t="n">
        <f aca="false">IF(ISNUMBER(B169),IF(L169&lt;S169,J169*'13_Mapa_Liq'!$C$16,0),0)</f>
        <v>0</v>
      </c>
      <c r="U169" s="151" t="str">
        <f aca="false">IF(ISNUMBER(B169),B169*(1-1/'13_Mapa_Liq'!$B$17+'13_Mapa_Liq'!$B$6),"")</f>
        <v/>
      </c>
      <c r="V169" s="151" t="n">
        <f aca="false">IF(ISNUMBER(B169),IF(K169&gt;U169,I169*'13_Mapa_Liq'!$C$17,0),0)</f>
        <v>0</v>
      </c>
      <c r="W169" s="151" t="str">
        <f aca="false">IF(ISNUMBER(B169),B169*(1+1/'13_Mapa_Liq'!$B$17-'13_Mapa_Liq'!$B$6),"")</f>
        <v/>
      </c>
      <c r="X169" s="151" t="n">
        <f aca="false">IF(ISNUMBER(B169),IF(L169&lt;W169,J169*'13_Mapa_Liq'!$C$17,0),0)</f>
        <v>0</v>
      </c>
      <c r="Y169" s="151" t="str">
        <f aca="false">IF(ISNUMBER(B169),B169*(1-1/'13_Mapa_Liq'!$B$18+'13_Mapa_Liq'!$B$6),"")</f>
        <v/>
      </c>
      <c r="Z169" s="151" t="n">
        <f aca="false">IF(ISNUMBER(B169),IF(K169&gt;Y169,I169*'13_Mapa_Liq'!$C$18,0),0)</f>
        <v>0</v>
      </c>
      <c r="AA169" s="151" t="str">
        <f aca="false">IF(ISNUMBER(B169),B169*(1+1/'13_Mapa_Liq'!$B$18-'13_Mapa_Liq'!$B$6),"")</f>
        <v/>
      </c>
      <c r="AB169" s="151" t="n">
        <f aca="false">IF(ISNUMBER(B169),IF(L169&lt;AA169,J169*'13_Mapa_Liq'!$C$18,0),0)</f>
        <v>0</v>
      </c>
      <c r="AC169" s="151" t="str">
        <f aca="false">IF(ISNUMBER(B169),B169*(1-1/'13_Mapa_Liq'!$B$19+'13_Mapa_Liq'!$B$6),"")</f>
        <v/>
      </c>
      <c r="AD169" s="151" t="n">
        <f aca="false">IF(ISNUMBER(B169),IF(K169&gt;AC169,I169*'13_Mapa_Liq'!$C$19,0),0)</f>
        <v>0</v>
      </c>
      <c r="AE169" s="151" t="str">
        <f aca="false">IF(ISNUMBER(B169),B169*(1+1/'13_Mapa_Liq'!$B$19-'13_Mapa_Liq'!$B$6),"")</f>
        <v/>
      </c>
      <c r="AF169" s="151" t="n">
        <f aca="false">IF(ISNUMBER(B169),IF(L169&lt;AE169,J169*'13_Mapa_Liq'!$C$19,0),0)</f>
        <v>0</v>
      </c>
      <c r="AG169" s="151"/>
      <c r="AH169" s="151" t="n">
        <f aca="false">IF(ISNUMBER(B169),E169*F169*((K169&lt;=M169)*'13_Mapa_Liq'!$C$15+(K169&lt;=Q169)*'13_Mapa_Liq'!$C$16+(K169&lt;=U169)*'13_Mapa_Liq'!$C$17+(K169&lt;=Y169)*'13_Mapa_Liq'!$C$18+(K169&lt;=AC169)*'13_Mapa_Liq'!$C$19),0)</f>
        <v>0</v>
      </c>
      <c r="AI169" s="151" t="n">
        <f aca="false">IF(ISNUMBER(B169),E169*(1-F169)*((L169&gt;=O169)*'13_Mapa_Liq'!$C$15+(L169&gt;=S169)*'13_Mapa_Liq'!$C$16+(L169&gt;=W169)*'13_Mapa_Liq'!$C$17+(L169&gt;=AA169)*'13_Mapa_Liq'!$C$18+(L169&gt;=AE169)*'13_Mapa_Liq'!$C$19),0)</f>
        <v>0</v>
      </c>
    </row>
    <row r="170" customFormat="false" ht="15" hidden="false" customHeight="false" outlineLevel="0" collapsed="false">
      <c r="A170" s="151" t="str">
        <f aca="false">IF(ISNUMBER('12_Datos_5m'!F170),ROW()-4,"")</f>
        <v/>
      </c>
      <c r="B170" s="151" t="str">
        <f aca="false">IF(ISNUMBER('12_Datos_5m'!F170),'12_Datos_5m'!F170,"")</f>
        <v/>
      </c>
      <c r="C170" s="151" t="str">
        <f aca="false">IF(ISNUMBER('12_Datos_5m'!A170),'12_Datos_5m'!A170,"")</f>
        <v/>
      </c>
      <c r="D170" s="151" t="n">
        <f aca="false">IF(AND(ISNUMBER('12_Datos_5m'!I170),ISNUMBER('12_Datos_5m'!I169)),'12_Datos_5m'!I170-'12_Datos_5m'!I169,0)</f>
        <v>0</v>
      </c>
      <c r="E170" s="151" t="n">
        <f aca="false">MAX(0,D170)</f>
        <v>0</v>
      </c>
      <c r="F170" s="151" t="n">
        <f aca="false">IF(AND(ISNUMBER('12_Datos_5m'!G170),N('12_Datos_5m'!G170)&gt;0),'12_Datos_5m'!H170/'12_Datos_5m'!G170,0.5)</f>
        <v>0.5</v>
      </c>
      <c r="G170" s="151" t="n">
        <f aca="false">IF(ISNUMBER(C170),($C$2-C170)/3600000,0)</f>
        <v>0</v>
      </c>
      <c r="H170" s="151" t="n">
        <f aca="false">EXP(-G170/'13_Mapa_Liq'!$B$7)</f>
        <v>1</v>
      </c>
      <c r="I170" s="151" t="n">
        <f aca="false">E170*F170*H170</f>
        <v>0</v>
      </c>
      <c r="J170" s="151" t="n">
        <f aca="false">E170*(1-F170)*H170</f>
        <v>0</v>
      </c>
      <c r="K170" s="151" t="n">
        <f aca="false">IF(COUNT('12_Datos_5m'!E171:E$504)=0,1000000000000,MIN('12_Datos_5m'!E171:E$504))</f>
        <v>1000000000000</v>
      </c>
      <c r="L170" s="151" t="n">
        <f aca="false">IF(COUNT('12_Datos_5m'!D171:D$504)=0,0,MAX('12_Datos_5m'!D171:D$504))</f>
        <v>0</v>
      </c>
      <c r="M170" s="151" t="str">
        <f aca="false">IF(ISNUMBER(B170),B170*(1-1/'13_Mapa_Liq'!$B$15+'13_Mapa_Liq'!$B$6),"")</f>
        <v/>
      </c>
      <c r="N170" s="151" t="n">
        <f aca="false">IF(ISNUMBER(B170),IF(K170&gt;M170,I170*'13_Mapa_Liq'!$C$15,0),0)</f>
        <v>0</v>
      </c>
      <c r="O170" s="151" t="str">
        <f aca="false">IF(ISNUMBER(B170),B170*(1+1/'13_Mapa_Liq'!$B$15-'13_Mapa_Liq'!$B$6),"")</f>
        <v/>
      </c>
      <c r="P170" s="151" t="n">
        <f aca="false">IF(ISNUMBER(B170),IF(L170&lt;O170,J170*'13_Mapa_Liq'!$C$15,0),0)</f>
        <v>0</v>
      </c>
      <c r="Q170" s="151" t="str">
        <f aca="false">IF(ISNUMBER(B170),B170*(1-1/'13_Mapa_Liq'!$B$16+'13_Mapa_Liq'!$B$6),"")</f>
        <v/>
      </c>
      <c r="R170" s="151" t="n">
        <f aca="false">IF(ISNUMBER(B170),IF(K170&gt;Q170,I170*'13_Mapa_Liq'!$C$16,0),0)</f>
        <v>0</v>
      </c>
      <c r="S170" s="151" t="str">
        <f aca="false">IF(ISNUMBER(B170),B170*(1+1/'13_Mapa_Liq'!$B$16-'13_Mapa_Liq'!$B$6),"")</f>
        <v/>
      </c>
      <c r="T170" s="151" t="n">
        <f aca="false">IF(ISNUMBER(B170),IF(L170&lt;S170,J170*'13_Mapa_Liq'!$C$16,0),0)</f>
        <v>0</v>
      </c>
      <c r="U170" s="151" t="str">
        <f aca="false">IF(ISNUMBER(B170),B170*(1-1/'13_Mapa_Liq'!$B$17+'13_Mapa_Liq'!$B$6),"")</f>
        <v/>
      </c>
      <c r="V170" s="151" t="n">
        <f aca="false">IF(ISNUMBER(B170),IF(K170&gt;U170,I170*'13_Mapa_Liq'!$C$17,0),0)</f>
        <v>0</v>
      </c>
      <c r="W170" s="151" t="str">
        <f aca="false">IF(ISNUMBER(B170),B170*(1+1/'13_Mapa_Liq'!$B$17-'13_Mapa_Liq'!$B$6),"")</f>
        <v/>
      </c>
      <c r="X170" s="151" t="n">
        <f aca="false">IF(ISNUMBER(B170),IF(L170&lt;W170,J170*'13_Mapa_Liq'!$C$17,0),0)</f>
        <v>0</v>
      </c>
      <c r="Y170" s="151" t="str">
        <f aca="false">IF(ISNUMBER(B170),B170*(1-1/'13_Mapa_Liq'!$B$18+'13_Mapa_Liq'!$B$6),"")</f>
        <v/>
      </c>
      <c r="Z170" s="151" t="n">
        <f aca="false">IF(ISNUMBER(B170),IF(K170&gt;Y170,I170*'13_Mapa_Liq'!$C$18,0),0)</f>
        <v>0</v>
      </c>
      <c r="AA170" s="151" t="str">
        <f aca="false">IF(ISNUMBER(B170),B170*(1+1/'13_Mapa_Liq'!$B$18-'13_Mapa_Liq'!$B$6),"")</f>
        <v/>
      </c>
      <c r="AB170" s="151" t="n">
        <f aca="false">IF(ISNUMBER(B170),IF(L170&lt;AA170,J170*'13_Mapa_Liq'!$C$18,0),0)</f>
        <v>0</v>
      </c>
      <c r="AC170" s="151" t="str">
        <f aca="false">IF(ISNUMBER(B170),B170*(1-1/'13_Mapa_Liq'!$B$19+'13_Mapa_Liq'!$B$6),"")</f>
        <v/>
      </c>
      <c r="AD170" s="151" t="n">
        <f aca="false">IF(ISNUMBER(B170),IF(K170&gt;AC170,I170*'13_Mapa_Liq'!$C$19,0),0)</f>
        <v>0</v>
      </c>
      <c r="AE170" s="151" t="str">
        <f aca="false">IF(ISNUMBER(B170),B170*(1+1/'13_Mapa_Liq'!$B$19-'13_Mapa_Liq'!$B$6),"")</f>
        <v/>
      </c>
      <c r="AF170" s="151" t="n">
        <f aca="false">IF(ISNUMBER(B170),IF(L170&lt;AE170,J170*'13_Mapa_Liq'!$C$19,0),0)</f>
        <v>0</v>
      </c>
      <c r="AG170" s="151"/>
      <c r="AH170" s="151" t="n">
        <f aca="false">IF(ISNUMBER(B170),E170*F170*((K170&lt;=M170)*'13_Mapa_Liq'!$C$15+(K170&lt;=Q170)*'13_Mapa_Liq'!$C$16+(K170&lt;=U170)*'13_Mapa_Liq'!$C$17+(K170&lt;=Y170)*'13_Mapa_Liq'!$C$18+(K170&lt;=AC170)*'13_Mapa_Liq'!$C$19),0)</f>
        <v>0</v>
      </c>
      <c r="AI170" s="151" t="n">
        <f aca="false">IF(ISNUMBER(B170),E170*(1-F170)*((L170&gt;=O170)*'13_Mapa_Liq'!$C$15+(L170&gt;=S170)*'13_Mapa_Liq'!$C$16+(L170&gt;=W170)*'13_Mapa_Liq'!$C$17+(L170&gt;=AA170)*'13_Mapa_Liq'!$C$18+(L170&gt;=AE170)*'13_Mapa_Liq'!$C$19),0)</f>
        <v>0</v>
      </c>
    </row>
    <row r="171" customFormat="false" ht="15" hidden="false" customHeight="false" outlineLevel="0" collapsed="false">
      <c r="A171" s="151" t="str">
        <f aca="false">IF(ISNUMBER('12_Datos_5m'!F171),ROW()-4,"")</f>
        <v/>
      </c>
      <c r="B171" s="151" t="str">
        <f aca="false">IF(ISNUMBER('12_Datos_5m'!F171),'12_Datos_5m'!F171,"")</f>
        <v/>
      </c>
      <c r="C171" s="151" t="str">
        <f aca="false">IF(ISNUMBER('12_Datos_5m'!A171),'12_Datos_5m'!A171,"")</f>
        <v/>
      </c>
      <c r="D171" s="151" t="n">
        <f aca="false">IF(AND(ISNUMBER('12_Datos_5m'!I171),ISNUMBER('12_Datos_5m'!I170)),'12_Datos_5m'!I171-'12_Datos_5m'!I170,0)</f>
        <v>0</v>
      </c>
      <c r="E171" s="151" t="n">
        <f aca="false">MAX(0,D171)</f>
        <v>0</v>
      </c>
      <c r="F171" s="151" t="n">
        <f aca="false">IF(AND(ISNUMBER('12_Datos_5m'!G171),N('12_Datos_5m'!G171)&gt;0),'12_Datos_5m'!H171/'12_Datos_5m'!G171,0.5)</f>
        <v>0.5</v>
      </c>
      <c r="G171" s="151" t="n">
        <f aca="false">IF(ISNUMBER(C171),($C$2-C171)/3600000,0)</f>
        <v>0</v>
      </c>
      <c r="H171" s="151" t="n">
        <f aca="false">EXP(-G171/'13_Mapa_Liq'!$B$7)</f>
        <v>1</v>
      </c>
      <c r="I171" s="151" t="n">
        <f aca="false">E171*F171*H171</f>
        <v>0</v>
      </c>
      <c r="J171" s="151" t="n">
        <f aca="false">E171*(1-F171)*H171</f>
        <v>0</v>
      </c>
      <c r="K171" s="151" t="n">
        <f aca="false">IF(COUNT('12_Datos_5m'!E172:E$504)=0,1000000000000,MIN('12_Datos_5m'!E172:E$504))</f>
        <v>1000000000000</v>
      </c>
      <c r="L171" s="151" t="n">
        <f aca="false">IF(COUNT('12_Datos_5m'!D172:D$504)=0,0,MAX('12_Datos_5m'!D172:D$504))</f>
        <v>0</v>
      </c>
      <c r="M171" s="151" t="str">
        <f aca="false">IF(ISNUMBER(B171),B171*(1-1/'13_Mapa_Liq'!$B$15+'13_Mapa_Liq'!$B$6),"")</f>
        <v/>
      </c>
      <c r="N171" s="151" t="n">
        <f aca="false">IF(ISNUMBER(B171),IF(K171&gt;M171,I171*'13_Mapa_Liq'!$C$15,0),0)</f>
        <v>0</v>
      </c>
      <c r="O171" s="151" t="str">
        <f aca="false">IF(ISNUMBER(B171),B171*(1+1/'13_Mapa_Liq'!$B$15-'13_Mapa_Liq'!$B$6),"")</f>
        <v/>
      </c>
      <c r="P171" s="151" t="n">
        <f aca="false">IF(ISNUMBER(B171),IF(L171&lt;O171,J171*'13_Mapa_Liq'!$C$15,0),0)</f>
        <v>0</v>
      </c>
      <c r="Q171" s="151" t="str">
        <f aca="false">IF(ISNUMBER(B171),B171*(1-1/'13_Mapa_Liq'!$B$16+'13_Mapa_Liq'!$B$6),"")</f>
        <v/>
      </c>
      <c r="R171" s="151" t="n">
        <f aca="false">IF(ISNUMBER(B171),IF(K171&gt;Q171,I171*'13_Mapa_Liq'!$C$16,0),0)</f>
        <v>0</v>
      </c>
      <c r="S171" s="151" t="str">
        <f aca="false">IF(ISNUMBER(B171),B171*(1+1/'13_Mapa_Liq'!$B$16-'13_Mapa_Liq'!$B$6),"")</f>
        <v/>
      </c>
      <c r="T171" s="151" t="n">
        <f aca="false">IF(ISNUMBER(B171),IF(L171&lt;S171,J171*'13_Mapa_Liq'!$C$16,0),0)</f>
        <v>0</v>
      </c>
      <c r="U171" s="151" t="str">
        <f aca="false">IF(ISNUMBER(B171),B171*(1-1/'13_Mapa_Liq'!$B$17+'13_Mapa_Liq'!$B$6),"")</f>
        <v/>
      </c>
      <c r="V171" s="151" t="n">
        <f aca="false">IF(ISNUMBER(B171),IF(K171&gt;U171,I171*'13_Mapa_Liq'!$C$17,0),0)</f>
        <v>0</v>
      </c>
      <c r="W171" s="151" t="str">
        <f aca="false">IF(ISNUMBER(B171),B171*(1+1/'13_Mapa_Liq'!$B$17-'13_Mapa_Liq'!$B$6),"")</f>
        <v/>
      </c>
      <c r="X171" s="151" t="n">
        <f aca="false">IF(ISNUMBER(B171),IF(L171&lt;W171,J171*'13_Mapa_Liq'!$C$17,0),0)</f>
        <v>0</v>
      </c>
      <c r="Y171" s="151" t="str">
        <f aca="false">IF(ISNUMBER(B171),B171*(1-1/'13_Mapa_Liq'!$B$18+'13_Mapa_Liq'!$B$6),"")</f>
        <v/>
      </c>
      <c r="Z171" s="151" t="n">
        <f aca="false">IF(ISNUMBER(B171),IF(K171&gt;Y171,I171*'13_Mapa_Liq'!$C$18,0),0)</f>
        <v>0</v>
      </c>
      <c r="AA171" s="151" t="str">
        <f aca="false">IF(ISNUMBER(B171),B171*(1+1/'13_Mapa_Liq'!$B$18-'13_Mapa_Liq'!$B$6),"")</f>
        <v/>
      </c>
      <c r="AB171" s="151" t="n">
        <f aca="false">IF(ISNUMBER(B171),IF(L171&lt;AA171,J171*'13_Mapa_Liq'!$C$18,0),0)</f>
        <v>0</v>
      </c>
      <c r="AC171" s="151" t="str">
        <f aca="false">IF(ISNUMBER(B171),B171*(1-1/'13_Mapa_Liq'!$B$19+'13_Mapa_Liq'!$B$6),"")</f>
        <v/>
      </c>
      <c r="AD171" s="151" t="n">
        <f aca="false">IF(ISNUMBER(B171),IF(K171&gt;AC171,I171*'13_Mapa_Liq'!$C$19,0),0)</f>
        <v>0</v>
      </c>
      <c r="AE171" s="151" t="str">
        <f aca="false">IF(ISNUMBER(B171),B171*(1+1/'13_Mapa_Liq'!$B$19-'13_Mapa_Liq'!$B$6),"")</f>
        <v/>
      </c>
      <c r="AF171" s="151" t="n">
        <f aca="false">IF(ISNUMBER(B171),IF(L171&lt;AE171,J171*'13_Mapa_Liq'!$C$19,0),0)</f>
        <v>0</v>
      </c>
      <c r="AG171" s="151"/>
      <c r="AH171" s="151" t="n">
        <f aca="false">IF(ISNUMBER(B171),E171*F171*((K171&lt;=M171)*'13_Mapa_Liq'!$C$15+(K171&lt;=Q171)*'13_Mapa_Liq'!$C$16+(K171&lt;=U171)*'13_Mapa_Liq'!$C$17+(K171&lt;=Y171)*'13_Mapa_Liq'!$C$18+(K171&lt;=AC171)*'13_Mapa_Liq'!$C$19),0)</f>
        <v>0</v>
      </c>
      <c r="AI171" s="151" t="n">
        <f aca="false">IF(ISNUMBER(B171),E171*(1-F171)*((L171&gt;=O171)*'13_Mapa_Liq'!$C$15+(L171&gt;=S171)*'13_Mapa_Liq'!$C$16+(L171&gt;=W171)*'13_Mapa_Liq'!$C$17+(L171&gt;=AA171)*'13_Mapa_Liq'!$C$18+(L171&gt;=AE171)*'13_Mapa_Liq'!$C$19),0)</f>
        <v>0</v>
      </c>
    </row>
    <row r="172" customFormat="false" ht="15" hidden="false" customHeight="false" outlineLevel="0" collapsed="false">
      <c r="A172" s="151" t="str">
        <f aca="false">IF(ISNUMBER('12_Datos_5m'!F172),ROW()-4,"")</f>
        <v/>
      </c>
      <c r="B172" s="151" t="str">
        <f aca="false">IF(ISNUMBER('12_Datos_5m'!F172),'12_Datos_5m'!F172,"")</f>
        <v/>
      </c>
      <c r="C172" s="151" t="str">
        <f aca="false">IF(ISNUMBER('12_Datos_5m'!A172),'12_Datos_5m'!A172,"")</f>
        <v/>
      </c>
      <c r="D172" s="151" t="n">
        <f aca="false">IF(AND(ISNUMBER('12_Datos_5m'!I172),ISNUMBER('12_Datos_5m'!I171)),'12_Datos_5m'!I172-'12_Datos_5m'!I171,0)</f>
        <v>0</v>
      </c>
      <c r="E172" s="151" t="n">
        <f aca="false">MAX(0,D172)</f>
        <v>0</v>
      </c>
      <c r="F172" s="151" t="n">
        <f aca="false">IF(AND(ISNUMBER('12_Datos_5m'!G172),N('12_Datos_5m'!G172)&gt;0),'12_Datos_5m'!H172/'12_Datos_5m'!G172,0.5)</f>
        <v>0.5</v>
      </c>
      <c r="G172" s="151" t="n">
        <f aca="false">IF(ISNUMBER(C172),($C$2-C172)/3600000,0)</f>
        <v>0</v>
      </c>
      <c r="H172" s="151" t="n">
        <f aca="false">EXP(-G172/'13_Mapa_Liq'!$B$7)</f>
        <v>1</v>
      </c>
      <c r="I172" s="151" t="n">
        <f aca="false">E172*F172*H172</f>
        <v>0</v>
      </c>
      <c r="J172" s="151" t="n">
        <f aca="false">E172*(1-F172)*H172</f>
        <v>0</v>
      </c>
      <c r="K172" s="151" t="n">
        <f aca="false">IF(COUNT('12_Datos_5m'!E173:E$504)=0,1000000000000,MIN('12_Datos_5m'!E173:E$504))</f>
        <v>1000000000000</v>
      </c>
      <c r="L172" s="151" t="n">
        <f aca="false">IF(COUNT('12_Datos_5m'!D173:D$504)=0,0,MAX('12_Datos_5m'!D173:D$504))</f>
        <v>0</v>
      </c>
      <c r="M172" s="151" t="str">
        <f aca="false">IF(ISNUMBER(B172),B172*(1-1/'13_Mapa_Liq'!$B$15+'13_Mapa_Liq'!$B$6),"")</f>
        <v/>
      </c>
      <c r="N172" s="151" t="n">
        <f aca="false">IF(ISNUMBER(B172),IF(K172&gt;M172,I172*'13_Mapa_Liq'!$C$15,0),0)</f>
        <v>0</v>
      </c>
      <c r="O172" s="151" t="str">
        <f aca="false">IF(ISNUMBER(B172),B172*(1+1/'13_Mapa_Liq'!$B$15-'13_Mapa_Liq'!$B$6),"")</f>
        <v/>
      </c>
      <c r="P172" s="151" t="n">
        <f aca="false">IF(ISNUMBER(B172),IF(L172&lt;O172,J172*'13_Mapa_Liq'!$C$15,0),0)</f>
        <v>0</v>
      </c>
      <c r="Q172" s="151" t="str">
        <f aca="false">IF(ISNUMBER(B172),B172*(1-1/'13_Mapa_Liq'!$B$16+'13_Mapa_Liq'!$B$6),"")</f>
        <v/>
      </c>
      <c r="R172" s="151" t="n">
        <f aca="false">IF(ISNUMBER(B172),IF(K172&gt;Q172,I172*'13_Mapa_Liq'!$C$16,0),0)</f>
        <v>0</v>
      </c>
      <c r="S172" s="151" t="str">
        <f aca="false">IF(ISNUMBER(B172),B172*(1+1/'13_Mapa_Liq'!$B$16-'13_Mapa_Liq'!$B$6),"")</f>
        <v/>
      </c>
      <c r="T172" s="151" t="n">
        <f aca="false">IF(ISNUMBER(B172),IF(L172&lt;S172,J172*'13_Mapa_Liq'!$C$16,0),0)</f>
        <v>0</v>
      </c>
      <c r="U172" s="151" t="str">
        <f aca="false">IF(ISNUMBER(B172),B172*(1-1/'13_Mapa_Liq'!$B$17+'13_Mapa_Liq'!$B$6),"")</f>
        <v/>
      </c>
      <c r="V172" s="151" t="n">
        <f aca="false">IF(ISNUMBER(B172),IF(K172&gt;U172,I172*'13_Mapa_Liq'!$C$17,0),0)</f>
        <v>0</v>
      </c>
      <c r="W172" s="151" t="str">
        <f aca="false">IF(ISNUMBER(B172),B172*(1+1/'13_Mapa_Liq'!$B$17-'13_Mapa_Liq'!$B$6),"")</f>
        <v/>
      </c>
      <c r="X172" s="151" t="n">
        <f aca="false">IF(ISNUMBER(B172),IF(L172&lt;W172,J172*'13_Mapa_Liq'!$C$17,0),0)</f>
        <v>0</v>
      </c>
      <c r="Y172" s="151" t="str">
        <f aca="false">IF(ISNUMBER(B172),B172*(1-1/'13_Mapa_Liq'!$B$18+'13_Mapa_Liq'!$B$6),"")</f>
        <v/>
      </c>
      <c r="Z172" s="151" t="n">
        <f aca="false">IF(ISNUMBER(B172),IF(K172&gt;Y172,I172*'13_Mapa_Liq'!$C$18,0),0)</f>
        <v>0</v>
      </c>
      <c r="AA172" s="151" t="str">
        <f aca="false">IF(ISNUMBER(B172),B172*(1+1/'13_Mapa_Liq'!$B$18-'13_Mapa_Liq'!$B$6),"")</f>
        <v/>
      </c>
      <c r="AB172" s="151" t="n">
        <f aca="false">IF(ISNUMBER(B172),IF(L172&lt;AA172,J172*'13_Mapa_Liq'!$C$18,0),0)</f>
        <v>0</v>
      </c>
      <c r="AC172" s="151" t="str">
        <f aca="false">IF(ISNUMBER(B172),B172*(1-1/'13_Mapa_Liq'!$B$19+'13_Mapa_Liq'!$B$6),"")</f>
        <v/>
      </c>
      <c r="AD172" s="151" t="n">
        <f aca="false">IF(ISNUMBER(B172),IF(K172&gt;AC172,I172*'13_Mapa_Liq'!$C$19,0),0)</f>
        <v>0</v>
      </c>
      <c r="AE172" s="151" t="str">
        <f aca="false">IF(ISNUMBER(B172),B172*(1+1/'13_Mapa_Liq'!$B$19-'13_Mapa_Liq'!$B$6),"")</f>
        <v/>
      </c>
      <c r="AF172" s="151" t="n">
        <f aca="false">IF(ISNUMBER(B172),IF(L172&lt;AE172,J172*'13_Mapa_Liq'!$C$19,0),0)</f>
        <v>0</v>
      </c>
      <c r="AG172" s="151"/>
      <c r="AH172" s="151" t="n">
        <f aca="false">IF(ISNUMBER(B172),E172*F172*((K172&lt;=M172)*'13_Mapa_Liq'!$C$15+(K172&lt;=Q172)*'13_Mapa_Liq'!$C$16+(K172&lt;=U172)*'13_Mapa_Liq'!$C$17+(K172&lt;=Y172)*'13_Mapa_Liq'!$C$18+(K172&lt;=AC172)*'13_Mapa_Liq'!$C$19),0)</f>
        <v>0</v>
      </c>
      <c r="AI172" s="151" t="n">
        <f aca="false">IF(ISNUMBER(B172),E172*(1-F172)*((L172&gt;=O172)*'13_Mapa_Liq'!$C$15+(L172&gt;=S172)*'13_Mapa_Liq'!$C$16+(L172&gt;=W172)*'13_Mapa_Liq'!$C$17+(L172&gt;=AA172)*'13_Mapa_Liq'!$C$18+(L172&gt;=AE172)*'13_Mapa_Liq'!$C$19),0)</f>
        <v>0</v>
      </c>
    </row>
    <row r="173" customFormat="false" ht="15" hidden="false" customHeight="false" outlineLevel="0" collapsed="false">
      <c r="A173" s="151" t="str">
        <f aca="false">IF(ISNUMBER('12_Datos_5m'!F173),ROW()-4,"")</f>
        <v/>
      </c>
      <c r="B173" s="151" t="str">
        <f aca="false">IF(ISNUMBER('12_Datos_5m'!F173),'12_Datos_5m'!F173,"")</f>
        <v/>
      </c>
      <c r="C173" s="151" t="str">
        <f aca="false">IF(ISNUMBER('12_Datos_5m'!A173),'12_Datos_5m'!A173,"")</f>
        <v/>
      </c>
      <c r="D173" s="151" t="n">
        <f aca="false">IF(AND(ISNUMBER('12_Datos_5m'!I173),ISNUMBER('12_Datos_5m'!I172)),'12_Datos_5m'!I173-'12_Datos_5m'!I172,0)</f>
        <v>0</v>
      </c>
      <c r="E173" s="151" t="n">
        <f aca="false">MAX(0,D173)</f>
        <v>0</v>
      </c>
      <c r="F173" s="151" t="n">
        <f aca="false">IF(AND(ISNUMBER('12_Datos_5m'!G173),N('12_Datos_5m'!G173)&gt;0),'12_Datos_5m'!H173/'12_Datos_5m'!G173,0.5)</f>
        <v>0.5</v>
      </c>
      <c r="G173" s="151" t="n">
        <f aca="false">IF(ISNUMBER(C173),($C$2-C173)/3600000,0)</f>
        <v>0</v>
      </c>
      <c r="H173" s="151" t="n">
        <f aca="false">EXP(-G173/'13_Mapa_Liq'!$B$7)</f>
        <v>1</v>
      </c>
      <c r="I173" s="151" t="n">
        <f aca="false">E173*F173*H173</f>
        <v>0</v>
      </c>
      <c r="J173" s="151" t="n">
        <f aca="false">E173*(1-F173)*H173</f>
        <v>0</v>
      </c>
      <c r="K173" s="151" t="n">
        <f aca="false">IF(COUNT('12_Datos_5m'!E174:E$504)=0,1000000000000,MIN('12_Datos_5m'!E174:E$504))</f>
        <v>1000000000000</v>
      </c>
      <c r="L173" s="151" t="n">
        <f aca="false">IF(COUNT('12_Datos_5m'!D174:D$504)=0,0,MAX('12_Datos_5m'!D174:D$504))</f>
        <v>0</v>
      </c>
      <c r="M173" s="151" t="str">
        <f aca="false">IF(ISNUMBER(B173),B173*(1-1/'13_Mapa_Liq'!$B$15+'13_Mapa_Liq'!$B$6),"")</f>
        <v/>
      </c>
      <c r="N173" s="151" t="n">
        <f aca="false">IF(ISNUMBER(B173),IF(K173&gt;M173,I173*'13_Mapa_Liq'!$C$15,0),0)</f>
        <v>0</v>
      </c>
      <c r="O173" s="151" t="str">
        <f aca="false">IF(ISNUMBER(B173),B173*(1+1/'13_Mapa_Liq'!$B$15-'13_Mapa_Liq'!$B$6),"")</f>
        <v/>
      </c>
      <c r="P173" s="151" t="n">
        <f aca="false">IF(ISNUMBER(B173),IF(L173&lt;O173,J173*'13_Mapa_Liq'!$C$15,0),0)</f>
        <v>0</v>
      </c>
      <c r="Q173" s="151" t="str">
        <f aca="false">IF(ISNUMBER(B173),B173*(1-1/'13_Mapa_Liq'!$B$16+'13_Mapa_Liq'!$B$6),"")</f>
        <v/>
      </c>
      <c r="R173" s="151" t="n">
        <f aca="false">IF(ISNUMBER(B173),IF(K173&gt;Q173,I173*'13_Mapa_Liq'!$C$16,0),0)</f>
        <v>0</v>
      </c>
      <c r="S173" s="151" t="str">
        <f aca="false">IF(ISNUMBER(B173),B173*(1+1/'13_Mapa_Liq'!$B$16-'13_Mapa_Liq'!$B$6),"")</f>
        <v/>
      </c>
      <c r="T173" s="151" t="n">
        <f aca="false">IF(ISNUMBER(B173),IF(L173&lt;S173,J173*'13_Mapa_Liq'!$C$16,0),0)</f>
        <v>0</v>
      </c>
      <c r="U173" s="151" t="str">
        <f aca="false">IF(ISNUMBER(B173),B173*(1-1/'13_Mapa_Liq'!$B$17+'13_Mapa_Liq'!$B$6),"")</f>
        <v/>
      </c>
      <c r="V173" s="151" t="n">
        <f aca="false">IF(ISNUMBER(B173),IF(K173&gt;U173,I173*'13_Mapa_Liq'!$C$17,0),0)</f>
        <v>0</v>
      </c>
      <c r="W173" s="151" t="str">
        <f aca="false">IF(ISNUMBER(B173),B173*(1+1/'13_Mapa_Liq'!$B$17-'13_Mapa_Liq'!$B$6),"")</f>
        <v/>
      </c>
      <c r="X173" s="151" t="n">
        <f aca="false">IF(ISNUMBER(B173),IF(L173&lt;W173,J173*'13_Mapa_Liq'!$C$17,0),0)</f>
        <v>0</v>
      </c>
      <c r="Y173" s="151" t="str">
        <f aca="false">IF(ISNUMBER(B173),B173*(1-1/'13_Mapa_Liq'!$B$18+'13_Mapa_Liq'!$B$6),"")</f>
        <v/>
      </c>
      <c r="Z173" s="151" t="n">
        <f aca="false">IF(ISNUMBER(B173),IF(K173&gt;Y173,I173*'13_Mapa_Liq'!$C$18,0),0)</f>
        <v>0</v>
      </c>
      <c r="AA173" s="151" t="str">
        <f aca="false">IF(ISNUMBER(B173),B173*(1+1/'13_Mapa_Liq'!$B$18-'13_Mapa_Liq'!$B$6),"")</f>
        <v/>
      </c>
      <c r="AB173" s="151" t="n">
        <f aca="false">IF(ISNUMBER(B173),IF(L173&lt;AA173,J173*'13_Mapa_Liq'!$C$18,0),0)</f>
        <v>0</v>
      </c>
      <c r="AC173" s="151" t="str">
        <f aca="false">IF(ISNUMBER(B173),B173*(1-1/'13_Mapa_Liq'!$B$19+'13_Mapa_Liq'!$B$6),"")</f>
        <v/>
      </c>
      <c r="AD173" s="151" t="n">
        <f aca="false">IF(ISNUMBER(B173),IF(K173&gt;AC173,I173*'13_Mapa_Liq'!$C$19,0),0)</f>
        <v>0</v>
      </c>
      <c r="AE173" s="151" t="str">
        <f aca="false">IF(ISNUMBER(B173),B173*(1+1/'13_Mapa_Liq'!$B$19-'13_Mapa_Liq'!$B$6),"")</f>
        <v/>
      </c>
      <c r="AF173" s="151" t="n">
        <f aca="false">IF(ISNUMBER(B173),IF(L173&lt;AE173,J173*'13_Mapa_Liq'!$C$19,0),0)</f>
        <v>0</v>
      </c>
      <c r="AG173" s="151"/>
      <c r="AH173" s="151" t="n">
        <f aca="false">IF(ISNUMBER(B173),E173*F173*((K173&lt;=M173)*'13_Mapa_Liq'!$C$15+(K173&lt;=Q173)*'13_Mapa_Liq'!$C$16+(K173&lt;=U173)*'13_Mapa_Liq'!$C$17+(K173&lt;=Y173)*'13_Mapa_Liq'!$C$18+(K173&lt;=AC173)*'13_Mapa_Liq'!$C$19),0)</f>
        <v>0</v>
      </c>
      <c r="AI173" s="151" t="n">
        <f aca="false">IF(ISNUMBER(B173),E173*(1-F173)*((L173&gt;=O173)*'13_Mapa_Liq'!$C$15+(L173&gt;=S173)*'13_Mapa_Liq'!$C$16+(L173&gt;=W173)*'13_Mapa_Liq'!$C$17+(L173&gt;=AA173)*'13_Mapa_Liq'!$C$18+(L173&gt;=AE173)*'13_Mapa_Liq'!$C$19),0)</f>
        <v>0</v>
      </c>
    </row>
    <row r="174" customFormat="false" ht="15" hidden="false" customHeight="false" outlineLevel="0" collapsed="false">
      <c r="A174" s="151" t="str">
        <f aca="false">IF(ISNUMBER('12_Datos_5m'!F174),ROW()-4,"")</f>
        <v/>
      </c>
      <c r="B174" s="151" t="str">
        <f aca="false">IF(ISNUMBER('12_Datos_5m'!F174),'12_Datos_5m'!F174,"")</f>
        <v/>
      </c>
      <c r="C174" s="151" t="str">
        <f aca="false">IF(ISNUMBER('12_Datos_5m'!A174),'12_Datos_5m'!A174,"")</f>
        <v/>
      </c>
      <c r="D174" s="151" t="n">
        <f aca="false">IF(AND(ISNUMBER('12_Datos_5m'!I174),ISNUMBER('12_Datos_5m'!I173)),'12_Datos_5m'!I174-'12_Datos_5m'!I173,0)</f>
        <v>0</v>
      </c>
      <c r="E174" s="151" t="n">
        <f aca="false">MAX(0,D174)</f>
        <v>0</v>
      </c>
      <c r="F174" s="151" t="n">
        <f aca="false">IF(AND(ISNUMBER('12_Datos_5m'!G174),N('12_Datos_5m'!G174)&gt;0),'12_Datos_5m'!H174/'12_Datos_5m'!G174,0.5)</f>
        <v>0.5</v>
      </c>
      <c r="G174" s="151" t="n">
        <f aca="false">IF(ISNUMBER(C174),($C$2-C174)/3600000,0)</f>
        <v>0</v>
      </c>
      <c r="H174" s="151" t="n">
        <f aca="false">EXP(-G174/'13_Mapa_Liq'!$B$7)</f>
        <v>1</v>
      </c>
      <c r="I174" s="151" t="n">
        <f aca="false">E174*F174*H174</f>
        <v>0</v>
      </c>
      <c r="J174" s="151" t="n">
        <f aca="false">E174*(1-F174)*H174</f>
        <v>0</v>
      </c>
      <c r="K174" s="151" t="n">
        <f aca="false">IF(COUNT('12_Datos_5m'!E175:E$504)=0,1000000000000,MIN('12_Datos_5m'!E175:E$504))</f>
        <v>1000000000000</v>
      </c>
      <c r="L174" s="151" t="n">
        <f aca="false">IF(COUNT('12_Datos_5m'!D175:D$504)=0,0,MAX('12_Datos_5m'!D175:D$504))</f>
        <v>0</v>
      </c>
      <c r="M174" s="151" t="str">
        <f aca="false">IF(ISNUMBER(B174),B174*(1-1/'13_Mapa_Liq'!$B$15+'13_Mapa_Liq'!$B$6),"")</f>
        <v/>
      </c>
      <c r="N174" s="151" t="n">
        <f aca="false">IF(ISNUMBER(B174),IF(K174&gt;M174,I174*'13_Mapa_Liq'!$C$15,0),0)</f>
        <v>0</v>
      </c>
      <c r="O174" s="151" t="str">
        <f aca="false">IF(ISNUMBER(B174),B174*(1+1/'13_Mapa_Liq'!$B$15-'13_Mapa_Liq'!$B$6),"")</f>
        <v/>
      </c>
      <c r="P174" s="151" t="n">
        <f aca="false">IF(ISNUMBER(B174),IF(L174&lt;O174,J174*'13_Mapa_Liq'!$C$15,0),0)</f>
        <v>0</v>
      </c>
      <c r="Q174" s="151" t="str">
        <f aca="false">IF(ISNUMBER(B174),B174*(1-1/'13_Mapa_Liq'!$B$16+'13_Mapa_Liq'!$B$6),"")</f>
        <v/>
      </c>
      <c r="R174" s="151" t="n">
        <f aca="false">IF(ISNUMBER(B174),IF(K174&gt;Q174,I174*'13_Mapa_Liq'!$C$16,0),0)</f>
        <v>0</v>
      </c>
      <c r="S174" s="151" t="str">
        <f aca="false">IF(ISNUMBER(B174),B174*(1+1/'13_Mapa_Liq'!$B$16-'13_Mapa_Liq'!$B$6),"")</f>
        <v/>
      </c>
      <c r="T174" s="151" t="n">
        <f aca="false">IF(ISNUMBER(B174),IF(L174&lt;S174,J174*'13_Mapa_Liq'!$C$16,0),0)</f>
        <v>0</v>
      </c>
      <c r="U174" s="151" t="str">
        <f aca="false">IF(ISNUMBER(B174),B174*(1-1/'13_Mapa_Liq'!$B$17+'13_Mapa_Liq'!$B$6),"")</f>
        <v/>
      </c>
      <c r="V174" s="151" t="n">
        <f aca="false">IF(ISNUMBER(B174),IF(K174&gt;U174,I174*'13_Mapa_Liq'!$C$17,0),0)</f>
        <v>0</v>
      </c>
      <c r="W174" s="151" t="str">
        <f aca="false">IF(ISNUMBER(B174),B174*(1+1/'13_Mapa_Liq'!$B$17-'13_Mapa_Liq'!$B$6),"")</f>
        <v/>
      </c>
      <c r="X174" s="151" t="n">
        <f aca="false">IF(ISNUMBER(B174),IF(L174&lt;W174,J174*'13_Mapa_Liq'!$C$17,0),0)</f>
        <v>0</v>
      </c>
      <c r="Y174" s="151" t="str">
        <f aca="false">IF(ISNUMBER(B174),B174*(1-1/'13_Mapa_Liq'!$B$18+'13_Mapa_Liq'!$B$6),"")</f>
        <v/>
      </c>
      <c r="Z174" s="151" t="n">
        <f aca="false">IF(ISNUMBER(B174),IF(K174&gt;Y174,I174*'13_Mapa_Liq'!$C$18,0),0)</f>
        <v>0</v>
      </c>
      <c r="AA174" s="151" t="str">
        <f aca="false">IF(ISNUMBER(B174),B174*(1+1/'13_Mapa_Liq'!$B$18-'13_Mapa_Liq'!$B$6),"")</f>
        <v/>
      </c>
      <c r="AB174" s="151" t="n">
        <f aca="false">IF(ISNUMBER(B174),IF(L174&lt;AA174,J174*'13_Mapa_Liq'!$C$18,0),0)</f>
        <v>0</v>
      </c>
      <c r="AC174" s="151" t="str">
        <f aca="false">IF(ISNUMBER(B174),B174*(1-1/'13_Mapa_Liq'!$B$19+'13_Mapa_Liq'!$B$6),"")</f>
        <v/>
      </c>
      <c r="AD174" s="151" t="n">
        <f aca="false">IF(ISNUMBER(B174),IF(K174&gt;AC174,I174*'13_Mapa_Liq'!$C$19,0),0)</f>
        <v>0</v>
      </c>
      <c r="AE174" s="151" t="str">
        <f aca="false">IF(ISNUMBER(B174),B174*(1+1/'13_Mapa_Liq'!$B$19-'13_Mapa_Liq'!$B$6),"")</f>
        <v/>
      </c>
      <c r="AF174" s="151" t="n">
        <f aca="false">IF(ISNUMBER(B174),IF(L174&lt;AE174,J174*'13_Mapa_Liq'!$C$19,0),0)</f>
        <v>0</v>
      </c>
      <c r="AG174" s="151"/>
      <c r="AH174" s="151" t="n">
        <f aca="false">IF(ISNUMBER(B174),E174*F174*((K174&lt;=M174)*'13_Mapa_Liq'!$C$15+(K174&lt;=Q174)*'13_Mapa_Liq'!$C$16+(K174&lt;=U174)*'13_Mapa_Liq'!$C$17+(K174&lt;=Y174)*'13_Mapa_Liq'!$C$18+(K174&lt;=AC174)*'13_Mapa_Liq'!$C$19),0)</f>
        <v>0</v>
      </c>
      <c r="AI174" s="151" t="n">
        <f aca="false">IF(ISNUMBER(B174),E174*(1-F174)*((L174&gt;=O174)*'13_Mapa_Liq'!$C$15+(L174&gt;=S174)*'13_Mapa_Liq'!$C$16+(L174&gt;=W174)*'13_Mapa_Liq'!$C$17+(L174&gt;=AA174)*'13_Mapa_Liq'!$C$18+(L174&gt;=AE174)*'13_Mapa_Liq'!$C$19),0)</f>
        <v>0</v>
      </c>
    </row>
    <row r="175" customFormat="false" ht="15" hidden="false" customHeight="false" outlineLevel="0" collapsed="false">
      <c r="A175" s="151" t="str">
        <f aca="false">IF(ISNUMBER('12_Datos_5m'!F175),ROW()-4,"")</f>
        <v/>
      </c>
      <c r="B175" s="151" t="str">
        <f aca="false">IF(ISNUMBER('12_Datos_5m'!F175),'12_Datos_5m'!F175,"")</f>
        <v/>
      </c>
      <c r="C175" s="151" t="str">
        <f aca="false">IF(ISNUMBER('12_Datos_5m'!A175),'12_Datos_5m'!A175,"")</f>
        <v/>
      </c>
      <c r="D175" s="151" t="n">
        <f aca="false">IF(AND(ISNUMBER('12_Datos_5m'!I175),ISNUMBER('12_Datos_5m'!I174)),'12_Datos_5m'!I175-'12_Datos_5m'!I174,0)</f>
        <v>0</v>
      </c>
      <c r="E175" s="151" t="n">
        <f aca="false">MAX(0,D175)</f>
        <v>0</v>
      </c>
      <c r="F175" s="151" t="n">
        <f aca="false">IF(AND(ISNUMBER('12_Datos_5m'!G175),N('12_Datos_5m'!G175)&gt;0),'12_Datos_5m'!H175/'12_Datos_5m'!G175,0.5)</f>
        <v>0.5</v>
      </c>
      <c r="G175" s="151" t="n">
        <f aca="false">IF(ISNUMBER(C175),($C$2-C175)/3600000,0)</f>
        <v>0</v>
      </c>
      <c r="H175" s="151" t="n">
        <f aca="false">EXP(-G175/'13_Mapa_Liq'!$B$7)</f>
        <v>1</v>
      </c>
      <c r="I175" s="151" t="n">
        <f aca="false">E175*F175*H175</f>
        <v>0</v>
      </c>
      <c r="J175" s="151" t="n">
        <f aca="false">E175*(1-F175)*H175</f>
        <v>0</v>
      </c>
      <c r="K175" s="151" t="n">
        <f aca="false">IF(COUNT('12_Datos_5m'!E176:E$504)=0,1000000000000,MIN('12_Datos_5m'!E176:E$504))</f>
        <v>1000000000000</v>
      </c>
      <c r="L175" s="151" t="n">
        <f aca="false">IF(COUNT('12_Datos_5m'!D176:D$504)=0,0,MAX('12_Datos_5m'!D176:D$504))</f>
        <v>0</v>
      </c>
      <c r="M175" s="151" t="str">
        <f aca="false">IF(ISNUMBER(B175),B175*(1-1/'13_Mapa_Liq'!$B$15+'13_Mapa_Liq'!$B$6),"")</f>
        <v/>
      </c>
      <c r="N175" s="151" t="n">
        <f aca="false">IF(ISNUMBER(B175),IF(K175&gt;M175,I175*'13_Mapa_Liq'!$C$15,0),0)</f>
        <v>0</v>
      </c>
      <c r="O175" s="151" t="str">
        <f aca="false">IF(ISNUMBER(B175),B175*(1+1/'13_Mapa_Liq'!$B$15-'13_Mapa_Liq'!$B$6),"")</f>
        <v/>
      </c>
      <c r="P175" s="151" t="n">
        <f aca="false">IF(ISNUMBER(B175),IF(L175&lt;O175,J175*'13_Mapa_Liq'!$C$15,0),0)</f>
        <v>0</v>
      </c>
      <c r="Q175" s="151" t="str">
        <f aca="false">IF(ISNUMBER(B175),B175*(1-1/'13_Mapa_Liq'!$B$16+'13_Mapa_Liq'!$B$6),"")</f>
        <v/>
      </c>
      <c r="R175" s="151" t="n">
        <f aca="false">IF(ISNUMBER(B175),IF(K175&gt;Q175,I175*'13_Mapa_Liq'!$C$16,0),0)</f>
        <v>0</v>
      </c>
      <c r="S175" s="151" t="str">
        <f aca="false">IF(ISNUMBER(B175),B175*(1+1/'13_Mapa_Liq'!$B$16-'13_Mapa_Liq'!$B$6),"")</f>
        <v/>
      </c>
      <c r="T175" s="151" t="n">
        <f aca="false">IF(ISNUMBER(B175),IF(L175&lt;S175,J175*'13_Mapa_Liq'!$C$16,0),0)</f>
        <v>0</v>
      </c>
      <c r="U175" s="151" t="str">
        <f aca="false">IF(ISNUMBER(B175),B175*(1-1/'13_Mapa_Liq'!$B$17+'13_Mapa_Liq'!$B$6),"")</f>
        <v/>
      </c>
      <c r="V175" s="151" t="n">
        <f aca="false">IF(ISNUMBER(B175),IF(K175&gt;U175,I175*'13_Mapa_Liq'!$C$17,0),0)</f>
        <v>0</v>
      </c>
      <c r="W175" s="151" t="str">
        <f aca="false">IF(ISNUMBER(B175),B175*(1+1/'13_Mapa_Liq'!$B$17-'13_Mapa_Liq'!$B$6),"")</f>
        <v/>
      </c>
      <c r="X175" s="151" t="n">
        <f aca="false">IF(ISNUMBER(B175),IF(L175&lt;W175,J175*'13_Mapa_Liq'!$C$17,0),0)</f>
        <v>0</v>
      </c>
      <c r="Y175" s="151" t="str">
        <f aca="false">IF(ISNUMBER(B175),B175*(1-1/'13_Mapa_Liq'!$B$18+'13_Mapa_Liq'!$B$6),"")</f>
        <v/>
      </c>
      <c r="Z175" s="151" t="n">
        <f aca="false">IF(ISNUMBER(B175),IF(K175&gt;Y175,I175*'13_Mapa_Liq'!$C$18,0),0)</f>
        <v>0</v>
      </c>
      <c r="AA175" s="151" t="str">
        <f aca="false">IF(ISNUMBER(B175),B175*(1+1/'13_Mapa_Liq'!$B$18-'13_Mapa_Liq'!$B$6),"")</f>
        <v/>
      </c>
      <c r="AB175" s="151" t="n">
        <f aca="false">IF(ISNUMBER(B175),IF(L175&lt;AA175,J175*'13_Mapa_Liq'!$C$18,0),0)</f>
        <v>0</v>
      </c>
      <c r="AC175" s="151" t="str">
        <f aca="false">IF(ISNUMBER(B175),B175*(1-1/'13_Mapa_Liq'!$B$19+'13_Mapa_Liq'!$B$6),"")</f>
        <v/>
      </c>
      <c r="AD175" s="151" t="n">
        <f aca="false">IF(ISNUMBER(B175),IF(K175&gt;AC175,I175*'13_Mapa_Liq'!$C$19,0),0)</f>
        <v>0</v>
      </c>
      <c r="AE175" s="151" t="str">
        <f aca="false">IF(ISNUMBER(B175),B175*(1+1/'13_Mapa_Liq'!$B$19-'13_Mapa_Liq'!$B$6),"")</f>
        <v/>
      </c>
      <c r="AF175" s="151" t="n">
        <f aca="false">IF(ISNUMBER(B175),IF(L175&lt;AE175,J175*'13_Mapa_Liq'!$C$19,0),0)</f>
        <v>0</v>
      </c>
      <c r="AG175" s="151"/>
      <c r="AH175" s="151" t="n">
        <f aca="false">IF(ISNUMBER(B175),E175*F175*((K175&lt;=M175)*'13_Mapa_Liq'!$C$15+(K175&lt;=Q175)*'13_Mapa_Liq'!$C$16+(K175&lt;=U175)*'13_Mapa_Liq'!$C$17+(K175&lt;=Y175)*'13_Mapa_Liq'!$C$18+(K175&lt;=AC175)*'13_Mapa_Liq'!$C$19),0)</f>
        <v>0</v>
      </c>
      <c r="AI175" s="151" t="n">
        <f aca="false">IF(ISNUMBER(B175),E175*(1-F175)*((L175&gt;=O175)*'13_Mapa_Liq'!$C$15+(L175&gt;=S175)*'13_Mapa_Liq'!$C$16+(L175&gt;=W175)*'13_Mapa_Liq'!$C$17+(L175&gt;=AA175)*'13_Mapa_Liq'!$C$18+(L175&gt;=AE175)*'13_Mapa_Liq'!$C$19),0)</f>
        <v>0</v>
      </c>
    </row>
    <row r="176" customFormat="false" ht="15" hidden="false" customHeight="false" outlineLevel="0" collapsed="false">
      <c r="A176" s="151" t="str">
        <f aca="false">IF(ISNUMBER('12_Datos_5m'!F176),ROW()-4,"")</f>
        <v/>
      </c>
      <c r="B176" s="151" t="str">
        <f aca="false">IF(ISNUMBER('12_Datos_5m'!F176),'12_Datos_5m'!F176,"")</f>
        <v/>
      </c>
      <c r="C176" s="151" t="str">
        <f aca="false">IF(ISNUMBER('12_Datos_5m'!A176),'12_Datos_5m'!A176,"")</f>
        <v/>
      </c>
      <c r="D176" s="151" t="n">
        <f aca="false">IF(AND(ISNUMBER('12_Datos_5m'!I176),ISNUMBER('12_Datos_5m'!I175)),'12_Datos_5m'!I176-'12_Datos_5m'!I175,0)</f>
        <v>0</v>
      </c>
      <c r="E176" s="151" t="n">
        <f aca="false">MAX(0,D176)</f>
        <v>0</v>
      </c>
      <c r="F176" s="151" t="n">
        <f aca="false">IF(AND(ISNUMBER('12_Datos_5m'!G176),N('12_Datos_5m'!G176)&gt;0),'12_Datos_5m'!H176/'12_Datos_5m'!G176,0.5)</f>
        <v>0.5</v>
      </c>
      <c r="G176" s="151" t="n">
        <f aca="false">IF(ISNUMBER(C176),($C$2-C176)/3600000,0)</f>
        <v>0</v>
      </c>
      <c r="H176" s="151" t="n">
        <f aca="false">EXP(-G176/'13_Mapa_Liq'!$B$7)</f>
        <v>1</v>
      </c>
      <c r="I176" s="151" t="n">
        <f aca="false">E176*F176*H176</f>
        <v>0</v>
      </c>
      <c r="J176" s="151" t="n">
        <f aca="false">E176*(1-F176)*H176</f>
        <v>0</v>
      </c>
      <c r="K176" s="151" t="n">
        <f aca="false">IF(COUNT('12_Datos_5m'!E177:E$504)=0,1000000000000,MIN('12_Datos_5m'!E177:E$504))</f>
        <v>1000000000000</v>
      </c>
      <c r="L176" s="151" t="n">
        <f aca="false">IF(COUNT('12_Datos_5m'!D177:D$504)=0,0,MAX('12_Datos_5m'!D177:D$504))</f>
        <v>0</v>
      </c>
      <c r="M176" s="151" t="str">
        <f aca="false">IF(ISNUMBER(B176),B176*(1-1/'13_Mapa_Liq'!$B$15+'13_Mapa_Liq'!$B$6),"")</f>
        <v/>
      </c>
      <c r="N176" s="151" t="n">
        <f aca="false">IF(ISNUMBER(B176),IF(K176&gt;M176,I176*'13_Mapa_Liq'!$C$15,0),0)</f>
        <v>0</v>
      </c>
      <c r="O176" s="151" t="str">
        <f aca="false">IF(ISNUMBER(B176),B176*(1+1/'13_Mapa_Liq'!$B$15-'13_Mapa_Liq'!$B$6),"")</f>
        <v/>
      </c>
      <c r="P176" s="151" t="n">
        <f aca="false">IF(ISNUMBER(B176),IF(L176&lt;O176,J176*'13_Mapa_Liq'!$C$15,0),0)</f>
        <v>0</v>
      </c>
      <c r="Q176" s="151" t="str">
        <f aca="false">IF(ISNUMBER(B176),B176*(1-1/'13_Mapa_Liq'!$B$16+'13_Mapa_Liq'!$B$6),"")</f>
        <v/>
      </c>
      <c r="R176" s="151" t="n">
        <f aca="false">IF(ISNUMBER(B176),IF(K176&gt;Q176,I176*'13_Mapa_Liq'!$C$16,0),0)</f>
        <v>0</v>
      </c>
      <c r="S176" s="151" t="str">
        <f aca="false">IF(ISNUMBER(B176),B176*(1+1/'13_Mapa_Liq'!$B$16-'13_Mapa_Liq'!$B$6),"")</f>
        <v/>
      </c>
      <c r="T176" s="151" t="n">
        <f aca="false">IF(ISNUMBER(B176),IF(L176&lt;S176,J176*'13_Mapa_Liq'!$C$16,0),0)</f>
        <v>0</v>
      </c>
      <c r="U176" s="151" t="str">
        <f aca="false">IF(ISNUMBER(B176),B176*(1-1/'13_Mapa_Liq'!$B$17+'13_Mapa_Liq'!$B$6),"")</f>
        <v/>
      </c>
      <c r="V176" s="151" t="n">
        <f aca="false">IF(ISNUMBER(B176),IF(K176&gt;U176,I176*'13_Mapa_Liq'!$C$17,0),0)</f>
        <v>0</v>
      </c>
      <c r="W176" s="151" t="str">
        <f aca="false">IF(ISNUMBER(B176),B176*(1+1/'13_Mapa_Liq'!$B$17-'13_Mapa_Liq'!$B$6),"")</f>
        <v/>
      </c>
      <c r="X176" s="151" t="n">
        <f aca="false">IF(ISNUMBER(B176),IF(L176&lt;W176,J176*'13_Mapa_Liq'!$C$17,0),0)</f>
        <v>0</v>
      </c>
      <c r="Y176" s="151" t="str">
        <f aca="false">IF(ISNUMBER(B176),B176*(1-1/'13_Mapa_Liq'!$B$18+'13_Mapa_Liq'!$B$6),"")</f>
        <v/>
      </c>
      <c r="Z176" s="151" t="n">
        <f aca="false">IF(ISNUMBER(B176),IF(K176&gt;Y176,I176*'13_Mapa_Liq'!$C$18,0),0)</f>
        <v>0</v>
      </c>
      <c r="AA176" s="151" t="str">
        <f aca="false">IF(ISNUMBER(B176),B176*(1+1/'13_Mapa_Liq'!$B$18-'13_Mapa_Liq'!$B$6),"")</f>
        <v/>
      </c>
      <c r="AB176" s="151" t="n">
        <f aca="false">IF(ISNUMBER(B176),IF(L176&lt;AA176,J176*'13_Mapa_Liq'!$C$18,0),0)</f>
        <v>0</v>
      </c>
      <c r="AC176" s="151" t="str">
        <f aca="false">IF(ISNUMBER(B176),B176*(1-1/'13_Mapa_Liq'!$B$19+'13_Mapa_Liq'!$B$6),"")</f>
        <v/>
      </c>
      <c r="AD176" s="151" t="n">
        <f aca="false">IF(ISNUMBER(B176),IF(K176&gt;AC176,I176*'13_Mapa_Liq'!$C$19,0),0)</f>
        <v>0</v>
      </c>
      <c r="AE176" s="151" t="str">
        <f aca="false">IF(ISNUMBER(B176),B176*(1+1/'13_Mapa_Liq'!$B$19-'13_Mapa_Liq'!$B$6),"")</f>
        <v/>
      </c>
      <c r="AF176" s="151" t="n">
        <f aca="false">IF(ISNUMBER(B176),IF(L176&lt;AE176,J176*'13_Mapa_Liq'!$C$19,0),0)</f>
        <v>0</v>
      </c>
      <c r="AG176" s="151"/>
      <c r="AH176" s="151" t="n">
        <f aca="false">IF(ISNUMBER(B176),E176*F176*((K176&lt;=M176)*'13_Mapa_Liq'!$C$15+(K176&lt;=Q176)*'13_Mapa_Liq'!$C$16+(K176&lt;=U176)*'13_Mapa_Liq'!$C$17+(K176&lt;=Y176)*'13_Mapa_Liq'!$C$18+(K176&lt;=AC176)*'13_Mapa_Liq'!$C$19),0)</f>
        <v>0</v>
      </c>
      <c r="AI176" s="151" t="n">
        <f aca="false">IF(ISNUMBER(B176),E176*(1-F176)*((L176&gt;=O176)*'13_Mapa_Liq'!$C$15+(L176&gt;=S176)*'13_Mapa_Liq'!$C$16+(L176&gt;=W176)*'13_Mapa_Liq'!$C$17+(L176&gt;=AA176)*'13_Mapa_Liq'!$C$18+(L176&gt;=AE176)*'13_Mapa_Liq'!$C$19),0)</f>
        <v>0</v>
      </c>
    </row>
    <row r="177" customFormat="false" ht="15" hidden="false" customHeight="false" outlineLevel="0" collapsed="false">
      <c r="A177" s="151" t="str">
        <f aca="false">IF(ISNUMBER('12_Datos_5m'!F177),ROW()-4,"")</f>
        <v/>
      </c>
      <c r="B177" s="151" t="str">
        <f aca="false">IF(ISNUMBER('12_Datos_5m'!F177),'12_Datos_5m'!F177,"")</f>
        <v/>
      </c>
      <c r="C177" s="151" t="str">
        <f aca="false">IF(ISNUMBER('12_Datos_5m'!A177),'12_Datos_5m'!A177,"")</f>
        <v/>
      </c>
      <c r="D177" s="151" t="n">
        <f aca="false">IF(AND(ISNUMBER('12_Datos_5m'!I177),ISNUMBER('12_Datos_5m'!I176)),'12_Datos_5m'!I177-'12_Datos_5m'!I176,0)</f>
        <v>0</v>
      </c>
      <c r="E177" s="151" t="n">
        <f aca="false">MAX(0,D177)</f>
        <v>0</v>
      </c>
      <c r="F177" s="151" t="n">
        <f aca="false">IF(AND(ISNUMBER('12_Datos_5m'!G177),N('12_Datos_5m'!G177)&gt;0),'12_Datos_5m'!H177/'12_Datos_5m'!G177,0.5)</f>
        <v>0.5</v>
      </c>
      <c r="G177" s="151" t="n">
        <f aca="false">IF(ISNUMBER(C177),($C$2-C177)/3600000,0)</f>
        <v>0</v>
      </c>
      <c r="H177" s="151" t="n">
        <f aca="false">EXP(-G177/'13_Mapa_Liq'!$B$7)</f>
        <v>1</v>
      </c>
      <c r="I177" s="151" t="n">
        <f aca="false">E177*F177*H177</f>
        <v>0</v>
      </c>
      <c r="J177" s="151" t="n">
        <f aca="false">E177*(1-F177)*H177</f>
        <v>0</v>
      </c>
      <c r="K177" s="151" t="n">
        <f aca="false">IF(COUNT('12_Datos_5m'!E178:E$504)=0,1000000000000,MIN('12_Datos_5m'!E178:E$504))</f>
        <v>1000000000000</v>
      </c>
      <c r="L177" s="151" t="n">
        <f aca="false">IF(COUNT('12_Datos_5m'!D178:D$504)=0,0,MAX('12_Datos_5m'!D178:D$504))</f>
        <v>0</v>
      </c>
      <c r="M177" s="151" t="str">
        <f aca="false">IF(ISNUMBER(B177),B177*(1-1/'13_Mapa_Liq'!$B$15+'13_Mapa_Liq'!$B$6),"")</f>
        <v/>
      </c>
      <c r="N177" s="151" t="n">
        <f aca="false">IF(ISNUMBER(B177),IF(K177&gt;M177,I177*'13_Mapa_Liq'!$C$15,0),0)</f>
        <v>0</v>
      </c>
      <c r="O177" s="151" t="str">
        <f aca="false">IF(ISNUMBER(B177),B177*(1+1/'13_Mapa_Liq'!$B$15-'13_Mapa_Liq'!$B$6),"")</f>
        <v/>
      </c>
      <c r="P177" s="151" t="n">
        <f aca="false">IF(ISNUMBER(B177),IF(L177&lt;O177,J177*'13_Mapa_Liq'!$C$15,0),0)</f>
        <v>0</v>
      </c>
      <c r="Q177" s="151" t="str">
        <f aca="false">IF(ISNUMBER(B177),B177*(1-1/'13_Mapa_Liq'!$B$16+'13_Mapa_Liq'!$B$6),"")</f>
        <v/>
      </c>
      <c r="R177" s="151" t="n">
        <f aca="false">IF(ISNUMBER(B177),IF(K177&gt;Q177,I177*'13_Mapa_Liq'!$C$16,0),0)</f>
        <v>0</v>
      </c>
      <c r="S177" s="151" t="str">
        <f aca="false">IF(ISNUMBER(B177),B177*(1+1/'13_Mapa_Liq'!$B$16-'13_Mapa_Liq'!$B$6),"")</f>
        <v/>
      </c>
      <c r="T177" s="151" t="n">
        <f aca="false">IF(ISNUMBER(B177),IF(L177&lt;S177,J177*'13_Mapa_Liq'!$C$16,0),0)</f>
        <v>0</v>
      </c>
      <c r="U177" s="151" t="str">
        <f aca="false">IF(ISNUMBER(B177),B177*(1-1/'13_Mapa_Liq'!$B$17+'13_Mapa_Liq'!$B$6),"")</f>
        <v/>
      </c>
      <c r="V177" s="151" t="n">
        <f aca="false">IF(ISNUMBER(B177),IF(K177&gt;U177,I177*'13_Mapa_Liq'!$C$17,0),0)</f>
        <v>0</v>
      </c>
      <c r="W177" s="151" t="str">
        <f aca="false">IF(ISNUMBER(B177),B177*(1+1/'13_Mapa_Liq'!$B$17-'13_Mapa_Liq'!$B$6),"")</f>
        <v/>
      </c>
      <c r="X177" s="151" t="n">
        <f aca="false">IF(ISNUMBER(B177),IF(L177&lt;W177,J177*'13_Mapa_Liq'!$C$17,0),0)</f>
        <v>0</v>
      </c>
      <c r="Y177" s="151" t="str">
        <f aca="false">IF(ISNUMBER(B177),B177*(1-1/'13_Mapa_Liq'!$B$18+'13_Mapa_Liq'!$B$6),"")</f>
        <v/>
      </c>
      <c r="Z177" s="151" t="n">
        <f aca="false">IF(ISNUMBER(B177),IF(K177&gt;Y177,I177*'13_Mapa_Liq'!$C$18,0),0)</f>
        <v>0</v>
      </c>
      <c r="AA177" s="151" t="str">
        <f aca="false">IF(ISNUMBER(B177),B177*(1+1/'13_Mapa_Liq'!$B$18-'13_Mapa_Liq'!$B$6),"")</f>
        <v/>
      </c>
      <c r="AB177" s="151" t="n">
        <f aca="false">IF(ISNUMBER(B177),IF(L177&lt;AA177,J177*'13_Mapa_Liq'!$C$18,0),0)</f>
        <v>0</v>
      </c>
      <c r="AC177" s="151" t="str">
        <f aca="false">IF(ISNUMBER(B177),B177*(1-1/'13_Mapa_Liq'!$B$19+'13_Mapa_Liq'!$B$6),"")</f>
        <v/>
      </c>
      <c r="AD177" s="151" t="n">
        <f aca="false">IF(ISNUMBER(B177),IF(K177&gt;AC177,I177*'13_Mapa_Liq'!$C$19,0),0)</f>
        <v>0</v>
      </c>
      <c r="AE177" s="151" t="str">
        <f aca="false">IF(ISNUMBER(B177),B177*(1+1/'13_Mapa_Liq'!$B$19-'13_Mapa_Liq'!$B$6),"")</f>
        <v/>
      </c>
      <c r="AF177" s="151" t="n">
        <f aca="false">IF(ISNUMBER(B177),IF(L177&lt;AE177,J177*'13_Mapa_Liq'!$C$19,0),0)</f>
        <v>0</v>
      </c>
      <c r="AG177" s="151"/>
      <c r="AH177" s="151" t="n">
        <f aca="false">IF(ISNUMBER(B177),E177*F177*((K177&lt;=M177)*'13_Mapa_Liq'!$C$15+(K177&lt;=Q177)*'13_Mapa_Liq'!$C$16+(K177&lt;=U177)*'13_Mapa_Liq'!$C$17+(K177&lt;=Y177)*'13_Mapa_Liq'!$C$18+(K177&lt;=AC177)*'13_Mapa_Liq'!$C$19),0)</f>
        <v>0</v>
      </c>
      <c r="AI177" s="151" t="n">
        <f aca="false">IF(ISNUMBER(B177),E177*(1-F177)*((L177&gt;=O177)*'13_Mapa_Liq'!$C$15+(L177&gt;=S177)*'13_Mapa_Liq'!$C$16+(L177&gt;=W177)*'13_Mapa_Liq'!$C$17+(L177&gt;=AA177)*'13_Mapa_Liq'!$C$18+(L177&gt;=AE177)*'13_Mapa_Liq'!$C$19),0)</f>
        <v>0</v>
      </c>
    </row>
    <row r="178" customFormat="false" ht="15" hidden="false" customHeight="false" outlineLevel="0" collapsed="false">
      <c r="A178" s="151" t="str">
        <f aca="false">IF(ISNUMBER('12_Datos_5m'!F178),ROW()-4,"")</f>
        <v/>
      </c>
      <c r="B178" s="151" t="str">
        <f aca="false">IF(ISNUMBER('12_Datos_5m'!F178),'12_Datos_5m'!F178,"")</f>
        <v/>
      </c>
      <c r="C178" s="151" t="str">
        <f aca="false">IF(ISNUMBER('12_Datos_5m'!A178),'12_Datos_5m'!A178,"")</f>
        <v/>
      </c>
      <c r="D178" s="151" t="n">
        <f aca="false">IF(AND(ISNUMBER('12_Datos_5m'!I178),ISNUMBER('12_Datos_5m'!I177)),'12_Datos_5m'!I178-'12_Datos_5m'!I177,0)</f>
        <v>0</v>
      </c>
      <c r="E178" s="151" t="n">
        <f aca="false">MAX(0,D178)</f>
        <v>0</v>
      </c>
      <c r="F178" s="151" t="n">
        <f aca="false">IF(AND(ISNUMBER('12_Datos_5m'!G178),N('12_Datos_5m'!G178)&gt;0),'12_Datos_5m'!H178/'12_Datos_5m'!G178,0.5)</f>
        <v>0.5</v>
      </c>
      <c r="G178" s="151" t="n">
        <f aca="false">IF(ISNUMBER(C178),($C$2-C178)/3600000,0)</f>
        <v>0</v>
      </c>
      <c r="H178" s="151" t="n">
        <f aca="false">EXP(-G178/'13_Mapa_Liq'!$B$7)</f>
        <v>1</v>
      </c>
      <c r="I178" s="151" t="n">
        <f aca="false">E178*F178*H178</f>
        <v>0</v>
      </c>
      <c r="J178" s="151" t="n">
        <f aca="false">E178*(1-F178)*H178</f>
        <v>0</v>
      </c>
      <c r="K178" s="151" t="n">
        <f aca="false">IF(COUNT('12_Datos_5m'!E179:E$504)=0,1000000000000,MIN('12_Datos_5m'!E179:E$504))</f>
        <v>1000000000000</v>
      </c>
      <c r="L178" s="151" t="n">
        <f aca="false">IF(COUNT('12_Datos_5m'!D179:D$504)=0,0,MAX('12_Datos_5m'!D179:D$504))</f>
        <v>0</v>
      </c>
      <c r="M178" s="151" t="str">
        <f aca="false">IF(ISNUMBER(B178),B178*(1-1/'13_Mapa_Liq'!$B$15+'13_Mapa_Liq'!$B$6),"")</f>
        <v/>
      </c>
      <c r="N178" s="151" t="n">
        <f aca="false">IF(ISNUMBER(B178),IF(K178&gt;M178,I178*'13_Mapa_Liq'!$C$15,0),0)</f>
        <v>0</v>
      </c>
      <c r="O178" s="151" t="str">
        <f aca="false">IF(ISNUMBER(B178),B178*(1+1/'13_Mapa_Liq'!$B$15-'13_Mapa_Liq'!$B$6),"")</f>
        <v/>
      </c>
      <c r="P178" s="151" t="n">
        <f aca="false">IF(ISNUMBER(B178),IF(L178&lt;O178,J178*'13_Mapa_Liq'!$C$15,0),0)</f>
        <v>0</v>
      </c>
      <c r="Q178" s="151" t="str">
        <f aca="false">IF(ISNUMBER(B178),B178*(1-1/'13_Mapa_Liq'!$B$16+'13_Mapa_Liq'!$B$6),"")</f>
        <v/>
      </c>
      <c r="R178" s="151" t="n">
        <f aca="false">IF(ISNUMBER(B178),IF(K178&gt;Q178,I178*'13_Mapa_Liq'!$C$16,0),0)</f>
        <v>0</v>
      </c>
      <c r="S178" s="151" t="str">
        <f aca="false">IF(ISNUMBER(B178),B178*(1+1/'13_Mapa_Liq'!$B$16-'13_Mapa_Liq'!$B$6),"")</f>
        <v/>
      </c>
      <c r="T178" s="151" t="n">
        <f aca="false">IF(ISNUMBER(B178),IF(L178&lt;S178,J178*'13_Mapa_Liq'!$C$16,0),0)</f>
        <v>0</v>
      </c>
      <c r="U178" s="151" t="str">
        <f aca="false">IF(ISNUMBER(B178),B178*(1-1/'13_Mapa_Liq'!$B$17+'13_Mapa_Liq'!$B$6),"")</f>
        <v/>
      </c>
      <c r="V178" s="151" t="n">
        <f aca="false">IF(ISNUMBER(B178),IF(K178&gt;U178,I178*'13_Mapa_Liq'!$C$17,0),0)</f>
        <v>0</v>
      </c>
      <c r="W178" s="151" t="str">
        <f aca="false">IF(ISNUMBER(B178),B178*(1+1/'13_Mapa_Liq'!$B$17-'13_Mapa_Liq'!$B$6),"")</f>
        <v/>
      </c>
      <c r="X178" s="151" t="n">
        <f aca="false">IF(ISNUMBER(B178),IF(L178&lt;W178,J178*'13_Mapa_Liq'!$C$17,0),0)</f>
        <v>0</v>
      </c>
      <c r="Y178" s="151" t="str">
        <f aca="false">IF(ISNUMBER(B178),B178*(1-1/'13_Mapa_Liq'!$B$18+'13_Mapa_Liq'!$B$6),"")</f>
        <v/>
      </c>
      <c r="Z178" s="151" t="n">
        <f aca="false">IF(ISNUMBER(B178),IF(K178&gt;Y178,I178*'13_Mapa_Liq'!$C$18,0),0)</f>
        <v>0</v>
      </c>
      <c r="AA178" s="151" t="str">
        <f aca="false">IF(ISNUMBER(B178),B178*(1+1/'13_Mapa_Liq'!$B$18-'13_Mapa_Liq'!$B$6),"")</f>
        <v/>
      </c>
      <c r="AB178" s="151" t="n">
        <f aca="false">IF(ISNUMBER(B178),IF(L178&lt;AA178,J178*'13_Mapa_Liq'!$C$18,0),0)</f>
        <v>0</v>
      </c>
      <c r="AC178" s="151" t="str">
        <f aca="false">IF(ISNUMBER(B178),B178*(1-1/'13_Mapa_Liq'!$B$19+'13_Mapa_Liq'!$B$6),"")</f>
        <v/>
      </c>
      <c r="AD178" s="151" t="n">
        <f aca="false">IF(ISNUMBER(B178),IF(K178&gt;AC178,I178*'13_Mapa_Liq'!$C$19,0),0)</f>
        <v>0</v>
      </c>
      <c r="AE178" s="151" t="str">
        <f aca="false">IF(ISNUMBER(B178),B178*(1+1/'13_Mapa_Liq'!$B$19-'13_Mapa_Liq'!$B$6),"")</f>
        <v/>
      </c>
      <c r="AF178" s="151" t="n">
        <f aca="false">IF(ISNUMBER(B178),IF(L178&lt;AE178,J178*'13_Mapa_Liq'!$C$19,0),0)</f>
        <v>0</v>
      </c>
      <c r="AG178" s="151"/>
      <c r="AH178" s="151" t="n">
        <f aca="false">IF(ISNUMBER(B178),E178*F178*((K178&lt;=M178)*'13_Mapa_Liq'!$C$15+(K178&lt;=Q178)*'13_Mapa_Liq'!$C$16+(K178&lt;=U178)*'13_Mapa_Liq'!$C$17+(K178&lt;=Y178)*'13_Mapa_Liq'!$C$18+(K178&lt;=AC178)*'13_Mapa_Liq'!$C$19),0)</f>
        <v>0</v>
      </c>
      <c r="AI178" s="151" t="n">
        <f aca="false">IF(ISNUMBER(B178),E178*(1-F178)*((L178&gt;=O178)*'13_Mapa_Liq'!$C$15+(L178&gt;=S178)*'13_Mapa_Liq'!$C$16+(L178&gt;=W178)*'13_Mapa_Liq'!$C$17+(L178&gt;=AA178)*'13_Mapa_Liq'!$C$18+(L178&gt;=AE178)*'13_Mapa_Liq'!$C$19),0)</f>
        <v>0</v>
      </c>
    </row>
    <row r="179" customFormat="false" ht="15" hidden="false" customHeight="false" outlineLevel="0" collapsed="false">
      <c r="A179" s="151" t="str">
        <f aca="false">IF(ISNUMBER('12_Datos_5m'!F179),ROW()-4,"")</f>
        <v/>
      </c>
      <c r="B179" s="151" t="str">
        <f aca="false">IF(ISNUMBER('12_Datos_5m'!F179),'12_Datos_5m'!F179,"")</f>
        <v/>
      </c>
      <c r="C179" s="151" t="str">
        <f aca="false">IF(ISNUMBER('12_Datos_5m'!A179),'12_Datos_5m'!A179,"")</f>
        <v/>
      </c>
      <c r="D179" s="151" t="n">
        <f aca="false">IF(AND(ISNUMBER('12_Datos_5m'!I179),ISNUMBER('12_Datos_5m'!I178)),'12_Datos_5m'!I179-'12_Datos_5m'!I178,0)</f>
        <v>0</v>
      </c>
      <c r="E179" s="151" t="n">
        <f aca="false">MAX(0,D179)</f>
        <v>0</v>
      </c>
      <c r="F179" s="151" t="n">
        <f aca="false">IF(AND(ISNUMBER('12_Datos_5m'!G179),N('12_Datos_5m'!G179)&gt;0),'12_Datos_5m'!H179/'12_Datos_5m'!G179,0.5)</f>
        <v>0.5</v>
      </c>
      <c r="G179" s="151" t="n">
        <f aca="false">IF(ISNUMBER(C179),($C$2-C179)/3600000,0)</f>
        <v>0</v>
      </c>
      <c r="H179" s="151" t="n">
        <f aca="false">EXP(-G179/'13_Mapa_Liq'!$B$7)</f>
        <v>1</v>
      </c>
      <c r="I179" s="151" t="n">
        <f aca="false">E179*F179*H179</f>
        <v>0</v>
      </c>
      <c r="J179" s="151" t="n">
        <f aca="false">E179*(1-F179)*H179</f>
        <v>0</v>
      </c>
      <c r="K179" s="151" t="n">
        <f aca="false">IF(COUNT('12_Datos_5m'!E180:E$504)=0,1000000000000,MIN('12_Datos_5m'!E180:E$504))</f>
        <v>1000000000000</v>
      </c>
      <c r="L179" s="151" t="n">
        <f aca="false">IF(COUNT('12_Datos_5m'!D180:D$504)=0,0,MAX('12_Datos_5m'!D180:D$504))</f>
        <v>0</v>
      </c>
      <c r="M179" s="151" t="str">
        <f aca="false">IF(ISNUMBER(B179),B179*(1-1/'13_Mapa_Liq'!$B$15+'13_Mapa_Liq'!$B$6),"")</f>
        <v/>
      </c>
      <c r="N179" s="151" t="n">
        <f aca="false">IF(ISNUMBER(B179),IF(K179&gt;M179,I179*'13_Mapa_Liq'!$C$15,0),0)</f>
        <v>0</v>
      </c>
      <c r="O179" s="151" t="str">
        <f aca="false">IF(ISNUMBER(B179),B179*(1+1/'13_Mapa_Liq'!$B$15-'13_Mapa_Liq'!$B$6),"")</f>
        <v/>
      </c>
      <c r="P179" s="151" t="n">
        <f aca="false">IF(ISNUMBER(B179),IF(L179&lt;O179,J179*'13_Mapa_Liq'!$C$15,0),0)</f>
        <v>0</v>
      </c>
      <c r="Q179" s="151" t="str">
        <f aca="false">IF(ISNUMBER(B179),B179*(1-1/'13_Mapa_Liq'!$B$16+'13_Mapa_Liq'!$B$6),"")</f>
        <v/>
      </c>
      <c r="R179" s="151" t="n">
        <f aca="false">IF(ISNUMBER(B179),IF(K179&gt;Q179,I179*'13_Mapa_Liq'!$C$16,0),0)</f>
        <v>0</v>
      </c>
      <c r="S179" s="151" t="str">
        <f aca="false">IF(ISNUMBER(B179),B179*(1+1/'13_Mapa_Liq'!$B$16-'13_Mapa_Liq'!$B$6),"")</f>
        <v/>
      </c>
      <c r="T179" s="151" t="n">
        <f aca="false">IF(ISNUMBER(B179),IF(L179&lt;S179,J179*'13_Mapa_Liq'!$C$16,0),0)</f>
        <v>0</v>
      </c>
      <c r="U179" s="151" t="str">
        <f aca="false">IF(ISNUMBER(B179),B179*(1-1/'13_Mapa_Liq'!$B$17+'13_Mapa_Liq'!$B$6),"")</f>
        <v/>
      </c>
      <c r="V179" s="151" t="n">
        <f aca="false">IF(ISNUMBER(B179),IF(K179&gt;U179,I179*'13_Mapa_Liq'!$C$17,0),0)</f>
        <v>0</v>
      </c>
      <c r="W179" s="151" t="str">
        <f aca="false">IF(ISNUMBER(B179),B179*(1+1/'13_Mapa_Liq'!$B$17-'13_Mapa_Liq'!$B$6),"")</f>
        <v/>
      </c>
      <c r="X179" s="151" t="n">
        <f aca="false">IF(ISNUMBER(B179),IF(L179&lt;W179,J179*'13_Mapa_Liq'!$C$17,0),0)</f>
        <v>0</v>
      </c>
      <c r="Y179" s="151" t="str">
        <f aca="false">IF(ISNUMBER(B179),B179*(1-1/'13_Mapa_Liq'!$B$18+'13_Mapa_Liq'!$B$6),"")</f>
        <v/>
      </c>
      <c r="Z179" s="151" t="n">
        <f aca="false">IF(ISNUMBER(B179),IF(K179&gt;Y179,I179*'13_Mapa_Liq'!$C$18,0),0)</f>
        <v>0</v>
      </c>
      <c r="AA179" s="151" t="str">
        <f aca="false">IF(ISNUMBER(B179),B179*(1+1/'13_Mapa_Liq'!$B$18-'13_Mapa_Liq'!$B$6),"")</f>
        <v/>
      </c>
      <c r="AB179" s="151" t="n">
        <f aca="false">IF(ISNUMBER(B179),IF(L179&lt;AA179,J179*'13_Mapa_Liq'!$C$18,0),0)</f>
        <v>0</v>
      </c>
      <c r="AC179" s="151" t="str">
        <f aca="false">IF(ISNUMBER(B179),B179*(1-1/'13_Mapa_Liq'!$B$19+'13_Mapa_Liq'!$B$6),"")</f>
        <v/>
      </c>
      <c r="AD179" s="151" t="n">
        <f aca="false">IF(ISNUMBER(B179),IF(K179&gt;AC179,I179*'13_Mapa_Liq'!$C$19,0),0)</f>
        <v>0</v>
      </c>
      <c r="AE179" s="151" t="str">
        <f aca="false">IF(ISNUMBER(B179),B179*(1+1/'13_Mapa_Liq'!$B$19-'13_Mapa_Liq'!$B$6),"")</f>
        <v/>
      </c>
      <c r="AF179" s="151" t="n">
        <f aca="false">IF(ISNUMBER(B179),IF(L179&lt;AE179,J179*'13_Mapa_Liq'!$C$19,0),0)</f>
        <v>0</v>
      </c>
      <c r="AG179" s="151"/>
      <c r="AH179" s="151" t="n">
        <f aca="false">IF(ISNUMBER(B179),E179*F179*((K179&lt;=M179)*'13_Mapa_Liq'!$C$15+(K179&lt;=Q179)*'13_Mapa_Liq'!$C$16+(K179&lt;=U179)*'13_Mapa_Liq'!$C$17+(K179&lt;=Y179)*'13_Mapa_Liq'!$C$18+(K179&lt;=AC179)*'13_Mapa_Liq'!$C$19),0)</f>
        <v>0</v>
      </c>
      <c r="AI179" s="151" t="n">
        <f aca="false">IF(ISNUMBER(B179),E179*(1-F179)*((L179&gt;=O179)*'13_Mapa_Liq'!$C$15+(L179&gt;=S179)*'13_Mapa_Liq'!$C$16+(L179&gt;=W179)*'13_Mapa_Liq'!$C$17+(L179&gt;=AA179)*'13_Mapa_Liq'!$C$18+(L179&gt;=AE179)*'13_Mapa_Liq'!$C$19),0)</f>
        <v>0</v>
      </c>
    </row>
    <row r="180" customFormat="false" ht="15" hidden="false" customHeight="false" outlineLevel="0" collapsed="false">
      <c r="A180" s="151" t="str">
        <f aca="false">IF(ISNUMBER('12_Datos_5m'!F180),ROW()-4,"")</f>
        <v/>
      </c>
      <c r="B180" s="151" t="str">
        <f aca="false">IF(ISNUMBER('12_Datos_5m'!F180),'12_Datos_5m'!F180,"")</f>
        <v/>
      </c>
      <c r="C180" s="151" t="str">
        <f aca="false">IF(ISNUMBER('12_Datos_5m'!A180),'12_Datos_5m'!A180,"")</f>
        <v/>
      </c>
      <c r="D180" s="151" t="n">
        <f aca="false">IF(AND(ISNUMBER('12_Datos_5m'!I180),ISNUMBER('12_Datos_5m'!I179)),'12_Datos_5m'!I180-'12_Datos_5m'!I179,0)</f>
        <v>0</v>
      </c>
      <c r="E180" s="151" t="n">
        <f aca="false">MAX(0,D180)</f>
        <v>0</v>
      </c>
      <c r="F180" s="151" t="n">
        <f aca="false">IF(AND(ISNUMBER('12_Datos_5m'!G180),N('12_Datos_5m'!G180)&gt;0),'12_Datos_5m'!H180/'12_Datos_5m'!G180,0.5)</f>
        <v>0.5</v>
      </c>
      <c r="G180" s="151" t="n">
        <f aca="false">IF(ISNUMBER(C180),($C$2-C180)/3600000,0)</f>
        <v>0</v>
      </c>
      <c r="H180" s="151" t="n">
        <f aca="false">EXP(-G180/'13_Mapa_Liq'!$B$7)</f>
        <v>1</v>
      </c>
      <c r="I180" s="151" t="n">
        <f aca="false">E180*F180*H180</f>
        <v>0</v>
      </c>
      <c r="J180" s="151" t="n">
        <f aca="false">E180*(1-F180)*H180</f>
        <v>0</v>
      </c>
      <c r="K180" s="151" t="n">
        <f aca="false">IF(COUNT('12_Datos_5m'!E181:E$504)=0,1000000000000,MIN('12_Datos_5m'!E181:E$504))</f>
        <v>1000000000000</v>
      </c>
      <c r="L180" s="151" t="n">
        <f aca="false">IF(COUNT('12_Datos_5m'!D181:D$504)=0,0,MAX('12_Datos_5m'!D181:D$504))</f>
        <v>0</v>
      </c>
      <c r="M180" s="151" t="str">
        <f aca="false">IF(ISNUMBER(B180),B180*(1-1/'13_Mapa_Liq'!$B$15+'13_Mapa_Liq'!$B$6),"")</f>
        <v/>
      </c>
      <c r="N180" s="151" t="n">
        <f aca="false">IF(ISNUMBER(B180),IF(K180&gt;M180,I180*'13_Mapa_Liq'!$C$15,0),0)</f>
        <v>0</v>
      </c>
      <c r="O180" s="151" t="str">
        <f aca="false">IF(ISNUMBER(B180),B180*(1+1/'13_Mapa_Liq'!$B$15-'13_Mapa_Liq'!$B$6),"")</f>
        <v/>
      </c>
      <c r="P180" s="151" t="n">
        <f aca="false">IF(ISNUMBER(B180),IF(L180&lt;O180,J180*'13_Mapa_Liq'!$C$15,0),0)</f>
        <v>0</v>
      </c>
      <c r="Q180" s="151" t="str">
        <f aca="false">IF(ISNUMBER(B180),B180*(1-1/'13_Mapa_Liq'!$B$16+'13_Mapa_Liq'!$B$6),"")</f>
        <v/>
      </c>
      <c r="R180" s="151" t="n">
        <f aca="false">IF(ISNUMBER(B180),IF(K180&gt;Q180,I180*'13_Mapa_Liq'!$C$16,0),0)</f>
        <v>0</v>
      </c>
      <c r="S180" s="151" t="str">
        <f aca="false">IF(ISNUMBER(B180),B180*(1+1/'13_Mapa_Liq'!$B$16-'13_Mapa_Liq'!$B$6),"")</f>
        <v/>
      </c>
      <c r="T180" s="151" t="n">
        <f aca="false">IF(ISNUMBER(B180),IF(L180&lt;S180,J180*'13_Mapa_Liq'!$C$16,0),0)</f>
        <v>0</v>
      </c>
      <c r="U180" s="151" t="str">
        <f aca="false">IF(ISNUMBER(B180),B180*(1-1/'13_Mapa_Liq'!$B$17+'13_Mapa_Liq'!$B$6),"")</f>
        <v/>
      </c>
      <c r="V180" s="151" t="n">
        <f aca="false">IF(ISNUMBER(B180),IF(K180&gt;U180,I180*'13_Mapa_Liq'!$C$17,0),0)</f>
        <v>0</v>
      </c>
      <c r="W180" s="151" t="str">
        <f aca="false">IF(ISNUMBER(B180),B180*(1+1/'13_Mapa_Liq'!$B$17-'13_Mapa_Liq'!$B$6),"")</f>
        <v/>
      </c>
      <c r="X180" s="151" t="n">
        <f aca="false">IF(ISNUMBER(B180),IF(L180&lt;W180,J180*'13_Mapa_Liq'!$C$17,0),0)</f>
        <v>0</v>
      </c>
      <c r="Y180" s="151" t="str">
        <f aca="false">IF(ISNUMBER(B180),B180*(1-1/'13_Mapa_Liq'!$B$18+'13_Mapa_Liq'!$B$6),"")</f>
        <v/>
      </c>
      <c r="Z180" s="151" t="n">
        <f aca="false">IF(ISNUMBER(B180),IF(K180&gt;Y180,I180*'13_Mapa_Liq'!$C$18,0),0)</f>
        <v>0</v>
      </c>
      <c r="AA180" s="151" t="str">
        <f aca="false">IF(ISNUMBER(B180),B180*(1+1/'13_Mapa_Liq'!$B$18-'13_Mapa_Liq'!$B$6),"")</f>
        <v/>
      </c>
      <c r="AB180" s="151" t="n">
        <f aca="false">IF(ISNUMBER(B180),IF(L180&lt;AA180,J180*'13_Mapa_Liq'!$C$18,0),0)</f>
        <v>0</v>
      </c>
      <c r="AC180" s="151" t="str">
        <f aca="false">IF(ISNUMBER(B180),B180*(1-1/'13_Mapa_Liq'!$B$19+'13_Mapa_Liq'!$B$6),"")</f>
        <v/>
      </c>
      <c r="AD180" s="151" t="n">
        <f aca="false">IF(ISNUMBER(B180),IF(K180&gt;AC180,I180*'13_Mapa_Liq'!$C$19,0),0)</f>
        <v>0</v>
      </c>
      <c r="AE180" s="151" t="str">
        <f aca="false">IF(ISNUMBER(B180),B180*(1+1/'13_Mapa_Liq'!$B$19-'13_Mapa_Liq'!$B$6),"")</f>
        <v/>
      </c>
      <c r="AF180" s="151" t="n">
        <f aca="false">IF(ISNUMBER(B180),IF(L180&lt;AE180,J180*'13_Mapa_Liq'!$C$19,0),0)</f>
        <v>0</v>
      </c>
      <c r="AG180" s="151"/>
      <c r="AH180" s="151" t="n">
        <f aca="false">IF(ISNUMBER(B180),E180*F180*((K180&lt;=M180)*'13_Mapa_Liq'!$C$15+(K180&lt;=Q180)*'13_Mapa_Liq'!$C$16+(K180&lt;=U180)*'13_Mapa_Liq'!$C$17+(K180&lt;=Y180)*'13_Mapa_Liq'!$C$18+(K180&lt;=AC180)*'13_Mapa_Liq'!$C$19),0)</f>
        <v>0</v>
      </c>
      <c r="AI180" s="151" t="n">
        <f aca="false">IF(ISNUMBER(B180),E180*(1-F180)*((L180&gt;=O180)*'13_Mapa_Liq'!$C$15+(L180&gt;=S180)*'13_Mapa_Liq'!$C$16+(L180&gt;=W180)*'13_Mapa_Liq'!$C$17+(L180&gt;=AA180)*'13_Mapa_Liq'!$C$18+(L180&gt;=AE180)*'13_Mapa_Liq'!$C$19),0)</f>
        <v>0</v>
      </c>
    </row>
    <row r="181" customFormat="false" ht="15" hidden="false" customHeight="false" outlineLevel="0" collapsed="false">
      <c r="A181" s="151" t="str">
        <f aca="false">IF(ISNUMBER('12_Datos_5m'!F181),ROW()-4,"")</f>
        <v/>
      </c>
      <c r="B181" s="151" t="str">
        <f aca="false">IF(ISNUMBER('12_Datos_5m'!F181),'12_Datos_5m'!F181,"")</f>
        <v/>
      </c>
      <c r="C181" s="151" t="str">
        <f aca="false">IF(ISNUMBER('12_Datos_5m'!A181),'12_Datos_5m'!A181,"")</f>
        <v/>
      </c>
      <c r="D181" s="151" t="n">
        <f aca="false">IF(AND(ISNUMBER('12_Datos_5m'!I181),ISNUMBER('12_Datos_5m'!I180)),'12_Datos_5m'!I181-'12_Datos_5m'!I180,0)</f>
        <v>0</v>
      </c>
      <c r="E181" s="151" t="n">
        <f aca="false">MAX(0,D181)</f>
        <v>0</v>
      </c>
      <c r="F181" s="151" t="n">
        <f aca="false">IF(AND(ISNUMBER('12_Datos_5m'!G181),N('12_Datos_5m'!G181)&gt;0),'12_Datos_5m'!H181/'12_Datos_5m'!G181,0.5)</f>
        <v>0.5</v>
      </c>
      <c r="G181" s="151" t="n">
        <f aca="false">IF(ISNUMBER(C181),($C$2-C181)/3600000,0)</f>
        <v>0</v>
      </c>
      <c r="H181" s="151" t="n">
        <f aca="false">EXP(-G181/'13_Mapa_Liq'!$B$7)</f>
        <v>1</v>
      </c>
      <c r="I181" s="151" t="n">
        <f aca="false">E181*F181*H181</f>
        <v>0</v>
      </c>
      <c r="J181" s="151" t="n">
        <f aca="false">E181*(1-F181)*H181</f>
        <v>0</v>
      </c>
      <c r="K181" s="151" t="n">
        <f aca="false">IF(COUNT('12_Datos_5m'!E182:E$504)=0,1000000000000,MIN('12_Datos_5m'!E182:E$504))</f>
        <v>1000000000000</v>
      </c>
      <c r="L181" s="151" t="n">
        <f aca="false">IF(COUNT('12_Datos_5m'!D182:D$504)=0,0,MAX('12_Datos_5m'!D182:D$504))</f>
        <v>0</v>
      </c>
      <c r="M181" s="151" t="str">
        <f aca="false">IF(ISNUMBER(B181),B181*(1-1/'13_Mapa_Liq'!$B$15+'13_Mapa_Liq'!$B$6),"")</f>
        <v/>
      </c>
      <c r="N181" s="151" t="n">
        <f aca="false">IF(ISNUMBER(B181),IF(K181&gt;M181,I181*'13_Mapa_Liq'!$C$15,0),0)</f>
        <v>0</v>
      </c>
      <c r="O181" s="151" t="str">
        <f aca="false">IF(ISNUMBER(B181),B181*(1+1/'13_Mapa_Liq'!$B$15-'13_Mapa_Liq'!$B$6),"")</f>
        <v/>
      </c>
      <c r="P181" s="151" t="n">
        <f aca="false">IF(ISNUMBER(B181),IF(L181&lt;O181,J181*'13_Mapa_Liq'!$C$15,0),0)</f>
        <v>0</v>
      </c>
      <c r="Q181" s="151" t="str">
        <f aca="false">IF(ISNUMBER(B181),B181*(1-1/'13_Mapa_Liq'!$B$16+'13_Mapa_Liq'!$B$6),"")</f>
        <v/>
      </c>
      <c r="R181" s="151" t="n">
        <f aca="false">IF(ISNUMBER(B181),IF(K181&gt;Q181,I181*'13_Mapa_Liq'!$C$16,0),0)</f>
        <v>0</v>
      </c>
      <c r="S181" s="151" t="str">
        <f aca="false">IF(ISNUMBER(B181),B181*(1+1/'13_Mapa_Liq'!$B$16-'13_Mapa_Liq'!$B$6),"")</f>
        <v/>
      </c>
      <c r="T181" s="151" t="n">
        <f aca="false">IF(ISNUMBER(B181),IF(L181&lt;S181,J181*'13_Mapa_Liq'!$C$16,0),0)</f>
        <v>0</v>
      </c>
      <c r="U181" s="151" t="str">
        <f aca="false">IF(ISNUMBER(B181),B181*(1-1/'13_Mapa_Liq'!$B$17+'13_Mapa_Liq'!$B$6),"")</f>
        <v/>
      </c>
      <c r="V181" s="151" t="n">
        <f aca="false">IF(ISNUMBER(B181),IF(K181&gt;U181,I181*'13_Mapa_Liq'!$C$17,0),0)</f>
        <v>0</v>
      </c>
      <c r="W181" s="151" t="str">
        <f aca="false">IF(ISNUMBER(B181),B181*(1+1/'13_Mapa_Liq'!$B$17-'13_Mapa_Liq'!$B$6),"")</f>
        <v/>
      </c>
      <c r="X181" s="151" t="n">
        <f aca="false">IF(ISNUMBER(B181),IF(L181&lt;W181,J181*'13_Mapa_Liq'!$C$17,0),0)</f>
        <v>0</v>
      </c>
      <c r="Y181" s="151" t="str">
        <f aca="false">IF(ISNUMBER(B181),B181*(1-1/'13_Mapa_Liq'!$B$18+'13_Mapa_Liq'!$B$6),"")</f>
        <v/>
      </c>
      <c r="Z181" s="151" t="n">
        <f aca="false">IF(ISNUMBER(B181),IF(K181&gt;Y181,I181*'13_Mapa_Liq'!$C$18,0),0)</f>
        <v>0</v>
      </c>
      <c r="AA181" s="151" t="str">
        <f aca="false">IF(ISNUMBER(B181),B181*(1+1/'13_Mapa_Liq'!$B$18-'13_Mapa_Liq'!$B$6),"")</f>
        <v/>
      </c>
      <c r="AB181" s="151" t="n">
        <f aca="false">IF(ISNUMBER(B181),IF(L181&lt;AA181,J181*'13_Mapa_Liq'!$C$18,0),0)</f>
        <v>0</v>
      </c>
      <c r="AC181" s="151" t="str">
        <f aca="false">IF(ISNUMBER(B181),B181*(1-1/'13_Mapa_Liq'!$B$19+'13_Mapa_Liq'!$B$6),"")</f>
        <v/>
      </c>
      <c r="AD181" s="151" t="n">
        <f aca="false">IF(ISNUMBER(B181),IF(K181&gt;AC181,I181*'13_Mapa_Liq'!$C$19,0),0)</f>
        <v>0</v>
      </c>
      <c r="AE181" s="151" t="str">
        <f aca="false">IF(ISNUMBER(B181),B181*(1+1/'13_Mapa_Liq'!$B$19-'13_Mapa_Liq'!$B$6),"")</f>
        <v/>
      </c>
      <c r="AF181" s="151" t="n">
        <f aca="false">IF(ISNUMBER(B181),IF(L181&lt;AE181,J181*'13_Mapa_Liq'!$C$19,0),0)</f>
        <v>0</v>
      </c>
      <c r="AG181" s="151"/>
      <c r="AH181" s="151" t="n">
        <f aca="false">IF(ISNUMBER(B181),E181*F181*((K181&lt;=M181)*'13_Mapa_Liq'!$C$15+(K181&lt;=Q181)*'13_Mapa_Liq'!$C$16+(K181&lt;=U181)*'13_Mapa_Liq'!$C$17+(K181&lt;=Y181)*'13_Mapa_Liq'!$C$18+(K181&lt;=AC181)*'13_Mapa_Liq'!$C$19),0)</f>
        <v>0</v>
      </c>
      <c r="AI181" s="151" t="n">
        <f aca="false">IF(ISNUMBER(B181),E181*(1-F181)*((L181&gt;=O181)*'13_Mapa_Liq'!$C$15+(L181&gt;=S181)*'13_Mapa_Liq'!$C$16+(L181&gt;=W181)*'13_Mapa_Liq'!$C$17+(L181&gt;=AA181)*'13_Mapa_Liq'!$C$18+(L181&gt;=AE181)*'13_Mapa_Liq'!$C$19),0)</f>
        <v>0</v>
      </c>
    </row>
    <row r="182" customFormat="false" ht="15" hidden="false" customHeight="false" outlineLevel="0" collapsed="false">
      <c r="A182" s="151" t="str">
        <f aca="false">IF(ISNUMBER('12_Datos_5m'!F182),ROW()-4,"")</f>
        <v/>
      </c>
      <c r="B182" s="151" t="str">
        <f aca="false">IF(ISNUMBER('12_Datos_5m'!F182),'12_Datos_5m'!F182,"")</f>
        <v/>
      </c>
      <c r="C182" s="151" t="str">
        <f aca="false">IF(ISNUMBER('12_Datos_5m'!A182),'12_Datos_5m'!A182,"")</f>
        <v/>
      </c>
      <c r="D182" s="151" t="n">
        <f aca="false">IF(AND(ISNUMBER('12_Datos_5m'!I182),ISNUMBER('12_Datos_5m'!I181)),'12_Datos_5m'!I182-'12_Datos_5m'!I181,0)</f>
        <v>0</v>
      </c>
      <c r="E182" s="151" t="n">
        <f aca="false">MAX(0,D182)</f>
        <v>0</v>
      </c>
      <c r="F182" s="151" t="n">
        <f aca="false">IF(AND(ISNUMBER('12_Datos_5m'!G182),N('12_Datos_5m'!G182)&gt;0),'12_Datos_5m'!H182/'12_Datos_5m'!G182,0.5)</f>
        <v>0.5</v>
      </c>
      <c r="G182" s="151" t="n">
        <f aca="false">IF(ISNUMBER(C182),($C$2-C182)/3600000,0)</f>
        <v>0</v>
      </c>
      <c r="H182" s="151" t="n">
        <f aca="false">EXP(-G182/'13_Mapa_Liq'!$B$7)</f>
        <v>1</v>
      </c>
      <c r="I182" s="151" t="n">
        <f aca="false">E182*F182*H182</f>
        <v>0</v>
      </c>
      <c r="J182" s="151" t="n">
        <f aca="false">E182*(1-F182)*H182</f>
        <v>0</v>
      </c>
      <c r="K182" s="151" t="n">
        <f aca="false">IF(COUNT('12_Datos_5m'!E183:E$504)=0,1000000000000,MIN('12_Datos_5m'!E183:E$504))</f>
        <v>1000000000000</v>
      </c>
      <c r="L182" s="151" t="n">
        <f aca="false">IF(COUNT('12_Datos_5m'!D183:D$504)=0,0,MAX('12_Datos_5m'!D183:D$504))</f>
        <v>0</v>
      </c>
      <c r="M182" s="151" t="str">
        <f aca="false">IF(ISNUMBER(B182),B182*(1-1/'13_Mapa_Liq'!$B$15+'13_Mapa_Liq'!$B$6),"")</f>
        <v/>
      </c>
      <c r="N182" s="151" t="n">
        <f aca="false">IF(ISNUMBER(B182),IF(K182&gt;M182,I182*'13_Mapa_Liq'!$C$15,0),0)</f>
        <v>0</v>
      </c>
      <c r="O182" s="151" t="str">
        <f aca="false">IF(ISNUMBER(B182),B182*(1+1/'13_Mapa_Liq'!$B$15-'13_Mapa_Liq'!$B$6),"")</f>
        <v/>
      </c>
      <c r="P182" s="151" t="n">
        <f aca="false">IF(ISNUMBER(B182),IF(L182&lt;O182,J182*'13_Mapa_Liq'!$C$15,0),0)</f>
        <v>0</v>
      </c>
      <c r="Q182" s="151" t="str">
        <f aca="false">IF(ISNUMBER(B182),B182*(1-1/'13_Mapa_Liq'!$B$16+'13_Mapa_Liq'!$B$6),"")</f>
        <v/>
      </c>
      <c r="R182" s="151" t="n">
        <f aca="false">IF(ISNUMBER(B182),IF(K182&gt;Q182,I182*'13_Mapa_Liq'!$C$16,0),0)</f>
        <v>0</v>
      </c>
      <c r="S182" s="151" t="str">
        <f aca="false">IF(ISNUMBER(B182),B182*(1+1/'13_Mapa_Liq'!$B$16-'13_Mapa_Liq'!$B$6),"")</f>
        <v/>
      </c>
      <c r="T182" s="151" t="n">
        <f aca="false">IF(ISNUMBER(B182),IF(L182&lt;S182,J182*'13_Mapa_Liq'!$C$16,0),0)</f>
        <v>0</v>
      </c>
      <c r="U182" s="151" t="str">
        <f aca="false">IF(ISNUMBER(B182),B182*(1-1/'13_Mapa_Liq'!$B$17+'13_Mapa_Liq'!$B$6),"")</f>
        <v/>
      </c>
      <c r="V182" s="151" t="n">
        <f aca="false">IF(ISNUMBER(B182),IF(K182&gt;U182,I182*'13_Mapa_Liq'!$C$17,0),0)</f>
        <v>0</v>
      </c>
      <c r="W182" s="151" t="str">
        <f aca="false">IF(ISNUMBER(B182),B182*(1+1/'13_Mapa_Liq'!$B$17-'13_Mapa_Liq'!$B$6),"")</f>
        <v/>
      </c>
      <c r="X182" s="151" t="n">
        <f aca="false">IF(ISNUMBER(B182),IF(L182&lt;W182,J182*'13_Mapa_Liq'!$C$17,0),0)</f>
        <v>0</v>
      </c>
      <c r="Y182" s="151" t="str">
        <f aca="false">IF(ISNUMBER(B182),B182*(1-1/'13_Mapa_Liq'!$B$18+'13_Mapa_Liq'!$B$6),"")</f>
        <v/>
      </c>
      <c r="Z182" s="151" t="n">
        <f aca="false">IF(ISNUMBER(B182),IF(K182&gt;Y182,I182*'13_Mapa_Liq'!$C$18,0),0)</f>
        <v>0</v>
      </c>
      <c r="AA182" s="151" t="str">
        <f aca="false">IF(ISNUMBER(B182),B182*(1+1/'13_Mapa_Liq'!$B$18-'13_Mapa_Liq'!$B$6),"")</f>
        <v/>
      </c>
      <c r="AB182" s="151" t="n">
        <f aca="false">IF(ISNUMBER(B182),IF(L182&lt;AA182,J182*'13_Mapa_Liq'!$C$18,0),0)</f>
        <v>0</v>
      </c>
      <c r="AC182" s="151" t="str">
        <f aca="false">IF(ISNUMBER(B182),B182*(1-1/'13_Mapa_Liq'!$B$19+'13_Mapa_Liq'!$B$6),"")</f>
        <v/>
      </c>
      <c r="AD182" s="151" t="n">
        <f aca="false">IF(ISNUMBER(B182),IF(K182&gt;AC182,I182*'13_Mapa_Liq'!$C$19,0),0)</f>
        <v>0</v>
      </c>
      <c r="AE182" s="151" t="str">
        <f aca="false">IF(ISNUMBER(B182),B182*(1+1/'13_Mapa_Liq'!$B$19-'13_Mapa_Liq'!$B$6),"")</f>
        <v/>
      </c>
      <c r="AF182" s="151" t="n">
        <f aca="false">IF(ISNUMBER(B182),IF(L182&lt;AE182,J182*'13_Mapa_Liq'!$C$19,0),0)</f>
        <v>0</v>
      </c>
      <c r="AG182" s="151"/>
      <c r="AH182" s="151" t="n">
        <f aca="false">IF(ISNUMBER(B182),E182*F182*((K182&lt;=M182)*'13_Mapa_Liq'!$C$15+(K182&lt;=Q182)*'13_Mapa_Liq'!$C$16+(K182&lt;=U182)*'13_Mapa_Liq'!$C$17+(K182&lt;=Y182)*'13_Mapa_Liq'!$C$18+(K182&lt;=AC182)*'13_Mapa_Liq'!$C$19),0)</f>
        <v>0</v>
      </c>
      <c r="AI182" s="151" t="n">
        <f aca="false">IF(ISNUMBER(B182),E182*(1-F182)*((L182&gt;=O182)*'13_Mapa_Liq'!$C$15+(L182&gt;=S182)*'13_Mapa_Liq'!$C$16+(L182&gt;=W182)*'13_Mapa_Liq'!$C$17+(L182&gt;=AA182)*'13_Mapa_Liq'!$C$18+(L182&gt;=AE182)*'13_Mapa_Liq'!$C$19),0)</f>
        <v>0</v>
      </c>
    </row>
    <row r="183" customFormat="false" ht="15" hidden="false" customHeight="false" outlineLevel="0" collapsed="false">
      <c r="A183" s="151" t="str">
        <f aca="false">IF(ISNUMBER('12_Datos_5m'!F183),ROW()-4,"")</f>
        <v/>
      </c>
      <c r="B183" s="151" t="str">
        <f aca="false">IF(ISNUMBER('12_Datos_5m'!F183),'12_Datos_5m'!F183,"")</f>
        <v/>
      </c>
      <c r="C183" s="151" t="str">
        <f aca="false">IF(ISNUMBER('12_Datos_5m'!A183),'12_Datos_5m'!A183,"")</f>
        <v/>
      </c>
      <c r="D183" s="151" t="n">
        <f aca="false">IF(AND(ISNUMBER('12_Datos_5m'!I183),ISNUMBER('12_Datos_5m'!I182)),'12_Datos_5m'!I183-'12_Datos_5m'!I182,0)</f>
        <v>0</v>
      </c>
      <c r="E183" s="151" t="n">
        <f aca="false">MAX(0,D183)</f>
        <v>0</v>
      </c>
      <c r="F183" s="151" t="n">
        <f aca="false">IF(AND(ISNUMBER('12_Datos_5m'!G183),N('12_Datos_5m'!G183)&gt;0),'12_Datos_5m'!H183/'12_Datos_5m'!G183,0.5)</f>
        <v>0.5</v>
      </c>
      <c r="G183" s="151" t="n">
        <f aca="false">IF(ISNUMBER(C183),($C$2-C183)/3600000,0)</f>
        <v>0</v>
      </c>
      <c r="H183" s="151" t="n">
        <f aca="false">EXP(-G183/'13_Mapa_Liq'!$B$7)</f>
        <v>1</v>
      </c>
      <c r="I183" s="151" t="n">
        <f aca="false">E183*F183*H183</f>
        <v>0</v>
      </c>
      <c r="J183" s="151" t="n">
        <f aca="false">E183*(1-F183)*H183</f>
        <v>0</v>
      </c>
      <c r="K183" s="151" t="n">
        <f aca="false">IF(COUNT('12_Datos_5m'!E184:E$504)=0,1000000000000,MIN('12_Datos_5m'!E184:E$504))</f>
        <v>1000000000000</v>
      </c>
      <c r="L183" s="151" t="n">
        <f aca="false">IF(COUNT('12_Datos_5m'!D184:D$504)=0,0,MAX('12_Datos_5m'!D184:D$504))</f>
        <v>0</v>
      </c>
      <c r="M183" s="151" t="str">
        <f aca="false">IF(ISNUMBER(B183),B183*(1-1/'13_Mapa_Liq'!$B$15+'13_Mapa_Liq'!$B$6),"")</f>
        <v/>
      </c>
      <c r="N183" s="151" t="n">
        <f aca="false">IF(ISNUMBER(B183),IF(K183&gt;M183,I183*'13_Mapa_Liq'!$C$15,0),0)</f>
        <v>0</v>
      </c>
      <c r="O183" s="151" t="str">
        <f aca="false">IF(ISNUMBER(B183),B183*(1+1/'13_Mapa_Liq'!$B$15-'13_Mapa_Liq'!$B$6),"")</f>
        <v/>
      </c>
      <c r="P183" s="151" t="n">
        <f aca="false">IF(ISNUMBER(B183),IF(L183&lt;O183,J183*'13_Mapa_Liq'!$C$15,0),0)</f>
        <v>0</v>
      </c>
      <c r="Q183" s="151" t="str">
        <f aca="false">IF(ISNUMBER(B183),B183*(1-1/'13_Mapa_Liq'!$B$16+'13_Mapa_Liq'!$B$6),"")</f>
        <v/>
      </c>
      <c r="R183" s="151" t="n">
        <f aca="false">IF(ISNUMBER(B183),IF(K183&gt;Q183,I183*'13_Mapa_Liq'!$C$16,0),0)</f>
        <v>0</v>
      </c>
      <c r="S183" s="151" t="str">
        <f aca="false">IF(ISNUMBER(B183),B183*(1+1/'13_Mapa_Liq'!$B$16-'13_Mapa_Liq'!$B$6),"")</f>
        <v/>
      </c>
      <c r="T183" s="151" t="n">
        <f aca="false">IF(ISNUMBER(B183),IF(L183&lt;S183,J183*'13_Mapa_Liq'!$C$16,0),0)</f>
        <v>0</v>
      </c>
      <c r="U183" s="151" t="str">
        <f aca="false">IF(ISNUMBER(B183),B183*(1-1/'13_Mapa_Liq'!$B$17+'13_Mapa_Liq'!$B$6),"")</f>
        <v/>
      </c>
      <c r="V183" s="151" t="n">
        <f aca="false">IF(ISNUMBER(B183),IF(K183&gt;U183,I183*'13_Mapa_Liq'!$C$17,0),0)</f>
        <v>0</v>
      </c>
      <c r="W183" s="151" t="str">
        <f aca="false">IF(ISNUMBER(B183),B183*(1+1/'13_Mapa_Liq'!$B$17-'13_Mapa_Liq'!$B$6),"")</f>
        <v/>
      </c>
      <c r="X183" s="151" t="n">
        <f aca="false">IF(ISNUMBER(B183),IF(L183&lt;W183,J183*'13_Mapa_Liq'!$C$17,0),0)</f>
        <v>0</v>
      </c>
      <c r="Y183" s="151" t="str">
        <f aca="false">IF(ISNUMBER(B183),B183*(1-1/'13_Mapa_Liq'!$B$18+'13_Mapa_Liq'!$B$6),"")</f>
        <v/>
      </c>
      <c r="Z183" s="151" t="n">
        <f aca="false">IF(ISNUMBER(B183),IF(K183&gt;Y183,I183*'13_Mapa_Liq'!$C$18,0),0)</f>
        <v>0</v>
      </c>
      <c r="AA183" s="151" t="str">
        <f aca="false">IF(ISNUMBER(B183),B183*(1+1/'13_Mapa_Liq'!$B$18-'13_Mapa_Liq'!$B$6),"")</f>
        <v/>
      </c>
      <c r="AB183" s="151" t="n">
        <f aca="false">IF(ISNUMBER(B183),IF(L183&lt;AA183,J183*'13_Mapa_Liq'!$C$18,0),0)</f>
        <v>0</v>
      </c>
      <c r="AC183" s="151" t="str">
        <f aca="false">IF(ISNUMBER(B183),B183*(1-1/'13_Mapa_Liq'!$B$19+'13_Mapa_Liq'!$B$6),"")</f>
        <v/>
      </c>
      <c r="AD183" s="151" t="n">
        <f aca="false">IF(ISNUMBER(B183),IF(K183&gt;AC183,I183*'13_Mapa_Liq'!$C$19,0),0)</f>
        <v>0</v>
      </c>
      <c r="AE183" s="151" t="str">
        <f aca="false">IF(ISNUMBER(B183),B183*(1+1/'13_Mapa_Liq'!$B$19-'13_Mapa_Liq'!$B$6),"")</f>
        <v/>
      </c>
      <c r="AF183" s="151" t="n">
        <f aca="false">IF(ISNUMBER(B183),IF(L183&lt;AE183,J183*'13_Mapa_Liq'!$C$19,0),0)</f>
        <v>0</v>
      </c>
      <c r="AG183" s="151"/>
      <c r="AH183" s="151" t="n">
        <f aca="false">IF(ISNUMBER(B183),E183*F183*((K183&lt;=M183)*'13_Mapa_Liq'!$C$15+(K183&lt;=Q183)*'13_Mapa_Liq'!$C$16+(K183&lt;=U183)*'13_Mapa_Liq'!$C$17+(K183&lt;=Y183)*'13_Mapa_Liq'!$C$18+(K183&lt;=AC183)*'13_Mapa_Liq'!$C$19),0)</f>
        <v>0</v>
      </c>
      <c r="AI183" s="151" t="n">
        <f aca="false">IF(ISNUMBER(B183),E183*(1-F183)*((L183&gt;=O183)*'13_Mapa_Liq'!$C$15+(L183&gt;=S183)*'13_Mapa_Liq'!$C$16+(L183&gt;=W183)*'13_Mapa_Liq'!$C$17+(L183&gt;=AA183)*'13_Mapa_Liq'!$C$18+(L183&gt;=AE183)*'13_Mapa_Liq'!$C$19),0)</f>
        <v>0</v>
      </c>
    </row>
    <row r="184" customFormat="false" ht="15" hidden="false" customHeight="false" outlineLevel="0" collapsed="false">
      <c r="A184" s="151" t="str">
        <f aca="false">IF(ISNUMBER('12_Datos_5m'!F184),ROW()-4,"")</f>
        <v/>
      </c>
      <c r="B184" s="151" t="str">
        <f aca="false">IF(ISNUMBER('12_Datos_5m'!F184),'12_Datos_5m'!F184,"")</f>
        <v/>
      </c>
      <c r="C184" s="151" t="str">
        <f aca="false">IF(ISNUMBER('12_Datos_5m'!A184),'12_Datos_5m'!A184,"")</f>
        <v/>
      </c>
      <c r="D184" s="151" t="n">
        <f aca="false">IF(AND(ISNUMBER('12_Datos_5m'!I184),ISNUMBER('12_Datos_5m'!I183)),'12_Datos_5m'!I184-'12_Datos_5m'!I183,0)</f>
        <v>0</v>
      </c>
      <c r="E184" s="151" t="n">
        <f aca="false">MAX(0,D184)</f>
        <v>0</v>
      </c>
      <c r="F184" s="151" t="n">
        <f aca="false">IF(AND(ISNUMBER('12_Datos_5m'!G184),N('12_Datos_5m'!G184)&gt;0),'12_Datos_5m'!H184/'12_Datos_5m'!G184,0.5)</f>
        <v>0.5</v>
      </c>
      <c r="G184" s="151" t="n">
        <f aca="false">IF(ISNUMBER(C184),($C$2-C184)/3600000,0)</f>
        <v>0</v>
      </c>
      <c r="H184" s="151" t="n">
        <f aca="false">EXP(-G184/'13_Mapa_Liq'!$B$7)</f>
        <v>1</v>
      </c>
      <c r="I184" s="151" t="n">
        <f aca="false">E184*F184*H184</f>
        <v>0</v>
      </c>
      <c r="J184" s="151" t="n">
        <f aca="false">E184*(1-F184)*H184</f>
        <v>0</v>
      </c>
      <c r="K184" s="151" t="n">
        <f aca="false">IF(COUNT('12_Datos_5m'!E185:E$504)=0,1000000000000,MIN('12_Datos_5m'!E185:E$504))</f>
        <v>1000000000000</v>
      </c>
      <c r="L184" s="151" t="n">
        <f aca="false">IF(COUNT('12_Datos_5m'!D185:D$504)=0,0,MAX('12_Datos_5m'!D185:D$504))</f>
        <v>0</v>
      </c>
      <c r="M184" s="151" t="str">
        <f aca="false">IF(ISNUMBER(B184),B184*(1-1/'13_Mapa_Liq'!$B$15+'13_Mapa_Liq'!$B$6),"")</f>
        <v/>
      </c>
      <c r="N184" s="151" t="n">
        <f aca="false">IF(ISNUMBER(B184),IF(K184&gt;M184,I184*'13_Mapa_Liq'!$C$15,0),0)</f>
        <v>0</v>
      </c>
      <c r="O184" s="151" t="str">
        <f aca="false">IF(ISNUMBER(B184),B184*(1+1/'13_Mapa_Liq'!$B$15-'13_Mapa_Liq'!$B$6),"")</f>
        <v/>
      </c>
      <c r="P184" s="151" t="n">
        <f aca="false">IF(ISNUMBER(B184),IF(L184&lt;O184,J184*'13_Mapa_Liq'!$C$15,0),0)</f>
        <v>0</v>
      </c>
      <c r="Q184" s="151" t="str">
        <f aca="false">IF(ISNUMBER(B184),B184*(1-1/'13_Mapa_Liq'!$B$16+'13_Mapa_Liq'!$B$6),"")</f>
        <v/>
      </c>
      <c r="R184" s="151" t="n">
        <f aca="false">IF(ISNUMBER(B184),IF(K184&gt;Q184,I184*'13_Mapa_Liq'!$C$16,0),0)</f>
        <v>0</v>
      </c>
      <c r="S184" s="151" t="str">
        <f aca="false">IF(ISNUMBER(B184),B184*(1+1/'13_Mapa_Liq'!$B$16-'13_Mapa_Liq'!$B$6),"")</f>
        <v/>
      </c>
      <c r="T184" s="151" t="n">
        <f aca="false">IF(ISNUMBER(B184),IF(L184&lt;S184,J184*'13_Mapa_Liq'!$C$16,0),0)</f>
        <v>0</v>
      </c>
      <c r="U184" s="151" t="str">
        <f aca="false">IF(ISNUMBER(B184),B184*(1-1/'13_Mapa_Liq'!$B$17+'13_Mapa_Liq'!$B$6),"")</f>
        <v/>
      </c>
      <c r="V184" s="151" t="n">
        <f aca="false">IF(ISNUMBER(B184),IF(K184&gt;U184,I184*'13_Mapa_Liq'!$C$17,0),0)</f>
        <v>0</v>
      </c>
      <c r="W184" s="151" t="str">
        <f aca="false">IF(ISNUMBER(B184),B184*(1+1/'13_Mapa_Liq'!$B$17-'13_Mapa_Liq'!$B$6),"")</f>
        <v/>
      </c>
      <c r="X184" s="151" t="n">
        <f aca="false">IF(ISNUMBER(B184),IF(L184&lt;W184,J184*'13_Mapa_Liq'!$C$17,0),0)</f>
        <v>0</v>
      </c>
      <c r="Y184" s="151" t="str">
        <f aca="false">IF(ISNUMBER(B184),B184*(1-1/'13_Mapa_Liq'!$B$18+'13_Mapa_Liq'!$B$6),"")</f>
        <v/>
      </c>
      <c r="Z184" s="151" t="n">
        <f aca="false">IF(ISNUMBER(B184),IF(K184&gt;Y184,I184*'13_Mapa_Liq'!$C$18,0),0)</f>
        <v>0</v>
      </c>
      <c r="AA184" s="151" t="str">
        <f aca="false">IF(ISNUMBER(B184),B184*(1+1/'13_Mapa_Liq'!$B$18-'13_Mapa_Liq'!$B$6),"")</f>
        <v/>
      </c>
      <c r="AB184" s="151" t="n">
        <f aca="false">IF(ISNUMBER(B184),IF(L184&lt;AA184,J184*'13_Mapa_Liq'!$C$18,0),0)</f>
        <v>0</v>
      </c>
      <c r="AC184" s="151" t="str">
        <f aca="false">IF(ISNUMBER(B184),B184*(1-1/'13_Mapa_Liq'!$B$19+'13_Mapa_Liq'!$B$6),"")</f>
        <v/>
      </c>
      <c r="AD184" s="151" t="n">
        <f aca="false">IF(ISNUMBER(B184),IF(K184&gt;AC184,I184*'13_Mapa_Liq'!$C$19,0),0)</f>
        <v>0</v>
      </c>
      <c r="AE184" s="151" t="str">
        <f aca="false">IF(ISNUMBER(B184),B184*(1+1/'13_Mapa_Liq'!$B$19-'13_Mapa_Liq'!$B$6),"")</f>
        <v/>
      </c>
      <c r="AF184" s="151" t="n">
        <f aca="false">IF(ISNUMBER(B184),IF(L184&lt;AE184,J184*'13_Mapa_Liq'!$C$19,0),0)</f>
        <v>0</v>
      </c>
      <c r="AG184" s="151"/>
      <c r="AH184" s="151" t="n">
        <f aca="false">IF(ISNUMBER(B184),E184*F184*((K184&lt;=M184)*'13_Mapa_Liq'!$C$15+(K184&lt;=Q184)*'13_Mapa_Liq'!$C$16+(K184&lt;=U184)*'13_Mapa_Liq'!$C$17+(K184&lt;=Y184)*'13_Mapa_Liq'!$C$18+(K184&lt;=AC184)*'13_Mapa_Liq'!$C$19),0)</f>
        <v>0</v>
      </c>
      <c r="AI184" s="151" t="n">
        <f aca="false">IF(ISNUMBER(B184),E184*(1-F184)*((L184&gt;=O184)*'13_Mapa_Liq'!$C$15+(L184&gt;=S184)*'13_Mapa_Liq'!$C$16+(L184&gt;=W184)*'13_Mapa_Liq'!$C$17+(L184&gt;=AA184)*'13_Mapa_Liq'!$C$18+(L184&gt;=AE184)*'13_Mapa_Liq'!$C$19),0)</f>
        <v>0</v>
      </c>
    </row>
    <row r="185" customFormat="false" ht="15" hidden="false" customHeight="false" outlineLevel="0" collapsed="false">
      <c r="A185" s="151" t="str">
        <f aca="false">IF(ISNUMBER('12_Datos_5m'!F185),ROW()-4,"")</f>
        <v/>
      </c>
      <c r="B185" s="151" t="str">
        <f aca="false">IF(ISNUMBER('12_Datos_5m'!F185),'12_Datos_5m'!F185,"")</f>
        <v/>
      </c>
      <c r="C185" s="151" t="str">
        <f aca="false">IF(ISNUMBER('12_Datos_5m'!A185),'12_Datos_5m'!A185,"")</f>
        <v/>
      </c>
      <c r="D185" s="151" t="n">
        <f aca="false">IF(AND(ISNUMBER('12_Datos_5m'!I185),ISNUMBER('12_Datos_5m'!I184)),'12_Datos_5m'!I185-'12_Datos_5m'!I184,0)</f>
        <v>0</v>
      </c>
      <c r="E185" s="151" t="n">
        <f aca="false">MAX(0,D185)</f>
        <v>0</v>
      </c>
      <c r="F185" s="151" t="n">
        <f aca="false">IF(AND(ISNUMBER('12_Datos_5m'!G185),N('12_Datos_5m'!G185)&gt;0),'12_Datos_5m'!H185/'12_Datos_5m'!G185,0.5)</f>
        <v>0.5</v>
      </c>
      <c r="G185" s="151" t="n">
        <f aca="false">IF(ISNUMBER(C185),($C$2-C185)/3600000,0)</f>
        <v>0</v>
      </c>
      <c r="H185" s="151" t="n">
        <f aca="false">EXP(-G185/'13_Mapa_Liq'!$B$7)</f>
        <v>1</v>
      </c>
      <c r="I185" s="151" t="n">
        <f aca="false">E185*F185*H185</f>
        <v>0</v>
      </c>
      <c r="J185" s="151" t="n">
        <f aca="false">E185*(1-F185)*H185</f>
        <v>0</v>
      </c>
      <c r="K185" s="151" t="n">
        <f aca="false">IF(COUNT('12_Datos_5m'!E186:E$504)=0,1000000000000,MIN('12_Datos_5m'!E186:E$504))</f>
        <v>1000000000000</v>
      </c>
      <c r="L185" s="151" t="n">
        <f aca="false">IF(COUNT('12_Datos_5m'!D186:D$504)=0,0,MAX('12_Datos_5m'!D186:D$504))</f>
        <v>0</v>
      </c>
      <c r="M185" s="151" t="str">
        <f aca="false">IF(ISNUMBER(B185),B185*(1-1/'13_Mapa_Liq'!$B$15+'13_Mapa_Liq'!$B$6),"")</f>
        <v/>
      </c>
      <c r="N185" s="151" t="n">
        <f aca="false">IF(ISNUMBER(B185),IF(K185&gt;M185,I185*'13_Mapa_Liq'!$C$15,0),0)</f>
        <v>0</v>
      </c>
      <c r="O185" s="151" t="str">
        <f aca="false">IF(ISNUMBER(B185),B185*(1+1/'13_Mapa_Liq'!$B$15-'13_Mapa_Liq'!$B$6),"")</f>
        <v/>
      </c>
      <c r="P185" s="151" t="n">
        <f aca="false">IF(ISNUMBER(B185),IF(L185&lt;O185,J185*'13_Mapa_Liq'!$C$15,0),0)</f>
        <v>0</v>
      </c>
      <c r="Q185" s="151" t="str">
        <f aca="false">IF(ISNUMBER(B185),B185*(1-1/'13_Mapa_Liq'!$B$16+'13_Mapa_Liq'!$B$6),"")</f>
        <v/>
      </c>
      <c r="R185" s="151" t="n">
        <f aca="false">IF(ISNUMBER(B185),IF(K185&gt;Q185,I185*'13_Mapa_Liq'!$C$16,0),0)</f>
        <v>0</v>
      </c>
      <c r="S185" s="151" t="str">
        <f aca="false">IF(ISNUMBER(B185),B185*(1+1/'13_Mapa_Liq'!$B$16-'13_Mapa_Liq'!$B$6),"")</f>
        <v/>
      </c>
      <c r="T185" s="151" t="n">
        <f aca="false">IF(ISNUMBER(B185),IF(L185&lt;S185,J185*'13_Mapa_Liq'!$C$16,0),0)</f>
        <v>0</v>
      </c>
      <c r="U185" s="151" t="str">
        <f aca="false">IF(ISNUMBER(B185),B185*(1-1/'13_Mapa_Liq'!$B$17+'13_Mapa_Liq'!$B$6),"")</f>
        <v/>
      </c>
      <c r="V185" s="151" t="n">
        <f aca="false">IF(ISNUMBER(B185),IF(K185&gt;U185,I185*'13_Mapa_Liq'!$C$17,0),0)</f>
        <v>0</v>
      </c>
      <c r="W185" s="151" t="str">
        <f aca="false">IF(ISNUMBER(B185),B185*(1+1/'13_Mapa_Liq'!$B$17-'13_Mapa_Liq'!$B$6),"")</f>
        <v/>
      </c>
      <c r="X185" s="151" t="n">
        <f aca="false">IF(ISNUMBER(B185),IF(L185&lt;W185,J185*'13_Mapa_Liq'!$C$17,0),0)</f>
        <v>0</v>
      </c>
      <c r="Y185" s="151" t="str">
        <f aca="false">IF(ISNUMBER(B185),B185*(1-1/'13_Mapa_Liq'!$B$18+'13_Mapa_Liq'!$B$6),"")</f>
        <v/>
      </c>
      <c r="Z185" s="151" t="n">
        <f aca="false">IF(ISNUMBER(B185),IF(K185&gt;Y185,I185*'13_Mapa_Liq'!$C$18,0),0)</f>
        <v>0</v>
      </c>
      <c r="AA185" s="151" t="str">
        <f aca="false">IF(ISNUMBER(B185),B185*(1+1/'13_Mapa_Liq'!$B$18-'13_Mapa_Liq'!$B$6),"")</f>
        <v/>
      </c>
      <c r="AB185" s="151" t="n">
        <f aca="false">IF(ISNUMBER(B185),IF(L185&lt;AA185,J185*'13_Mapa_Liq'!$C$18,0),0)</f>
        <v>0</v>
      </c>
      <c r="AC185" s="151" t="str">
        <f aca="false">IF(ISNUMBER(B185),B185*(1-1/'13_Mapa_Liq'!$B$19+'13_Mapa_Liq'!$B$6),"")</f>
        <v/>
      </c>
      <c r="AD185" s="151" t="n">
        <f aca="false">IF(ISNUMBER(B185),IF(K185&gt;AC185,I185*'13_Mapa_Liq'!$C$19,0),0)</f>
        <v>0</v>
      </c>
      <c r="AE185" s="151" t="str">
        <f aca="false">IF(ISNUMBER(B185),B185*(1+1/'13_Mapa_Liq'!$B$19-'13_Mapa_Liq'!$B$6),"")</f>
        <v/>
      </c>
      <c r="AF185" s="151" t="n">
        <f aca="false">IF(ISNUMBER(B185),IF(L185&lt;AE185,J185*'13_Mapa_Liq'!$C$19,0),0)</f>
        <v>0</v>
      </c>
      <c r="AG185" s="151"/>
      <c r="AH185" s="151" t="n">
        <f aca="false">IF(ISNUMBER(B185),E185*F185*((K185&lt;=M185)*'13_Mapa_Liq'!$C$15+(K185&lt;=Q185)*'13_Mapa_Liq'!$C$16+(K185&lt;=U185)*'13_Mapa_Liq'!$C$17+(K185&lt;=Y185)*'13_Mapa_Liq'!$C$18+(K185&lt;=AC185)*'13_Mapa_Liq'!$C$19),0)</f>
        <v>0</v>
      </c>
      <c r="AI185" s="151" t="n">
        <f aca="false">IF(ISNUMBER(B185),E185*(1-F185)*((L185&gt;=O185)*'13_Mapa_Liq'!$C$15+(L185&gt;=S185)*'13_Mapa_Liq'!$C$16+(L185&gt;=W185)*'13_Mapa_Liq'!$C$17+(L185&gt;=AA185)*'13_Mapa_Liq'!$C$18+(L185&gt;=AE185)*'13_Mapa_Liq'!$C$19),0)</f>
        <v>0</v>
      </c>
    </row>
    <row r="186" customFormat="false" ht="15" hidden="false" customHeight="false" outlineLevel="0" collapsed="false">
      <c r="A186" s="151" t="str">
        <f aca="false">IF(ISNUMBER('12_Datos_5m'!F186),ROW()-4,"")</f>
        <v/>
      </c>
      <c r="B186" s="151" t="str">
        <f aca="false">IF(ISNUMBER('12_Datos_5m'!F186),'12_Datos_5m'!F186,"")</f>
        <v/>
      </c>
      <c r="C186" s="151" t="str">
        <f aca="false">IF(ISNUMBER('12_Datos_5m'!A186),'12_Datos_5m'!A186,"")</f>
        <v/>
      </c>
      <c r="D186" s="151" t="n">
        <f aca="false">IF(AND(ISNUMBER('12_Datos_5m'!I186),ISNUMBER('12_Datos_5m'!I185)),'12_Datos_5m'!I186-'12_Datos_5m'!I185,0)</f>
        <v>0</v>
      </c>
      <c r="E186" s="151" t="n">
        <f aca="false">MAX(0,D186)</f>
        <v>0</v>
      </c>
      <c r="F186" s="151" t="n">
        <f aca="false">IF(AND(ISNUMBER('12_Datos_5m'!G186),N('12_Datos_5m'!G186)&gt;0),'12_Datos_5m'!H186/'12_Datos_5m'!G186,0.5)</f>
        <v>0.5</v>
      </c>
      <c r="G186" s="151" t="n">
        <f aca="false">IF(ISNUMBER(C186),($C$2-C186)/3600000,0)</f>
        <v>0</v>
      </c>
      <c r="H186" s="151" t="n">
        <f aca="false">EXP(-G186/'13_Mapa_Liq'!$B$7)</f>
        <v>1</v>
      </c>
      <c r="I186" s="151" t="n">
        <f aca="false">E186*F186*H186</f>
        <v>0</v>
      </c>
      <c r="J186" s="151" t="n">
        <f aca="false">E186*(1-F186)*H186</f>
        <v>0</v>
      </c>
      <c r="K186" s="151" t="n">
        <f aca="false">IF(COUNT('12_Datos_5m'!E187:E$504)=0,1000000000000,MIN('12_Datos_5m'!E187:E$504))</f>
        <v>1000000000000</v>
      </c>
      <c r="L186" s="151" t="n">
        <f aca="false">IF(COUNT('12_Datos_5m'!D187:D$504)=0,0,MAX('12_Datos_5m'!D187:D$504))</f>
        <v>0</v>
      </c>
      <c r="M186" s="151" t="str">
        <f aca="false">IF(ISNUMBER(B186),B186*(1-1/'13_Mapa_Liq'!$B$15+'13_Mapa_Liq'!$B$6),"")</f>
        <v/>
      </c>
      <c r="N186" s="151" t="n">
        <f aca="false">IF(ISNUMBER(B186),IF(K186&gt;M186,I186*'13_Mapa_Liq'!$C$15,0),0)</f>
        <v>0</v>
      </c>
      <c r="O186" s="151" t="str">
        <f aca="false">IF(ISNUMBER(B186),B186*(1+1/'13_Mapa_Liq'!$B$15-'13_Mapa_Liq'!$B$6),"")</f>
        <v/>
      </c>
      <c r="P186" s="151" t="n">
        <f aca="false">IF(ISNUMBER(B186),IF(L186&lt;O186,J186*'13_Mapa_Liq'!$C$15,0),0)</f>
        <v>0</v>
      </c>
      <c r="Q186" s="151" t="str">
        <f aca="false">IF(ISNUMBER(B186),B186*(1-1/'13_Mapa_Liq'!$B$16+'13_Mapa_Liq'!$B$6),"")</f>
        <v/>
      </c>
      <c r="R186" s="151" t="n">
        <f aca="false">IF(ISNUMBER(B186),IF(K186&gt;Q186,I186*'13_Mapa_Liq'!$C$16,0),0)</f>
        <v>0</v>
      </c>
      <c r="S186" s="151" t="str">
        <f aca="false">IF(ISNUMBER(B186),B186*(1+1/'13_Mapa_Liq'!$B$16-'13_Mapa_Liq'!$B$6),"")</f>
        <v/>
      </c>
      <c r="T186" s="151" t="n">
        <f aca="false">IF(ISNUMBER(B186),IF(L186&lt;S186,J186*'13_Mapa_Liq'!$C$16,0),0)</f>
        <v>0</v>
      </c>
      <c r="U186" s="151" t="str">
        <f aca="false">IF(ISNUMBER(B186),B186*(1-1/'13_Mapa_Liq'!$B$17+'13_Mapa_Liq'!$B$6),"")</f>
        <v/>
      </c>
      <c r="V186" s="151" t="n">
        <f aca="false">IF(ISNUMBER(B186),IF(K186&gt;U186,I186*'13_Mapa_Liq'!$C$17,0),0)</f>
        <v>0</v>
      </c>
      <c r="W186" s="151" t="str">
        <f aca="false">IF(ISNUMBER(B186),B186*(1+1/'13_Mapa_Liq'!$B$17-'13_Mapa_Liq'!$B$6),"")</f>
        <v/>
      </c>
      <c r="X186" s="151" t="n">
        <f aca="false">IF(ISNUMBER(B186),IF(L186&lt;W186,J186*'13_Mapa_Liq'!$C$17,0),0)</f>
        <v>0</v>
      </c>
      <c r="Y186" s="151" t="str">
        <f aca="false">IF(ISNUMBER(B186),B186*(1-1/'13_Mapa_Liq'!$B$18+'13_Mapa_Liq'!$B$6),"")</f>
        <v/>
      </c>
      <c r="Z186" s="151" t="n">
        <f aca="false">IF(ISNUMBER(B186),IF(K186&gt;Y186,I186*'13_Mapa_Liq'!$C$18,0),0)</f>
        <v>0</v>
      </c>
      <c r="AA186" s="151" t="str">
        <f aca="false">IF(ISNUMBER(B186),B186*(1+1/'13_Mapa_Liq'!$B$18-'13_Mapa_Liq'!$B$6),"")</f>
        <v/>
      </c>
      <c r="AB186" s="151" t="n">
        <f aca="false">IF(ISNUMBER(B186),IF(L186&lt;AA186,J186*'13_Mapa_Liq'!$C$18,0),0)</f>
        <v>0</v>
      </c>
      <c r="AC186" s="151" t="str">
        <f aca="false">IF(ISNUMBER(B186),B186*(1-1/'13_Mapa_Liq'!$B$19+'13_Mapa_Liq'!$B$6),"")</f>
        <v/>
      </c>
      <c r="AD186" s="151" t="n">
        <f aca="false">IF(ISNUMBER(B186),IF(K186&gt;AC186,I186*'13_Mapa_Liq'!$C$19,0),0)</f>
        <v>0</v>
      </c>
      <c r="AE186" s="151" t="str">
        <f aca="false">IF(ISNUMBER(B186),B186*(1+1/'13_Mapa_Liq'!$B$19-'13_Mapa_Liq'!$B$6),"")</f>
        <v/>
      </c>
      <c r="AF186" s="151" t="n">
        <f aca="false">IF(ISNUMBER(B186),IF(L186&lt;AE186,J186*'13_Mapa_Liq'!$C$19,0),0)</f>
        <v>0</v>
      </c>
      <c r="AG186" s="151"/>
      <c r="AH186" s="151" t="n">
        <f aca="false">IF(ISNUMBER(B186),E186*F186*((K186&lt;=M186)*'13_Mapa_Liq'!$C$15+(K186&lt;=Q186)*'13_Mapa_Liq'!$C$16+(K186&lt;=U186)*'13_Mapa_Liq'!$C$17+(K186&lt;=Y186)*'13_Mapa_Liq'!$C$18+(K186&lt;=AC186)*'13_Mapa_Liq'!$C$19),0)</f>
        <v>0</v>
      </c>
      <c r="AI186" s="151" t="n">
        <f aca="false">IF(ISNUMBER(B186),E186*(1-F186)*((L186&gt;=O186)*'13_Mapa_Liq'!$C$15+(L186&gt;=S186)*'13_Mapa_Liq'!$C$16+(L186&gt;=W186)*'13_Mapa_Liq'!$C$17+(L186&gt;=AA186)*'13_Mapa_Liq'!$C$18+(L186&gt;=AE186)*'13_Mapa_Liq'!$C$19),0)</f>
        <v>0</v>
      </c>
    </row>
    <row r="187" customFormat="false" ht="15" hidden="false" customHeight="false" outlineLevel="0" collapsed="false">
      <c r="A187" s="151" t="str">
        <f aca="false">IF(ISNUMBER('12_Datos_5m'!F187),ROW()-4,"")</f>
        <v/>
      </c>
      <c r="B187" s="151" t="str">
        <f aca="false">IF(ISNUMBER('12_Datos_5m'!F187),'12_Datos_5m'!F187,"")</f>
        <v/>
      </c>
      <c r="C187" s="151" t="str">
        <f aca="false">IF(ISNUMBER('12_Datos_5m'!A187),'12_Datos_5m'!A187,"")</f>
        <v/>
      </c>
      <c r="D187" s="151" t="n">
        <f aca="false">IF(AND(ISNUMBER('12_Datos_5m'!I187),ISNUMBER('12_Datos_5m'!I186)),'12_Datos_5m'!I187-'12_Datos_5m'!I186,0)</f>
        <v>0</v>
      </c>
      <c r="E187" s="151" t="n">
        <f aca="false">MAX(0,D187)</f>
        <v>0</v>
      </c>
      <c r="F187" s="151" t="n">
        <f aca="false">IF(AND(ISNUMBER('12_Datos_5m'!G187),N('12_Datos_5m'!G187)&gt;0),'12_Datos_5m'!H187/'12_Datos_5m'!G187,0.5)</f>
        <v>0.5</v>
      </c>
      <c r="G187" s="151" t="n">
        <f aca="false">IF(ISNUMBER(C187),($C$2-C187)/3600000,0)</f>
        <v>0</v>
      </c>
      <c r="H187" s="151" t="n">
        <f aca="false">EXP(-G187/'13_Mapa_Liq'!$B$7)</f>
        <v>1</v>
      </c>
      <c r="I187" s="151" t="n">
        <f aca="false">E187*F187*H187</f>
        <v>0</v>
      </c>
      <c r="J187" s="151" t="n">
        <f aca="false">E187*(1-F187)*H187</f>
        <v>0</v>
      </c>
      <c r="K187" s="151" t="n">
        <f aca="false">IF(COUNT('12_Datos_5m'!E188:E$504)=0,1000000000000,MIN('12_Datos_5m'!E188:E$504))</f>
        <v>1000000000000</v>
      </c>
      <c r="L187" s="151" t="n">
        <f aca="false">IF(COUNT('12_Datos_5m'!D188:D$504)=0,0,MAX('12_Datos_5m'!D188:D$504))</f>
        <v>0</v>
      </c>
      <c r="M187" s="151" t="str">
        <f aca="false">IF(ISNUMBER(B187),B187*(1-1/'13_Mapa_Liq'!$B$15+'13_Mapa_Liq'!$B$6),"")</f>
        <v/>
      </c>
      <c r="N187" s="151" t="n">
        <f aca="false">IF(ISNUMBER(B187),IF(K187&gt;M187,I187*'13_Mapa_Liq'!$C$15,0),0)</f>
        <v>0</v>
      </c>
      <c r="O187" s="151" t="str">
        <f aca="false">IF(ISNUMBER(B187),B187*(1+1/'13_Mapa_Liq'!$B$15-'13_Mapa_Liq'!$B$6),"")</f>
        <v/>
      </c>
      <c r="P187" s="151" t="n">
        <f aca="false">IF(ISNUMBER(B187),IF(L187&lt;O187,J187*'13_Mapa_Liq'!$C$15,0),0)</f>
        <v>0</v>
      </c>
      <c r="Q187" s="151" t="str">
        <f aca="false">IF(ISNUMBER(B187),B187*(1-1/'13_Mapa_Liq'!$B$16+'13_Mapa_Liq'!$B$6),"")</f>
        <v/>
      </c>
      <c r="R187" s="151" t="n">
        <f aca="false">IF(ISNUMBER(B187),IF(K187&gt;Q187,I187*'13_Mapa_Liq'!$C$16,0),0)</f>
        <v>0</v>
      </c>
      <c r="S187" s="151" t="str">
        <f aca="false">IF(ISNUMBER(B187),B187*(1+1/'13_Mapa_Liq'!$B$16-'13_Mapa_Liq'!$B$6),"")</f>
        <v/>
      </c>
      <c r="T187" s="151" t="n">
        <f aca="false">IF(ISNUMBER(B187),IF(L187&lt;S187,J187*'13_Mapa_Liq'!$C$16,0),0)</f>
        <v>0</v>
      </c>
      <c r="U187" s="151" t="str">
        <f aca="false">IF(ISNUMBER(B187),B187*(1-1/'13_Mapa_Liq'!$B$17+'13_Mapa_Liq'!$B$6),"")</f>
        <v/>
      </c>
      <c r="V187" s="151" t="n">
        <f aca="false">IF(ISNUMBER(B187),IF(K187&gt;U187,I187*'13_Mapa_Liq'!$C$17,0),0)</f>
        <v>0</v>
      </c>
      <c r="W187" s="151" t="str">
        <f aca="false">IF(ISNUMBER(B187),B187*(1+1/'13_Mapa_Liq'!$B$17-'13_Mapa_Liq'!$B$6),"")</f>
        <v/>
      </c>
      <c r="X187" s="151" t="n">
        <f aca="false">IF(ISNUMBER(B187),IF(L187&lt;W187,J187*'13_Mapa_Liq'!$C$17,0),0)</f>
        <v>0</v>
      </c>
      <c r="Y187" s="151" t="str">
        <f aca="false">IF(ISNUMBER(B187),B187*(1-1/'13_Mapa_Liq'!$B$18+'13_Mapa_Liq'!$B$6),"")</f>
        <v/>
      </c>
      <c r="Z187" s="151" t="n">
        <f aca="false">IF(ISNUMBER(B187),IF(K187&gt;Y187,I187*'13_Mapa_Liq'!$C$18,0),0)</f>
        <v>0</v>
      </c>
      <c r="AA187" s="151" t="str">
        <f aca="false">IF(ISNUMBER(B187),B187*(1+1/'13_Mapa_Liq'!$B$18-'13_Mapa_Liq'!$B$6),"")</f>
        <v/>
      </c>
      <c r="AB187" s="151" t="n">
        <f aca="false">IF(ISNUMBER(B187),IF(L187&lt;AA187,J187*'13_Mapa_Liq'!$C$18,0),0)</f>
        <v>0</v>
      </c>
      <c r="AC187" s="151" t="str">
        <f aca="false">IF(ISNUMBER(B187),B187*(1-1/'13_Mapa_Liq'!$B$19+'13_Mapa_Liq'!$B$6),"")</f>
        <v/>
      </c>
      <c r="AD187" s="151" t="n">
        <f aca="false">IF(ISNUMBER(B187),IF(K187&gt;AC187,I187*'13_Mapa_Liq'!$C$19,0),0)</f>
        <v>0</v>
      </c>
      <c r="AE187" s="151" t="str">
        <f aca="false">IF(ISNUMBER(B187),B187*(1+1/'13_Mapa_Liq'!$B$19-'13_Mapa_Liq'!$B$6),"")</f>
        <v/>
      </c>
      <c r="AF187" s="151" t="n">
        <f aca="false">IF(ISNUMBER(B187),IF(L187&lt;AE187,J187*'13_Mapa_Liq'!$C$19,0),0)</f>
        <v>0</v>
      </c>
      <c r="AG187" s="151"/>
      <c r="AH187" s="151" t="n">
        <f aca="false">IF(ISNUMBER(B187),E187*F187*((K187&lt;=M187)*'13_Mapa_Liq'!$C$15+(K187&lt;=Q187)*'13_Mapa_Liq'!$C$16+(K187&lt;=U187)*'13_Mapa_Liq'!$C$17+(K187&lt;=Y187)*'13_Mapa_Liq'!$C$18+(K187&lt;=AC187)*'13_Mapa_Liq'!$C$19),0)</f>
        <v>0</v>
      </c>
      <c r="AI187" s="151" t="n">
        <f aca="false">IF(ISNUMBER(B187),E187*(1-F187)*((L187&gt;=O187)*'13_Mapa_Liq'!$C$15+(L187&gt;=S187)*'13_Mapa_Liq'!$C$16+(L187&gt;=W187)*'13_Mapa_Liq'!$C$17+(L187&gt;=AA187)*'13_Mapa_Liq'!$C$18+(L187&gt;=AE187)*'13_Mapa_Liq'!$C$19),0)</f>
        <v>0</v>
      </c>
    </row>
    <row r="188" customFormat="false" ht="15" hidden="false" customHeight="false" outlineLevel="0" collapsed="false">
      <c r="A188" s="151" t="str">
        <f aca="false">IF(ISNUMBER('12_Datos_5m'!F188),ROW()-4,"")</f>
        <v/>
      </c>
      <c r="B188" s="151" t="str">
        <f aca="false">IF(ISNUMBER('12_Datos_5m'!F188),'12_Datos_5m'!F188,"")</f>
        <v/>
      </c>
      <c r="C188" s="151" t="str">
        <f aca="false">IF(ISNUMBER('12_Datos_5m'!A188),'12_Datos_5m'!A188,"")</f>
        <v/>
      </c>
      <c r="D188" s="151" t="n">
        <f aca="false">IF(AND(ISNUMBER('12_Datos_5m'!I188),ISNUMBER('12_Datos_5m'!I187)),'12_Datos_5m'!I188-'12_Datos_5m'!I187,0)</f>
        <v>0</v>
      </c>
      <c r="E188" s="151" t="n">
        <f aca="false">MAX(0,D188)</f>
        <v>0</v>
      </c>
      <c r="F188" s="151" t="n">
        <f aca="false">IF(AND(ISNUMBER('12_Datos_5m'!G188),N('12_Datos_5m'!G188)&gt;0),'12_Datos_5m'!H188/'12_Datos_5m'!G188,0.5)</f>
        <v>0.5</v>
      </c>
      <c r="G188" s="151" t="n">
        <f aca="false">IF(ISNUMBER(C188),($C$2-C188)/3600000,0)</f>
        <v>0</v>
      </c>
      <c r="H188" s="151" t="n">
        <f aca="false">EXP(-G188/'13_Mapa_Liq'!$B$7)</f>
        <v>1</v>
      </c>
      <c r="I188" s="151" t="n">
        <f aca="false">E188*F188*H188</f>
        <v>0</v>
      </c>
      <c r="J188" s="151" t="n">
        <f aca="false">E188*(1-F188)*H188</f>
        <v>0</v>
      </c>
      <c r="K188" s="151" t="n">
        <f aca="false">IF(COUNT('12_Datos_5m'!E189:E$504)=0,1000000000000,MIN('12_Datos_5m'!E189:E$504))</f>
        <v>1000000000000</v>
      </c>
      <c r="L188" s="151" t="n">
        <f aca="false">IF(COUNT('12_Datos_5m'!D189:D$504)=0,0,MAX('12_Datos_5m'!D189:D$504))</f>
        <v>0</v>
      </c>
      <c r="M188" s="151" t="str">
        <f aca="false">IF(ISNUMBER(B188),B188*(1-1/'13_Mapa_Liq'!$B$15+'13_Mapa_Liq'!$B$6),"")</f>
        <v/>
      </c>
      <c r="N188" s="151" t="n">
        <f aca="false">IF(ISNUMBER(B188),IF(K188&gt;M188,I188*'13_Mapa_Liq'!$C$15,0),0)</f>
        <v>0</v>
      </c>
      <c r="O188" s="151" t="str">
        <f aca="false">IF(ISNUMBER(B188),B188*(1+1/'13_Mapa_Liq'!$B$15-'13_Mapa_Liq'!$B$6),"")</f>
        <v/>
      </c>
      <c r="P188" s="151" t="n">
        <f aca="false">IF(ISNUMBER(B188),IF(L188&lt;O188,J188*'13_Mapa_Liq'!$C$15,0),0)</f>
        <v>0</v>
      </c>
      <c r="Q188" s="151" t="str">
        <f aca="false">IF(ISNUMBER(B188),B188*(1-1/'13_Mapa_Liq'!$B$16+'13_Mapa_Liq'!$B$6),"")</f>
        <v/>
      </c>
      <c r="R188" s="151" t="n">
        <f aca="false">IF(ISNUMBER(B188),IF(K188&gt;Q188,I188*'13_Mapa_Liq'!$C$16,0),0)</f>
        <v>0</v>
      </c>
      <c r="S188" s="151" t="str">
        <f aca="false">IF(ISNUMBER(B188),B188*(1+1/'13_Mapa_Liq'!$B$16-'13_Mapa_Liq'!$B$6),"")</f>
        <v/>
      </c>
      <c r="T188" s="151" t="n">
        <f aca="false">IF(ISNUMBER(B188),IF(L188&lt;S188,J188*'13_Mapa_Liq'!$C$16,0),0)</f>
        <v>0</v>
      </c>
      <c r="U188" s="151" t="str">
        <f aca="false">IF(ISNUMBER(B188),B188*(1-1/'13_Mapa_Liq'!$B$17+'13_Mapa_Liq'!$B$6),"")</f>
        <v/>
      </c>
      <c r="V188" s="151" t="n">
        <f aca="false">IF(ISNUMBER(B188),IF(K188&gt;U188,I188*'13_Mapa_Liq'!$C$17,0),0)</f>
        <v>0</v>
      </c>
      <c r="W188" s="151" t="str">
        <f aca="false">IF(ISNUMBER(B188),B188*(1+1/'13_Mapa_Liq'!$B$17-'13_Mapa_Liq'!$B$6),"")</f>
        <v/>
      </c>
      <c r="X188" s="151" t="n">
        <f aca="false">IF(ISNUMBER(B188),IF(L188&lt;W188,J188*'13_Mapa_Liq'!$C$17,0),0)</f>
        <v>0</v>
      </c>
      <c r="Y188" s="151" t="str">
        <f aca="false">IF(ISNUMBER(B188),B188*(1-1/'13_Mapa_Liq'!$B$18+'13_Mapa_Liq'!$B$6),"")</f>
        <v/>
      </c>
      <c r="Z188" s="151" t="n">
        <f aca="false">IF(ISNUMBER(B188),IF(K188&gt;Y188,I188*'13_Mapa_Liq'!$C$18,0),0)</f>
        <v>0</v>
      </c>
      <c r="AA188" s="151" t="str">
        <f aca="false">IF(ISNUMBER(B188),B188*(1+1/'13_Mapa_Liq'!$B$18-'13_Mapa_Liq'!$B$6),"")</f>
        <v/>
      </c>
      <c r="AB188" s="151" t="n">
        <f aca="false">IF(ISNUMBER(B188),IF(L188&lt;AA188,J188*'13_Mapa_Liq'!$C$18,0),0)</f>
        <v>0</v>
      </c>
      <c r="AC188" s="151" t="str">
        <f aca="false">IF(ISNUMBER(B188),B188*(1-1/'13_Mapa_Liq'!$B$19+'13_Mapa_Liq'!$B$6),"")</f>
        <v/>
      </c>
      <c r="AD188" s="151" t="n">
        <f aca="false">IF(ISNUMBER(B188),IF(K188&gt;AC188,I188*'13_Mapa_Liq'!$C$19,0),0)</f>
        <v>0</v>
      </c>
      <c r="AE188" s="151" t="str">
        <f aca="false">IF(ISNUMBER(B188),B188*(1+1/'13_Mapa_Liq'!$B$19-'13_Mapa_Liq'!$B$6),"")</f>
        <v/>
      </c>
      <c r="AF188" s="151" t="n">
        <f aca="false">IF(ISNUMBER(B188),IF(L188&lt;AE188,J188*'13_Mapa_Liq'!$C$19,0),0)</f>
        <v>0</v>
      </c>
      <c r="AG188" s="151"/>
      <c r="AH188" s="151" t="n">
        <f aca="false">IF(ISNUMBER(B188),E188*F188*((K188&lt;=M188)*'13_Mapa_Liq'!$C$15+(K188&lt;=Q188)*'13_Mapa_Liq'!$C$16+(K188&lt;=U188)*'13_Mapa_Liq'!$C$17+(K188&lt;=Y188)*'13_Mapa_Liq'!$C$18+(K188&lt;=AC188)*'13_Mapa_Liq'!$C$19),0)</f>
        <v>0</v>
      </c>
      <c r="AI188" s="151" t="n">
        <f aca="false">IF(ISNUMBER(B188),E188*(1-F188)*((L188&gt;=O188)*'13_Mapa_Liq'!$C$15+(L188&gt;=S188)*'13_Mapa_Liq'!$C$16+(L188&gt;=W188)*'13_Mapa_Liq'!$C$17+(L188&gt;=AA188)*'13_Mapa_Liq'!$C$18+(L188&gt;=AE188)*'13_Mapa_Liq'!$C$19),0)</f>
        <v>0</v>
      </c>
    </row>
    <row r="189" customFormat="false" ht="15" hidden="false" customHeight="false" outlineLevel="0" collapsed="false">
      <c r="A189" s="151" t="str">
        <f aca="false">IF(ISNUMBER('12_Datos_5m'!F189),ROW()-4,"")</f>
        <v/>
      </c>
      <c r="B189" s="151" t="str">
        <f aca="false">IF(ISNUMBER('12_Datos_5m'!F189),'12_Datos_5m'!F189,"")</f>
        <v/>
      </c>
      <c r="C189" s="151" t="str">
        <f aca="false">IF(ISNUMBER('12_Datos_5m'!A189),'12_Datos_5m'!A189,"")</f>
        <v/>
      </c>
      <c r="D189" s="151" t="n">
        <f aca="false">IF(AND(ISNUMBER('12_Datos_5m'!I189),ISNUMBER('12_Datos_5m'!I188)),'12_Datos_5m'!I189-'12_Datos_5m'!I188,0)</f>
        <v>0</v>
      </c>
      <c r="E189" s="151" t="n">
        <f aca="false">MAX(0,D189)</f>
        <v>0</v>
      </c>
      <c r="F189" s="151" t="n">
        <f aca="false">IF(AND(ISNUMBER('12_Datos_5m'!G189),N('12_Datos_5m'!G189)&gt;0),'12_Datos_5m'!H189/'12_Datos_5m'!G189,0.5)</f>
        <v>0.5</v>
      </c>
      <c r="G189" s="151" t="n">
        <f aca="false">IF(ISNUMBER(C189),($C$2-C189)/3600000,0)</f>
        <v>0</v>
      </c>
      <c r="H189" s="151" t="n">
        <f aca="false">EXP(-G189/'13_Mapa_Liq'!$B$7)</f>
        <v>1</v>
      </c>
      <c r="I189" s="151" t="n">
        <f aca="false">E189*F189*H189</f>
        <v>0</v>
      </c>
      <c r="J189" s="151" t="n">
        <f aca="false">E189*(1-F189)*H189</f>
        <v>0</v>
      </c>
      <c r="K189" s="151" t="n">
        <f aca="false">IF(COUNT('12_Datos_5m'!E190:E$504)=0,1000000000000,MIN('12_Datos_5m'!E190:E$504))</f>
        <v>1000000000000</v>
      </c>
      <c r="L189" s="151" t="n">
        <f aca="false">IF(COUNT('12_Datos_5m'!D190:D$504)=0,0,MAX('12_Datos_5m'!D190:D$504))</f>
        <v>0</v>
      </c>
      <c r="M189" s="151" t="str">
        <f aca="false">IF(ISNUMBER(B189),B189*(1-1/'13_Mapa_Liq'!$B$15+'13_Mapa_Liq'!$B$6),"")</f>
        <v/>
      </c>
      <c r="N189" s="151" t="n">
        <f aca="false">IF(ISNUMBER(B189),IF(K189&gt;M189,I189*'13_Mapa_Liq'!$C$15,0),0)</f>
        <v>0</v>
      </c>
      <c r="O189" s="151" t="str">
        <f aca="false">IF(ISNUMBER(B189),B189*(1+1/'13_Mapa_Liq'!$B$15-'13_Mapa_Liq'!$B$6),"")</f>
        <v/>
      </c>
      <c r="P189" s="151" t="n">
        <f aca="false">IF(ISNUMBER(B189),IF(L189&lt;O189,J189*'13_Mapa_Liq'!$C$15,0),0)</f>
        <v>0</v>
      </c>
      <c r="Q189" s="151" t="str">
        <f aca="false">IF(ISNUMBER(B189),B189*(1-1/'13_Mapa_Liq'!$B$16+'13_Mapa_Liq'!$B$6),"")</f>
        <v/>
      </c>
      <c r="R189" s="151" t="n">
        <f aca="false">IF(ISNUMBER(B189),IF(K189&gt;Q189,I189*'13_Mapa_Liq'!$C$16,0),0)</f>
        <v>0</v>
      </c>
      <c r="S189" s="151" t="str">
        <f aca="false">IF(ISNUMBER(B189),B189*(1+1/'13_Mapa_Liq'!$B$16-'13_Mapa_Liq'!$B$6),"")</f>
        <v/>
      </c>
      <c r="T189" s="151" t="n">
        <f aca="false">IF(ISNUMBER(B189),IF(L189&lt;S189,J189*'13_Mapa_Liq'!$C$16,0),0)</f>
        <v>0</v>
      </c>
      <c r="U189" s="151" t="str">
        <f aca="false">IF(ISNUMBER(B189),B189*(1-1/'13_Mapa_Liq'!$B$17+'13_Mapa_Liq'!$B$6),"")</f>
        <v/>
      </c>
      <c r="V189" s="151" t="n">
        <f aca="false">IF(ISNUMBER(B189),IF(K189&gt;U189,I189*'13_Mapa_Liq'!$C$17,0),0)</f>
        <v>0</v>
      </c>
      <c r="W189" s="151" t="str">
        <f aca="false">IF(ISNUMBER(B189),B189*(1+1/'13_Mapa_Liq'!$B$17-'13_Mapa_Liq'!$B$6),"")</f>
        <v/>
      </c>
      <c r="X189" s="151" t="n">
        <f aca="false">IF(ISNUMBER(B189),IF(L189&lt;W189,J189*'13_Mapa_Liq'!$C$17,0),0)</f>
        <v>0</v>
      </c>
      <c r="Y189" s="151" t="str">
        <f aca="false">IF(ISNUMBER(B189),B189*(1-1/'13_Mapa_Liq'!$B$18+'13_Mapa_Liq'!$B$6),"")</f>
        <v/>
      </c>
      <c r="Z189" s="151" t="n">
        <f aca="false">IF(ISNUMBER(B189),IF(K189&gt;Y189,I189*'13_Mapa_Liq'!$C$18,0),0)</f>
        <v>0</v>
      </c>
      <c r="AA189" s="151" t="str">
        <f aca="false">IF(ISNUMBER(B189),B189*(1+1/'13_Mapa_Liq'!$B$18-'13_Mapa_Liq'!$B$6),"")</f>
        <v/>
      </c>
      <c r="AB189" s="151" t="n">
        <f aca="false">IF(ISNUMBER(B189),IF(L189&lt;AA189,J189*'13_Mapa_Liq'!$C$18,0),0)</f>
        <v>0</v>
      </c>
      <c r="AC189" s="151" t="str">
        <f aca="false">IF(ISNUMBER(B189),B189*(1-1/'13_Mapa_Liq'!$B$19+'13_Mapa_Liq'!$B$6),"")</f>
        <v/>
      </c>
      <c r="AD189" s="151" t="n">
        <f aca="false">IF(ISNUMBER(B189),IF(K189&gt;AC189,I189*'13_Mapa_Liq'!$C$19,0),0)</f>
        <v>0</v>
      </c>
      <c r="AE189" s="151" t="str">
        <f aca="false">IF(ISNUMBER(B189),B189*(1+1/'13_Mapa_Liq'!$B$19-'13_Mapa_Liq'!$B$6),"")</f>
        <v/>
      </c>
      <c r="AF189" s="151" t="n">
        <f aca="false">IF(ISNUMBER(B189),IF(L189&lt;AE189,J189*'13_Mapa_Liq'!$C$19,0),0)</f>
        <v>0</v>
      </c>
      <c r="AG189" s="151"/>
      <c r="AH189" s="151" t="n">
        <f aca="false">IF(ISNUMBER(B189),E189*F189*((K189&lt;=M189)*'13_Mapa_Liq'!$C$15+(K189&lt;=Q189)*'13_Mapa_Liq'!$C$16+(K189&lt;=U189)*'13_Mapa_Liq'!$C$17+(K189&lt;=Y189)*'13_Mapa_Liq'!$C$18+(K189&lt;=AC189)*'13_Mapa_Liq'!$C$19),0)</f>
        <v>0</v>
      </c>
      <c r="AI189" s="151" t="n">
        <f aca="false">IF(ISNUMBER(B189),E189*(1-F189)*((L189&gt;=O189)*'13_Mapa_Liq'!$C$15+(L189&gt;=S189)*'13_Mapa_Liq'!$C$16+(L189&gt;=W189)*'13_Mapa_Liq'!$C$17+(L189&gt;=AA189)*'13_Mapa_Liq'!$C$18+(L189&gt;=AE189)*'13_Mapa_Liq'!$C$19),0)</f>
        <v>0</v>
      </c>
    </row>
    <row r="190" customFormat="false" ht="15" hidden="false" customHeight="false" outlineLevel="0" collapsed="false">
      <c r="A190" s="151" t="str">
        <f aca="false">IF(ISNUMBER('12_Datos_5m'!F190),ROW()-4,"")</f>
        <v/>
      </c>
      <c r="B190" s="151" t="str">
        <f aca="false">IF(ISNUMBER('12_Datos_5m'!F190),'12_Datos_5m'!F190,"")</f>
        <v/>
      </c>
      <c r="C190" s="151" t="str">
        <f aca="false">IF(ISNUMBER('12_Datos_5m'!A190),'12_Datos_5m'!A190,"")</f>
        <v/>
      </c>
      <c r="D190" s="151" t="n">
        <f aca="false">IF(AND(ISNUMBER('12_Datos_5m'!I190),ISNUMBER('12_Datos_5m'!I189)),'12_Datos_5m'!I190-'12_Datos_5m'!I189,0)</f>
        <v>0</v>
      </c>
      <c r="E190" s="151" t="n">
        <f aca="false">MAX(0,D190)</f>
        <v>0</v>
      </c>
      <c r="F190" s="151" t="n">
        <f aca="false">IF(AND(ISNUMBER('12_Datos_5m'!G190),N('12_Datos_5m'!G190)&gt;0),'12_Datos_5m'!H190/'12_Datos_5m'!G190,0.5)</f>
        <v>0.5</v>
      </c>
      <c r="G190" s="151" t="n">
        <f aca="false">IF(ISNUMBER(C190),($C$2-C190)/3600000,0)</f>
        <v>0</v>
      </c>
      <c r="H190" s="151" t="n">
        <f aca="false">EXP(-G190/'13_Mapa_Liq'!$B$7)</f>
        <v>1</v>
      </c>
      <c r="I190" s="151" t="n">
        <f aca="false">E190*F190*H190</f>
        <v>0</v>
      </c>
      <c r="J190" s="151" t="n">
        <f aca="false">E190*(1-F190)*H190</f>
        <v>0</v>
      </c>
      <c r="K190" s="151" t="n">
        <f aca="false">IF(COUNT('12_Datos_5m'!E191:E$504)=0,1000000000000,MIN('12_Datos_5m'!E191:E$504))</f>
        <v>1000000000000</v>
      </c>
      <c r="L190" s="151" t="n">
        <f aca="false">IF(COUNT('12_Datos_5m'!D191:D$504)=0,0,MAX('12_Datos_5m'!D191:D$504))</f>
        <v>0</v>
      </c>
      <c r="M190" s="151" t="str">
        <f aca="false">IF(ISNUMBER(B190),B190*(1-1/'13_Mapa_Liq'!$B$15+'13_Mapa_Liq'!$B$6),"")</f>
        <v/>
      </c>
      <c r="N190" s="151" t="n">
        <f aca="false">IF(ISNUMBER(B190),IF(K190&gt;M190,I190*'13_Mapa_Liq'!$C$15,0),0)</f>
        <v>0</v>
      </c>
      <c r="O190" s="151" t="str">
        <f aca="false">IF(ISNUMBER(B190),B190*(1+1/'13_Mapa_Liq'!$B$15-'13_Mapa_Liq'!$B$6),"")</f>
        <v/>
      </c>
      <c r="P190" s="151" t="n">
        <f aca="false">IF(ISNUMBER(B190),IF(L190&lt;O190,J190*'13_Mapa_Liq'!$C$15,0),0)</f>
        <v>0</v>
      </c>
      <c r="Q190" s="151" t="str">
        <f aca="false">IF(ISNUMBER(B190),B190*(1-1/'13_Mapa_Liq'!$B$16+'13_Mapa_Liq'!$B$6),"")</f>
        <v/>
      </c>
      <c r="R190" s="151" t="n">
        <f aca="false">IF(ISNUMBER(B190),IF(K190&gt;Q190,I190*'13_Mapa_Liq'!$C$16,0),0)</f>
        <v>0</v>
      </c>
      <c r="S190" s="151" t="str">
        <f aca="false">IF(ISNUMBER(B190),B190*(1+1/'13_Mapa_Liq'!$B$16-'13_Mapa_Liq'!$B$6),"")</f>
        <v/>
      </c>
      <c r="T190" s="151" t="n">
        <f aca="false">IF(ISNUMBER(B190),IF(L190&lt;S190,J190*'13_Mapa_Liq'!$C$16,0),0)</f>
        <v>0</v>
      </c>
      <c r="U190" s="151" t="str">
        <f aca="false">IF(ISNUMBER(B190),B190*(1-1/'13_Mapa_Liq'!$B$17+'13_Mapa_Liq'!$B$6),"")</f>
        <v/>
      </c>
      <c r="V190" s="151" t="n">
        <f aca="false">IF(ISNUMBER(B190),IF(K190&gt;U190,I190*'13_Mapa_Liq'!$C$17,0),0)</f>
        <v>0</v>
      </c>
      <c r="W190" s="151" t="str">
        <f aca="false">IF(ISNUMBER(B190),B190*(1+1/'13_Mapa_Liq'!$B$17-'13_Mapa_Liq'!$B$6),"")</f>
        <v/>
      </c>
      <c r="X190" s="151" t="n">
        <f aca="false">IF(ISNUMBER(B190),IF(L190&lt;W190,J190*'13_Mapa_Liq'!$C$17,0),0)</f>
        <v>0</v>
      </c>
      <c r="Y190" s="151" t="str">
        <f aca="false">IF(ISNUMBER(B190),B190*(1-1/'13_Mapa_Liq'!$B$18+'13_Mapa_Liq'!$B$6),"")</f>
        <v/>
      </c>
      <c r="Z190" s="151" t="n">
        <f aca="false">IF(ISNUMBER(B190),IF(K190&gt;Y190,I190*'13_Mapa_Liq'!$C$18,0),0)</f>
        <v>0</v>
      </c>
      <c r="AA190" s="151" t="str">
        <f aca="false">IF(ISNUMBER(B190),B190*(1+1/'13_Mapa_Liq'!$B$18-'13_Mapa_Liq'!$B$6),"")</f>
        <v/>
      </c>
      <c r="AB190" s="151" t="n">
        <f aca="false">IF(ISNUMBER(B190),IF(L190&lt;AA190,J190*'13_Mapa_Liq'!$C$18,0),0)</f>
        <v>0</v>
      </c>
      <c r="AC190" s="151" t="str">
        <f aca="false">IF(ISNUMBER(B190),B190*(1-1/'13_Mapa_Liq'!$B$19+'13_Mapa_Liq'!$B$6),"")</f>
        <v/>
      </c>
      <c r="AD190" s="151" t="n">
        <f aca="false">IF(ISNUMBER(B190),IF(K190&gt;AC190,I190*'13_Mapa_Liq'!$C$19,0),0)</f>
        <v>0</v>
      </c>
      <c r="AE190" s="151" t="str">
        <f aca="false">IF(ISNUMBER(B190),B190*(1+1/'13_Mapa_Liq'!$B$19-'13_Mapa_Liq'!$B$6),"")</f>
        <v/>
      </c>
      <c r="AF190" s="151" t="n">
        <f aca="false">IF(ISNUMBER(B190),IF(L190&lt;AE190,J190*'13_Mapa_Liq'!$C$19,0),0)</f>
        <v>0</v>
      </c>
      <c r="AG190" s="151"/>
      <c r="AH190" s="151" t="n">
        <f aca="false">IF(ISNUMBER(B190),E190*F190*((K190&lt;=M190)*'13_Mapa_Liq'!$C$15+(K190&lt;=Q190)*'13_Mapa_Liq'!$C$16+(K190&lt;=U190)*'13_Mapa_Liq'!$C$17+(K190&lt;=Y190)*'13_Mapa_Liq'!$C$18+(K190&lt;=AC190)*'13_Mapa_Liq'!$C$19),0)</f>
        <v>0</v>
      </c>
      <c r="AI190" s="151" t="n">
        <f aca="false">IF(ISNUMBER(B190),E190*(1-F190)*((L190&gt;=O190)*'13_Mapa_Liq'!$C$15+(L190&gt;=S190)*'13_Mapa_Liq'!$C$16+(L190&gt;=W190)*'13_Mapa_Liq'!$C$17+(L190&gt;=AA190)*'13_Mapa_Liq'!$C$18+(L190&gt;=AE190)*'13_Mapa_Liq'!$C$19),0)</f>
        <v>0</v>
      </c>
    </row>
    <row r="191" customFormat="false" ht="15" hidden="false" customHeight="false" outlineLevel="0" collapsed="false">
      <c r="A191" s="151" t="str">
        <f aca="false">IF(ISNUMBER('12_Datos_5m'!F191),ROW()-4,"")</f>
        <v/>
      </c>
      <c r="B191" s="151" t="str">
        <f aca="false">IF(ISNUMBER('12_Datos_5m'!F191),'12_Datos_5m'!F191,"")</f>
        <v/>
      </c>
      <c r="C191" s="151" t="str">
        <f aca="false">IF(ISNUMBER('12_Datos_5m'!A191),'12_Datos_5m'!A191,"")</f>
        <v/>
      </c>
      <c r="D191" s="151" t="n">
        <f aca="false">IF(AND(ISNUMBER('12_Datos_5m'!I191),ISNUMBER('12_Datos_5m'!I190)),'12_Datos_5m'!I191-'12_Datos_5m'!I190,0)</f>
        <v>0</v>
      </c>
      <c r="E191" s="151" t="n">
        <f aca="false">MAX(0,D191)</f>
        <v>0</v>
      </c>
      <c r="F191" s="151" t="n">
        <f aca="false">IF(AND(ISNUMBER('12_Datos_5m'!G191),N('12_Datos_5m'!G191)&gt;0),'12_Datos_5m'!H191/'12_Datos_5m'!G191,0.5)</f>
        <v>0.5</v>
      </c>
      <c r="G191" s="151" t="n">
        <f aca="false">IF(ISNUMBER(C191),($C$2-C191)/3600000,0)</f>
        <v>0</v>
      </c>
      <c r="H191" s="151" t="n">
        <f aca="false">EXP(-G191/'13_Mapa_Liq'!$B$7)</f>
        <v>1</v>
      </c>
      <c r="I191" s="151" t="n">
        <f aca="false">E191*F191*H191</f>
        <v>0</v>
      </c>
      <c r="J191" s="151" t="n">
        <f aca="false">E191*(1-F191)*H191</f>
        <v>0</v>
      </c>
      <c r="K191" s="151" t="n">
        <f aca="false">IF(COUNT('12_Datos_5m'!E192:E$504)=0,1000000000000,MIN('12_Datos_5m'!E192:E$504))</f>
        <v>1000000000000</v>
      </c>
      <c r="L191" s="151" t="n">
        <f aca="false">IF(COUNT('12_Datos_5m'!D192:D$504)=0,0,MAX('12_Datos_5m'!D192:D$504))</f>
        <v>0</v>
      </c>
      <c r="M191" s="151" t="str">
        <f aca="false">IF(ISNUMBER(B191),B191*(1-1/'13_Mapa_Liq'!$B$15+'13_Mapa_Liq'!$B$6),"")</f>
        <v/>
      </c>
      <c r="N191" s="151" t="n">
        <f aca="false">IF(ISNUMBER(B191),IF(K191&gt;M191,I191*'13_Mapa_Liq'!$C$15,0),0)</f>
        <v>0</v>
      </c>
      <c r="O191" s="151" t="str">
        <f aca="false">IF(ISNUMBER(B191),B191*(1+1/'13_Mapa_Liq'!$B$15-'13_Mapa_Liq'!$B$6),"")</f>
        <v/>
      </c>
      <c r="P191" s="151" t="n">
        <f aca="false">IF(ISNUMBER(B191),IF(L191&lt;O191,J191*'13_Mapa_Liq'!$C$15,0),0)</f>
        <v>0</v>
      </c>
      <c r="Q191" s="151" t="str">
        <f aca="false">IF(ISNUMBER(B191),B191*(1-1/'13_Mapa_Liq'!$B$16+'13_Mapa_Liq'!$B$6),"")</f>
        <v/>
      </c>
      <c r="R191" s="151" t="n">
        <f aca="false">IF(ISNUMBER(B191),IF(K191&gt;Q191,I191*'13_Mapa_Liq'!$C$16,0),0)</f>
        <v>0</v>
      </c>
      <c r="S191" s="151" t="str">
        <f aca="false">IF(ISNUMBER(B191),B191*(1+1/'13_Mapa_Liq'!$B$16-'13_Mapa_Liq'!$B$6),"")</f>
        <v/>
      </c>
      <c r="T191" s="151" t="n">
        <f aca="false">IF(ISNUMBER(B191),IF(L191&lt;S191,J191*'13_Mapa_Liq'!$C$16,0),0)</f>
        <v>0</v>
      </c>
      <c r="U191" s="151" t="str">
        <f aca="false">IF(ISNUMBER(B191),B191*(1-1/'13_Mapa_Liq'!$B$17+'13_Mapa_Liq'!$B$6),"")</f>
        <v/>
      </c>
      <c r="V191" s="151" t="n">
        <f aca="false">IF(ISNUMBER(B191),IF(K191&gt;U191,I191*'13_Mapa_Liq'!$C$17,0),0)</f>
        <v>0</v>
      </c>
      <c r="W191" s="151" t="str">
        <f aca="false">IF(ISNUMBER(B191),B191*(1+1/'13_Mapa_Liq'!$B$17-'13_Mapa_Liq'!$B$6),"")</f>
        <v/>
      </c>
      <c r="X191" s="151" t="n">
        <f aca="false">IF(ISNUMBER(B191),IF(L191&lt;W191,J191*'13_Mapa_Liq'!$C$17,0),0)</f>
        <v>0</v>
      </c>
      <c r="Y191" s="151" t="str">
        <f aca="false">IF(ISNUMBER(B191),B191*(1-1/'13_Mapa_Liq'!$B$18+'13_Mapa_Liq'!$B$6),"")</f>
        <v/>
      </c>
      <c r="Z191" s="151" t="n">
        <f aca="false">IF(ISNUMBER(B191),IF(K191&gt;Y191,I191*'13_Mapa_Liq'!$C$18,0),0)</f>
        <v>0</v>
      </c>
      <c r="AA191" s="151" t="str">
        <f aca="false">IF(ISNUMBER(B191),B191*(1+1/'13_Mapa_Liq'!$B$18-'13_Mapa_Liq'!$B$6),"")</f>
        <v/>
      </c>
      <c r="AB191" s="151" t="n">
        <f aca="false">IF(ISNUMBER(B191),IF(L191&lt;AA191,J191*'13_Mapa_Liq'!$C$18,0),0)</f>
        <v>0</v>
      </c>
      <c r="AC191" s="151" t="str">
        <f aca="false">IF(ISNUMBER(B191),B191*(1-1/'13_Mapa_Liq'!$B$19+'13_Mapa_Liq'!$B$6),"")</f>
        <v/>
      </c>
      <c r="AD191" s="151" t="n">
        <f aca="false">IF(ISNUMBER(B191),IF(K191&gt;AC191,I191*'13_Mapa_Liq'!$C$19,0),0)</f>
        <v>0</v>
      </c>
      <c r="AE191" s="151" t="str">
        <f aca="false">IF(ISNUMBER(B191),B191*(1+1/'13_Mapa_Liq'!$B$19-'13_Mapa_Liq'!$B$6),"")</f>
        <v/>
      </c>
      <c r="AF191" s="151" t="n">
        <f aca="false">IF(ISNUMBER(B191),IF(L191&lt;AE191,J191*'13_Mapa_Liq'!$C$19,0),0)</f>
        <v>0</v>
      </c>
      <c r="AG191" s="151"/>
      <c r="AH191" s="151" t="n">
        <f aca="false">IF(ISNUMBER(B191),E191*F191*((K191&lt;=M191)*'13_Mapa_Liq'!$C$15+(K191&lt;=Q191)*'13_Mapa_Liq'!$C$16+(K191&lt;=U191)*'13_Mapa_Liq'!$C$17+(K191&lt;=Y191)*'13_Mapa_Liq'!$C$18+(K191&lt;=AC191)*'13_Mapa_Liq'!$C$19),0)</f>
        <v>0</v>
      </c>
      <c r="AI191" s="151" t="n">
        <f aca="false">IF(ISNUMBER(B191),E191*(1-F191)*((L191&gt;=O191)*'13_Mapa_Liq'!$C$15+(L191&gt;=S191)*'13_Mapa_Liq'!$C$16+(L191&gt;=W191)*'13_Mapa_Liq'!$C$17+(L191&gt;=AA191)*'13_Mapa_Liq'!$C$18+(L191&gt;=AE191)*'13_Mapa_Liq'!$C$19),0)</f>
        <v>0</v>
      </c>
    </row>
    <row r="192" customFormat="false" ht="15" hidden="false" customHeight="false" outlineLevel="0" collapsed="false">
      <c r="A192" s="151" t="str">
        <f aca="false">IF(ISNUMBER('12_Datos_5m'!F192),ROW()-4,"")</f>
        <v/>
      </c>
      <c r="B192" s="151" t="str">
        <f aca="false">IF(ISNUMBER('12_Datos_5m'!F192),'12_Datos_5m'!F192,"")</f>
        <v/>
      </c>
      <c r="C192" s="151" t="str">
        <f aca="false">IF(ISNUMBER('12_Datos_5m'!A192),'12_Datos_5m'!A192,"")</f>
        <v/>
      </c>
      <c r="D192" s="151" t="n">
        <f aca="false">IF(AND(ISNUMBER('12_Datos_5m'!I192),ISNUMBER('12_Datos_5m'!I191)),'12_Datos_5m'!I192-'12_Datos_5m'!I191,0)</f>
        <v>0</v>
      </c>
      <c r="E192" s="151" t="n">
        <f aca="false">MAX(0,D192)</f>
        <v>0</v>
      </c>
      <c r="F192" s="151" t="n">
        <f aca="false">IF(AND(ISNUMBER('12_Datos_5m'!G192),N('12_Datos_5m'!G192)&gt;0),'12_Datos_5m'!H192/'12_Datos_5m'!G192,0.5)</f>
        <v>0.5</v>
      </c>
      <c r="G192" s="151" t="n">
        <f aca="false">IF(ISNUMBER(C192),($C$2-C192)/3600000,0)</f>
        <v>0</v>
      </c>
      <c r="H192" s="151" t="n">
        <f aca="false">EXP(-G192/'13_Mapa_Liq'!$B$7)</f>
        <v>1</v>
      </c>
      <c r="I192" s="151" t="n">
        <f aca="false">E192*F192*H192</f>
        <v>0</v>
      </c>
      <c r="J192" s="151" t="n">
        <f aca="false">E192*(1-F192)*H192</f>
        <v>0</v>
      </c>
      <c r="K192" s="151" t="n">
        <f aca="false">IF(COUNT('12_Datos_5m'!E193:E$504)=0,1000000000000,MIN('12_Datos_5m'!E193:E$504))</f>
        <v>1000000000000</v>
      </c>
      <c r="L192" s="151" t="n">
        <f aca="false">IF(COUNT('12_Datos_5m'!D193:D$504)=0,0,MAX('12_Datos_5m'!D193:D$504))</f>
        <v>0</v>
      </c>
      <c r="M192" s="151" t="str">
        <f aca="false">IF(ISNUMBER(B192),B192*(1-1/'13_Mapa_Liq'!$B$15+'13_Mapa_Liq'!$B$6),"")</f>
        <v/>
      </c>
      <c r="N192" s="151" t="n">
        <f aca="false">IF(ISNUMBER(B192),IF(K192&gt;M192,I192*'13_Mapa_Liq'!$C$15,0),0)</f>
        <v>0</v>
      </c>
      <c r="O192" s="151" t="str">
        <f aca="false">IF(ISNUMBER(B192),B192*(1+1/'13_Mapa_Liq'!$B$15-'13_Mapa_Liq'!$B$6),"")</f>
        <v/>
      </c>
      <c r="P192" s="151" t="n">
        <f aca="false">IF(ISNUMBER(B192),IF(L192&lt;O192,J192*'13_Mapa_Liq'!$C$15,0),0)</f>
        <v>0</v>
      </c>
      <c r="Q192" s="151" t="str">
        <f aca="false">IF(ISNUMBER(B192),B192*(1-1/'13_Mapa_Liq'!$B$16+'13_Mapa_Liq'!$B$6),"")</f>
        <v/>
      </c>
      <c r="R192" s="151" t="n">
        <f aca="false">IF(ISNUMBER(B192),IF(K192&gt;Q192,I192*'13_Mapa_Liq'!$C$16,0),0)</f>
        <v>0</v>
      </c>
      <c r="S192" s="151" t="str">
        <f aca="false">IF(ISNUMBER(B192),B192*(1+1/'13_Mapa_Liq'!$B$16-'13_Mapa_Liq'!$B$6),"")</f>
        <v/>
      </c>
      <c r="T192" s="151" t="n">
        <f aca="false">IF(ISNUMBER(B192),IF(L192&lt;S192,J192*'13_Mapa_Liq'!$C$16,0),0)</f>
        <v>0</v>
      </c>
      <c r="U192" s="151" t="str">
        <f aca="false">IF(ISNUMBER(B192),B192*(1-1/'13_Mapa_Liq'!$B$17+'13_Mapa_Liq'!$B$6),"")</f>
        <v/>
      </c>
      <c r="V192" s="151" t="n">
        <f aca="false">IF(ISNUMBER(B192),IF(K192&gt;U192,I192*'13_Mapa_Liq'!$C$17,0),0)</f>
        <v>0</v>
      </c>
      <c r="W192" s="151" t="str">
        <f aca="false">IF(ISNUMBER(B192),B192*(1+1/'13_Mapa_Liq'!$B$17-'13_Mapa_Liq'!$B$6),"")</f>
        <v/>
      </c>
      <c r="X192" s="151" t="n">
        <f aca="false">IF(ISNUMBER(B192),IF(L192&lt;W192,J192*'13_Mapa_Liq'!$C$17,0),0)</f>
        <v>0</v>
      </c>
      <c r="Y192" s="151" t="str">
        <f aca="false">IF(ISNUMBER(B192),B192*(1-1/'13_Mapa_Liq'!$B$18+'13_Mapa_Liq'!$B$6),"")</f>
        <v/>
      </c>
      <c r="Z192" s="151" t="n">
        <f aca="false">IF(ISNUMBER(B192),IF(K192&gt;Y192,I192*'13_Mapa_Liq'!$C$18,0),0)</f>
        <v>0</v>
      </c>
      <c r="AA192" s="151" t="str">
        <f aca="false">IF(ISNUMBER(B192),B192*(1+1/'13_Mapa_Liq'!$B$18-'13_Mapa_Liq'!$B$6),"")</f>
        <v/>
      </c>
      <c r="AB192" s="151" t="n">
        <f aca="false">IF(ISNUMBER(B192),IF(L192&lt;AA192,J192*'13_Mapa_Liq'!$C$18,0),0)</f>
        <v>0</v>
      </c>
      <c r="AC192" s="151" t="str">
        <f aca="false">IF(ISNUMBER(B192),B192*(1-1/'13_Mapa_Liq'!$B$19+'13_Mapa_Liq'!$B$6),"")</f>
        <v/>
      </c>
      <c r="AD192" s="151" t="n">
        <f aca="false">IF(ISNUMBER(B192),IF(K192&gt;AC192,I192*'13_Mapa_Liq'!$C$19,0),0)</f>
        <v>0</v>
      </c>
      <c r="AE192" s="151" t="str">
        <f aca="false">IF(ISNUMBER(B192),B192*(1+1/'13_Mapa_Liq'!$B$19-'13_Mapa_Liq'!$B$6),"")</f>
        <v/>
      </c>
      <c r="AF192" s="151" t="n">
        <f aca="false">IF(ISNUMBER(B192),IF(L192&lt;AE192,J192*'13_Mapa_Liq'!$C$19,0),0)</f>
        <v>0</v>
      </c>
      <c r="AG192" s="151"/>
      <c r="AH192" s="151" t="n">
        <f aca="false">IF(ISNUMBER(B192),E192*F192*((K192&lt;=M192)*'13_Mapa_Liq'!$C$15+(K192&lt;=Q192)*'13_Mapa_Liq'!$C$16+(K192&lt;=U192)*'13_Mapa_Liq'!$C$17+(K192&lt;=Y192)*'13_Mapa_Liq'!$C$18+(K192&lt;=AC192)*'13_Mapa_Liq'!$C$19),0)</f>
        <v>0</v>
      </c>
      <c r="AI192" s="151" t="n">
        <f aca="false">IF(ISNUMBER(B192),E192*(1-F192)*((L192&gt;=O192)*'13_Mapa_Liq'!$C$15+(L192&gt;=S192)*'13_Mapa_Liq'!$C$16+(L192&gt;=W192)*'13_Mapa_Liq'!$C$17+(L192&gt;=AA192)*'13_Mapa_Liq'!$C$18+(L192&gt;=AE192)*'13_Mapa_Liq'!$C$19),0)</f>
        <v>0</v>
      </c>
    </row>
    <row r="193" customFormat="false" ht="15" hidden="false" customHeight="false" outlineLevel="0" collapsed="false">
      <c r="A193" s="151" t="str">
        <f aca="false">IF(ISNUMBER('12_Datos_5m'!F193),ROW()-4,"")</f>
        <v/>
      </c>
      <c r="B193" s="151" t="str">
        <f aca="false">IF(ISNUMBER('12_Datos_5m'!F193),'12_Datos_5m'!F193,"")</f>
        <v/>
      </c>
      <c r="C193" s="151" t="str">
        <f aca="false">IF(ISNUMBER('12_Datos_5m'!A193),'12_Datos_5m'!A193,"")</f>
        <v/>
      </c>
      <c r="D193" s="151" t="n">
        <f aca="false">IF(AND(ISNUMBER('12_Datos_5m'!I193),ISNUMBER('12_Datos_5m'!I192)),'12_Datos_5m'!I193-'12_Datos_5m'!I192,0)</f>
        <v>0</v>
      </c>
      <c r="E193" s="151" t="n">
        <f aca="false">MAX(0,D193)</f>
        <v>0</v>
      </c>
      <c r="F193" s="151" t="n">
        <f aca="false">IF(AND(ISNUMBER('12_Datos_5m'!G193),N('12_Datos_5m'!G193)&gt;0),'12_Datos_5m'!H193/'12_Datos_5m'!G193,0.5)</f>
        <v>0.5</v>
      </c>
      <c r="G193" s="151" t="n">
        <f aca="false">IF(ISNUMBER(C193),($C$2-C193)/3600000,0)</f>
        <v>0</v>
      </c>
      <c r="H193" s="151" t="n">
        <f aca="false">EXP(-G193/'13_Mapa_Liq'!$B$7)</f>
        <v>1</v>
      </c>
      <c r="I193" s="151" t="n">
        <f aca="false">E193*F193*H193</f>
        <v>0</v>
      </c>
      <c r="J193" s="151" t="n">
        <f aca="false">E193*(1-F193)*H193</f>
        <v>0</v>
      </c>
      <c r="K193" s="151" t="n">
        <f aca="false">IF(COUNT('12_Datos_5m'!E194:E$504)=0,1000000000000,MIN('12_Datos_5m'!E194:E$504))</f>
        <v>1000000000000</v>
      </c>
      <c r="L193" s="151" t="n">
        <f aca="false">IF(COUNT('12_Datos_5m'!D194:D$504)=0,0,MAX('12_Datos_5m'!D194:D$504))</f>
        <v>0</v>
      </c>
      <c r="M193" s="151" t="str">
        <f aca="false">IF(ISNUMBER(B193),B193*(1-1/'13_Mapa_Liq'!$B$15+'13_Mapa_Liq'!$B$6),"")</f>
        <v/>
      </c>
      <c r="N193" s="151" t="n">
        <f aca="false">IF(ISNUMBER(B193),IF(K193&gt;M193,I193*'13_Mapa_Liq'!$C$15,0),0)</f>
        <v>0</v>
      </c>
      <c r="O193" s="151" t="str">
        <f aca="false">IF(ISNUMBER(B193),B193*(1+1/'13_Mapa_Liq'!$B$15-'13_Mapa_Liq'!$B$6),"")</f>
        <v/>
      </c>
      <c r="P193" s="151" t="n">
        <f aca="false">IF(ISNUMBER(B193),IF(L193&lt;O193,J193*'13_Mapa_Liq'!$C$15,0),0)</f>
        <v>0</v>
      </c>
      <c r="Q193" s="151" t="str">
        <f aca="false">IF(ISNUMBER(B193),B193*(1-1/'13_Mapa_Liq'!$B$16+'13_Mapa_Liq'!$B$6),"")</f>
        <v/>
      </c>
      <c r="R193" s="151" t="n">
        <f aca="false">IF(ISNUMBER(B193),IF(K193&gt;Q193,I193*'13_Mapa_Liq'!$C$16,0),0)</f>
        <v>0</v>
      </c>
      <c r="S193" s="151" t="str">
        <f aca="false">IF(ISNUMBER(B193),B193*(1+1/'13_Mapa_Liq'!$B$16-'13_Mapa_Liq'!$B$6),"")</f>
        <v/>
      </c>
      <c r="T193" s="151" t="n">
        <f aca="false">IF(ISNUMBER(B193),IF(L193&lt;S193,J193*'13_Mapa_Liq'!$C$16,0),0)</f>
        <v>0</v>
      </c>
      <c r="U193" s="151" t="str">
        <f aca="false">IF(ISNUMBER(B193),B193*(1-1/'13_Mapa_Liq'!$B$17+'13_Mapa_Liq'!$B$6),"")</f>
        <v/>
      </c>
      <c r="V193" s="151" t="n">
        <f aca="false">IF(ISNUMBER(B193),IF(K193&gt;U193,I193*'13_Mapa_Liq'!$C$17,0),0)</f>
        <v>0</v>
      </c>
      <c r="W193" s="151" t="str">
        <f aca="false">IF(ISNUMBER(B193),B193*(1+1/'13_Mapa_Liq'!$B$17-'13_Mapa_Liq'!$B$6),"")</f>
        <v/>
      </c>
      <c r="X193" s="151" t="n">
        <f aca="false">IF(ISNUMBER(B193),IF(L193&lt;W193,J193*'13_Mapa_Liq'!$C$17,0),0)</f>
        <v>0</v>
      </c>
      <c r="Y193" s="151" t="str">
        <f aca="false">IF(ISNUMBER(B193),B193*(1-1/'13_Mapa_Liq'!$B$18+'13_Mapa_Liq'!$B$6),"")</f>
        <v/>
      </c>
      <c r="Z193" s="151" t="n">
        <f aca="false">IF(ISNUMBER(B193),IF(K193&gt;Y193,I193*'13_Mapa_Liq'!$C$18,0),0)</f>
        <v>0</v>
      </c>
      <c r="AA193" s="151" t="str">
        <f aca="false">IF(ISNUMBER(B193),B193*(1+1/'13_Mapa_Liq'!$B$18-'13_Mapa_Liq'!$B$6),"")</f>
        <v/>
      </c>
      <c r="AB193" s="151" t="n">
        <f aca="false">IF(ISNUMBER(B193),IF(L193&lt;AA193,J193*'13_Mapa_Liq'!$C$18,0),0)</f>
        <v>0</v>
      </c>
      <c r="AC193" s="151" t="str">
        <f aca="false">IF(ISNUMBER(B193),B193*(1-1/'13_Mapa_Liq'!$B$19+'13_Mapa_Liq'!$B$6),"")</f>
        <v/>
      </c>
      <c r="AD193" s="151" t="n">
        <f aca="false">IF(ISNUMBER(B193),IF(K193&gt;AC193,I193*'13_Mapa_Liq'!$C$19,0),0)</f>
        <v>0</v>
      </c>
      <c r="AE193" s="151" t="str">
        <f aca="false">IF(ISNUMBER(B193),B193*(1+1/'13_Mapa_Liq'!$B$19-'13_Mapa_Liq'!$B$6),"")</f>
        <v/>
      </c>
      <c r="AF193" s="151" t="n">
        <f aca="false">IF(ISNUMBER(B193),IF(L193&lt;AE193,J193*'13_Mapa_Liq'!$C$19,0),0)</f>
        <v>0</v>
      </c>
      <c r="AG193" s="151"/>
      <c r="AH193" s="151" t="n">
        <f aca="false">IF(ISNUMBER(B193),E193*F193*((K193&lt;=M193)*'13_Mapa_Liq'!$C$15+(K193&lt;=Q193)*'13_Mapa_Liq'!$C$16+(K193&lt;=U193)*'13_Mapa_Liq'!$C$17+(K193&lt;=Y193)*'13_Mapa_Liq'!$C$18+(K193&lt;=AC193)*'13_Mapa_Liq'!$C$19),0)</f>
        <v>0</v>
      </c>
      <c r="AI193" s="151" t="n">
        <f aca="false">IF(ISNUMBER(B193),E193*(1-F193)*((L193&gt;=O193)*'13_Mapa_Liq'!$C$15+(L193&gt;=S193)*'13_Mapa_Liq'!$C$16+(L193&gt;=W193)*'13_Mapa_Liq'!$C$17+(L193&gt;=AA193)*'13_Mapa_Liq'!$C$18+(L193&gt;=AE193)*'13_Mapa_Liq'!$C$19),0)</f>
        <v>0</v>
      </c>
    </row>
    <row r="194" customFormat="false" ht="15" hidden="false" customHeight="false" outlineLevel="0" collapsed="false">
      <c r="A194" s="151" t="str">
        <f aca="false">IF(ISNUMBER('12_Datos_5m'!F194),ROW()-4,"")</f>
        <v/>
      </c>
      <c r="B194" s="151" t="str">
        <f aca="false">IF(ISNUMBER('12_Datos_5m'!F194),'12_Datos_5m'!F194,"")</f>
        <v/>
      </c>
      <c r="C194" s="151" t="str">
        <f aca="false">IF(ISNUMBER('12_Datos_5m'!A194),'12_Datos_5m'!A194,"")</f>
        <v/>
      </c>
      <c r="D194" s="151" t="n">
        <f aca="false">IF(AND(ISNUMBER('12_Datos_5m'!I194),ISNUMBER('12_Datos_5m'!I193)),'12_Datos_5m'!I194-'12_Datos_5m'!I193,0)</f>
        <v>0</v>
      </c>
      <c r="E194" s="151" t="n">
        <f aca="false">MAX(0,D194)</f>
        <v>0</v>
      </c>
      <c r="F194" s="151" t="n">
        <f aca="false">IF(AND(ISNUMBER('12_Datos_5m'!G194),N('12_Datos_5m'!G194)&gt;0),'12_Datos_5m'!H194/'12_Datos_5m'!G194,0.5)</f>
        <v>0.5</v>
      </c>
      <c r="G194" s="151" t="n">
        <f aca="false">IF(ISNUMBER(C194),($C$2-C194)/3600000,0)</f>
        <v>0</v>
      </c>
      <c r="H194" s="151" t="n">
        <f aca="false">EXP(-G194/'13_Mapa_Liq'!$B$7)</f>
        <v>1</v>
      </c>
      <c r="I194" s="151" t="n">
        <f aca="false">E194*F194*H194</f>
        <v>0</v>
      </c>
      <c r="J194" s="151" t="n">
        <f aca="false">E194*(1-F194)*H194</f>
        <v>0</v>
      </c>
      <c r="K194" s="151" t="n">
        <f aca="false">IF(COUNT('12_Datos_5m'!E195:E$504)=0,1000000000000,MIN('12_Datos_5m'!E195:E$504))</f>
        <v>1000000000000</v>
      </c>
      <c r="L194" s="151" t="n">
        <f aca="false">IF(COUNT('12_Datos_5m'!D195:D$504)=0,0,MAX('12_Datos_5m'!D195:D$504))</f>
        <v>0</v>
      </c>
      <c r="M194" s="151" t="str">
        <f aca="false">IF(ISNUMBER(B194),B194*(1-1/'13_Mapa_Liq'!$B$15+'13_Mapa_Liq'!$B$6),"")</f>
        <v/>
      </c>
      <c r="N194" s="151" t="n">
        <f aca="false">IF(ISNUMBER(B194),IF(K194&gt;M194,I194*'13_Mapa_Liq'!$C$15,0),0)</f>
        <v>0</v>
      </c>
      <c r="O194" s="151" t="str">
        <f aca="false">IF(ISNUMBER(B194),B194*(1+1/'13_Mapa_Liq'!$B$15-'13_Mapa_Liq'!$B$6),"")</f>
        <v/>
      </c>
      <c r="P194" s="151" t="n">
        <f aca="false">IF(ISNUMBER(B194),IF(L194&lt;O194,J194*'13_Mapa_Liq'!$C$15,0),0)</f>
        <v>0</v>
      </c>
      <c r="Q194" s="151" t="str">
        <f aca="false">IF(ISNUMBER(B194),B194*(1-1/'13_Mapa_Liq'!$B$16+'13_Mapa_Liq'!$B$6),"")</f>
        <v/>
      </c>
      <c r="R194" s="151" t="n">
        <f aca="false">IF(ISNUMBER(B194),IF(K194&gt;Q194,I194*'13_Mapa_Liq'!$C$16,0),0)</f>
        <v>0</v>
      </c>
      <c r="S194" s="151" t="str">
        <f aca="false">IF(ISNUMBER(B194),B194*(1+1/'13_Mapa_Liq'!$B$16-'13_Mapa_Liq'!$B$6),"")</f>
        <v/>
      </c>
      <c r="T194" s="151" t="n">
        <f aca="false">IF(ISNUMBER(B194),IF(L194&lt;S194,J194*'13_Mapa_Liq'!$C$16,0),0)</f>
        <v>0</v>
      </c>
      <c r="U194" s="151" t="str">
        <f aca="false">IF(ISNUMBER(B194),B194*(1-1/'13_Mapa_Liq'!$B$17+'13_Mapa_Liq'!$B$6),"")</f>
        <v/>
      </c>
      <c r="V194" s="151" t="n">
        <f aca="false">IF(ISNUMBER(B194),IF(K194&gt;U194,I194*'13_Mapa_Liq'!$C$17,0),0)</f>
        <v>0</v>
      </c>
      <c r="W194" s="151" t="str">
        <f aca="false">IF(ISNUMBER(B194),B194*(1+1/'13_Mapa_Liq'!$B$17-'13_Mapa_Liq'!$B$6),"")</f>
        <v/>
      </c>
      <c r="X194" s="151" t="n">
        <f aca="false">IF(ISNUMBER(B194),IF(L194&lt;W194,J194*'13_Mapa_Liq'!$C$17,0),0)</f>
        <v>0</v>
      </c>
      <c r="Y194" s="151" t="str">
        <f aca="false">IF(ISNUMBER(B194),B194*(1-1/'13_Mapa_Liq'!$B$18+'13_Mapa_Liq'!$B$6),"")</f>
        <v/>
      </c>
      <c r="Z194" s="151" t="n">
        <f aca="false">IF(ISNUMBER(B194),IF(K194&gt;Y194,I194*'13_Mapa_Liq'!$C$18,0),0)</f>
        <v>0</v>
      </c>
      <c r="AA194" s="151" t="str">
        <f aca="false">IF(ISNUMBER(B194),B194*(1+1/'13_Mapa_Liq'!$B$18-'13_Mapa_Liq'!$B$6),"")</f>
        <v/>
      </c>
      <c r="AB194" s="151" t="n">
        <f aca="false">IF(ISNUMBER(B194),IF(L194&lt;AA194,J194*'13_Mapa_Liq'!$C$18,0),0)</f>
        <v>0</v>
      </c>
      <c r="AC194" s="151" t="str">
        <f aca="false">IF(ISNUMBER(B194),B194*(1-1/'13_Mapa_Liq'!$B$19+'13_Mapa_Liq'!$B$6),"")</f>
        <v/>
      </c>
      <c r="AD194" s="151" t="n">
        <f aca="false">IF(ISNUMBER(B194),IF(K194&gt;AC194,I194*'13_Mapa_Liq'!$C$19,0),0)</f>
        <v>0</v>
      </c>
      <c r="AE194" s="151" t="str">
        <f aca="false">IF(ISNUMBER(B194),B194*(1+1/'13_Mapa_Liq'!$B$19-'13_Mapa_Liq'!$B$6),"")</f>
        <v/>
      </c>
      <c r="AF194" s="151" t="n">
        <f aca="false">IF(ISNUMBER(B194),IF(L194&lt;AE194,J194*'13_Mapa_Liq'!$C$19,0),0)</f>
        <v>0</v>
      </c>
      <c r="AG194" s="151"/>
      <c r="AH194" s="151" t="n">
        <f aca="false">IF(ISNUMBER(B194),E194*F194*((K194&lt;=M194)*'13_Mapa_Liq'!$C$15+(K194&lt;=Q194)*'13_Mapa_Liq'!$C$16+(K194&lt;=U194)*'13_Mapa_Liq'!$C$17+(K194&lt;=Y194)*'13_Mapa_Liq'!$C$18+(K194&lt;=AC194)*'13_Mapa_Liq'!$C$19),0)</f>
        <v>0</v>
      </c>
      <c r="AI194" s="151" t="n">
        <f aca="false">IF(ISNUMBER(B194),E194*(1-F194)*((L194&gt;=O194)*'13_Mapa_Liq'!$C$15+(L194&gt;=S194)*'13_Mapa_Liq'!$C$16+(L194&gt;=W194)*'13_Mapa_Liq'!$C$17+(L194&gt;=AA194)*'13_Mapa_Liq'!$C$18+(L194&gt;=AE194)*'13_Mapa_Liq'!$C$19),0)</f>
        <v>0</v>
      </c>
    </row>
    <row r="195" customFormat="false" ht="15" hidden="false" customHeight="false" outlineLevel="0" collapsed="false">
      <c r="A195" s="151" t="str">
        <f aca="false">IF(ISNUMBER('12_Datos_5m'!F195),ROW()-4,"")</f>
        <v/>
      </c>
      <c r="B195" s="151" t="str">
        <f aca="false">IF(ISNUMBER('12_Datos_5m'!F195),'12_Datos_5m'!F195,"")</f>
        <v/>
      </c>
      <c r="C195" s="151" t="str">
        <f aca="false">IF(ISNUMBER('12_Datos_5m'!A195),'12_Datos_5m'!A195,"")</f>
        <v/>
      </c>
      <c r="D195" s="151" t="n">
        <f aca="false">IF(AND(ISNUMBER('12_Datos_5m'!I195),ISNUMBER('12_Datos_5m'!I194)),'12_Datos_5m'!I195-'12_Datos_5m'!I194,0)</f>
        <v>0</v>
      </c>
      <c r="E195" s="151" t="n">
        <f aca="false">MAX(0,D195)</f>
        <v>0</v>
      </c>
      <c r="F195" s="151" t="n">
        <f aca="false">IF(AND(ISNUMBER('12_Datos_5m'!G195),N('12_Datos_5m'!G195)&gt;0),'12_Datos_5m'!H195/'12_Datos_5m'!G195,0.5)</f>
        <v>0.5</v>
      </c>
      <c r="G195" s="151" t="n">
        <f aca="false">IF(ISNUMBER(C195),($C$2-C195)/3600000,0)</f>
        <v>0</v>
      </c>
      <c r="H195" s="151" t="n">
        <f aca="false">EXP(-G195/'13_Mapa_Liq'!$B$7)</f>
        <v>1</v>
      </c>
      <c r="I195" s="151" t="n">
        <f aca="false">E195*F195*H195</f>
        <v>0</v>
      </c>
      <c r="J195" s="151" t="n">
        <f aca="false">E195*(1-F195)*H195</f>
        <v>0</v>
      </c>
      <c r="K195" s="151" t="n">
        <f aca="false">IF(COUNT('12_Datos_5m'!E196:E$504)=0,1000000000000,MIN('12_Datos_5m'!E196:E$504))</f>
        <v>1000000000000</v>
      </c>
      <c r="L195" s="151" t="n">
        <f aca="false">IF(COUNT('12_Datos_5m'!D196:D$504)=0,0,MAX('12_Datos_5m'!D196:D$504))</f>
        <v>0</v>
      </c>
      <c r="M195" s="151" t="str">
        <f aca="false">IF(ISNUMBER(B195),B195*(1-1/'13_Mapa_Liq'!$B$15+'13_Mapa_Liq'!$B$6),"")</f>
        <v/>
      </c>
      <c r="N195" s="151" t="n">
        <f aca="false">IF(ISNUMBER(B195),IF(K195&gt;M195,I195*'13_Mapa_Liq'!$C$15,0),0)</f>
        <v>0</v>
      </c>
      <c r="O195" s="151" t="str">
        <f aca="false">IF(ISNUMBER(B195),B195*(1+1/'13_Mapa_Liq'!$B$15-'13_Mapa_Liq'!$B$6),"")</f>
        <v/>
      </c>
      <c r="P195" s="151" t="n">
        <f aca="false">IF(ISNUMBER(B195),IF(L195&lt;O195,J195*'13_Mapa_Liq'!$C$15,0),0)</f>
        <v>0</v>
      </c>
      <c r="Q195" s="151" t="str">
        <f aca="false">IF(ISNUMBER(B195),B195*(1-1/'13_Mapa_Liq'!$B$16+'13_Mapa_Liq'!$B$6),"")</f>
        <v/>
      </c>
      <c r="R195" s="151" t="n">
        <f aca="false">IF(ISNUMBER(B195),IF(K195&gt;Q195,I195*'13_Mapa_Liq'!$C$16,0),0)</f>
        <v>0</v>
      </c>
      <c r="S195" s="151" t="str">
        <f aca="false">IF(ISNUMBER(B195),B195*(1+1/'13_Mapa_Liq'!$B$16-'13_Mapa_Liq'!$B$6),"")</f>
        <v/>
      </c>
      <c r="T195" s="151" t="n">
        <f aca="false">IF(ISNUMBER(B195),IF(L195&lt;S195,J195*'13_Mapa_Liq'!$C$16,0),0)</f>
        <v>0</v>
      </c>
      <c r="U195" s="151" t="str">
        <f aca="false">IF(ISNUMBER(B195),B195*(1-1/'13_Mapa_Liq'!$B$17+'13_Mapa_Liq'!$B$6),"")</f>
        <v/>
      </c>
      <c r="V195" s="151" t="n">
        <f aca="false">IF(ISNUMBER(B195),IF(K195&gt;U195,I195*'13_Mapa_Liq'!$C$17,0),0)</f>
        <v>0</v>
      </c>
      <c r="W195" s="151" t="str">
        <f aca="false">IF(ISNUMBER(B195),B195*(1+1/'13_Mapa_Liq'!$B$17-'13_Mapa_Liq'!$B$6),"")</f>
        <v/>
      </c>
      <c r="X195" s="151" t="n">
        <f aca="false">IF(ISNUMBER(B195),IF(L195&lt;W195,J195*'13_Mapa_Liq'!$C$17,0),0)</f>
        <v>0</v>
      </c>
      <c r="Y195" s="151" t="str">
        <f aca="false">IF(ISNUMBER(B195),B195*(1-1/'13_Mapa_Liq'!$B$18+'13_Mapa_Liq'!$B$6),"")</f>
        <v/>
      </c>
      <c r="Z195" s="151" t="n">
        <f aca="false">IF(ISNUMBER(B195),IF(K195&gt;Y195,I195*'13_Mapa_Liq'!$C$18,0),0)</f>
        <v>0</v>
      </c>
      <c r="AA195" s="151" t="str">
        <f aca="false">IF(ISNUMBER(B195),B195*(1+1/'13_Mapa_Liq'!$B$18-'13_Mapa_Liq'!$B$6),"")</f>
        <v/>
      </c>
      <c r="AB195" s="151" t="n">
        <f aca="false">IF(ISNUMBER(B195),IF(L195&lt;AA195,J195*'13_Mapa_Liq'!$C$18,0),0)</f>
        <v>0</v>
      </c>
      <c r="AC195" s="151" t="str">
        <f aca="false">IF(ISNUMBER(B195),B195*(1-1/'13_Mapa_Liq'!$B$19+'13_Mapa_Liq'!$B$6),"")</f>
        <v/>
      </c>
      <c r="AD195" s="151" t="n">
        <f aca="false">IF(ISNUMBER(B195),IF(K195&gt;AC195,I195*'13_Mapa_Liq'!$C$19,0),0)</f>
        <v>0</v>
      </c>
      <c r="AE195" s="151" t="str">
        <f aca="false">IF(ISNUMBER(B195),B195*(1+1/'13_Mapa_Liq'!$B$19-'13_Mapa_Liq'!$B$6),"")</f>
        <v/>
      </c>
      <c r="AF195" s="151" t="n">
        <f aca="false">IF(ISNUMBER(B195),IF(L195&lt;AE195,J195*'13_Mapa_Liq'!$C$19,0),0)</f>
        <v>0</v>
      </c>
      <c r="AG195" s="151"/>
      <c r="AH195" s="151" t="n">
        <f aca="false">IF(ISNUMBER(B195),E195*F195*((K195&lt;=M195)*'13_Mapa_Liq'!$C$15+(K195&lt;=Q195)*'13_Mapa_Liq'!$C$16+(K195&lt;=U195)*'13_Mapa_Liq'!$C$17+(K195&lt;=Y195)*'13_Mapa_Liq'!$C$18+(K195&lt;=AC195)*'13_Mapa_Liq'!$C$19),0)</f>
        <v>0</v>
      </c>
      <c r="AI195" s="151" t="n">
        <f aca="false">IF(ISNUMBER(B195),E195*(1-F195)*((L195&gt;=O195)*'13_Mapa_Liq'!$C$15+(L195&gt;=S195)*'13_Mapa_Liq'!$C$16+(L195&gt;=W195)*'13_Mapa_Liq'!$C$17+(L195&gt;=AA195)*'13_Mapa_Liq'!$C$18+(L195&gt;=AE195)*'13_Mapa_Liq'!$C$19),0)</f>
        <v>0</v>
      </c>
    </row>
    <row r="196" customFormat="false" ht="15" hidden="false" customHeight="false" outlineLevel="0" collapsed="false">
      <c r="A196" s="151" t="str">
        <f aca="false">IF(ISNUMBER('12_Datos_5m'!F196),ROW()-4,"")</f>
        <v/>
      </c>
      <c r="B196" s="151" t="str">
        <f aca="false">IF(ISNUMBER('12_Datos_5m'!F196),'12_Datos_5m'!F196,"")</f>
        <v/>
      </c>
      <c r="C196" s="151" t="str">
        <f aca="false">IF(ISNUMBER('12_Datos_5m'!A196),'12_Datos_5m'!A196,"")</f>
        <v/>
      </c>
      <c r="D196" s="151" t="n">
        <f aca="false">IF(AND(ISNUMBER('12_Datos_5m'!I196),ISNUMBER('12_Datos_5m'!I195)),'12_Datos_5m'!I196-'12_Datos_5m'!I195,0)</f>
        <v>0</v>
      </c>
      <c r="E196" s="151" t="n">
        <f aca="false">MAX(0,D196)</f>
        <v>0</v>
      </c>
      <c r="F196" s="151" t="n">
        <f aca="false">IF(AND(ISNUMBER('12_Datos_5m'!G196),N('12_Datos_5m'!G196)&gt;0),'12_Datos_5m'!H196/'12_Datos_5m'!G196,0.5)</f>
        <v>0.5</v>
      </c>
      <c r="G196" s="151" t="n">
        <f aca="false">IF(ISNUMBER(C196),($C$2-C196)/3600000,0)</f>
        <v>0</v>
      </c>
      <c r="H196" s="151" t="n">
        <f aca="false">EXP(-G196/'13_Mapa_Liq'!$B$7)</f>
        <v>1</v>
      </c>
      <c r="I196" s="151" t="n">
        <f aca="false">E196*F196*H196</f>
        <v>0</v>
      </c>
      <c r="J196" s="151" t="n">
        <f aca="false">E196*(1-F196)*H196</f>
        <v>0</v>
      </c>
      <c r="K196" s="151" t="n">
        <f aca="false">IF(COUNT('12_Datos_5m'!E197:E$504)=0,1000000000000,MIN('12_Datos_5m'!E197:E$504))</f>
        <v>1000000000000</v>
      </c>
      <c r="L196" s="151" t="n">
        <f aca="false">IF(COUNT('12_Datos_5m'!D197:D$504)=0,0,MAX('12_Datos_5m'!D197:D$504))</f>
        <v>0</v>
      </c>
      <c r="M196" s="151" t="str">
        <f aca="false">IF(ISNUMBER(B196),B196*(1-1/'13_Mapa_Liq'!$B$15+'13_Mapa_Liq'!$B$6),"")</f>
        <v/>
      </c>
      <c r="N196" s="151" t="n">
        <f aca="false">IF(ISNUMBER(B196),IF(K196&gt;M196,I196*'13_Mapa_Liq'!$C$15,0),0)</f>
        <v>0</v>
      </c>
      <c r="O196" s="151" t="str">
        <f aca="false">IF(ISNUMBER(B196),B196*(1+1/'13_Mapa_Liq'!$B$15-'13_Mapa_Liq'!$B$6),"")</f>
        <v/>
      </c>
      <c r="P196" s="151" t="n">
        <f aca="false">IF(ISNUMBER(B196),IF(L196&lt;O196,J196*'13_Mapa_Liq'!$C$15,0),0)</f>
        <v>0</v>
      </c>
      <c r="Q196" s="151" t="str">
        <f aca="false">IF(ISNUMBER(B196),B196*(1-1/'13_Mapa_Liq'!$B$16+'13_Mapa_Liq'!$B$6),"")</f>
        <v/>
      </c>
      <c r="R196" s="151" t="n">
        <f aca="false">IF(ISNUMBER(B196),IF(K196&gt;Q196,I196*'13_Mapa_Liq'!$C$16,0),0)</f>
        <v>0</v>
      </c>
      <c r="S196" s="151" t="str">
        <f aca="false">IF(ISNUMBER(B196),B196*(1+1/'13_Mapa_Liq'!$B$16-'13_Mapa_Liq'!$B$6),"")</f>
        <v/>
      </c>
      <c r="T196" s="151" t="n">
        <f aca="false">IF(ISNUMBER(B196),IF(L196&lt;S196,J196*'13_Mapa_Liq'!$C$16,0),0)</f>
        <v>0</v>
      </c>
      <c r="U196" s="151" t="str">
        <f aca="false">IF(ISNUMBER(B196),B196*(1-1/'13_Mapa_Liq'!$B$17+'13_Mapa_Liq'!$B$6),"")</f>
        <v/>
      </c>
      <c r="V196" s="151" t="n">
        <f aca="false">IF(ISNUMBER(B196),IF(K196&gt;U196,I196*'13_Mapa_Liq'!$C$17,0),0)</f>
        <v>0</v>
      </c>
      <c r="W196" s="151" t="str">
        <f aca="false">IF(ISNUMBER(B196),B196*(1+1/'13_Mapa_Liq'!$B$17-'13_Mapa_Liq'!$B$6),"")</f>
        <v/>
      </c>
      <c r="X196" s="151" t="n">
        <f aca="false">IF(ISNUMBER(B196),IF(L196&lt;W196,J196*'13_Mapa_Liq'!$C$17,0),0)</f>
        <v>0</v>
      </c>
      <c r="Y196" s="151" t="str">
        <f aca="false">IF(ISNUMBER(B196),B196*(1-1/'13_Mapa_Liq'!$B$18+'13_Mapa_Liq'!$B$6),"")</f>
        <v/>
      </c>
      <c r="Z196" s="151" t="n">
        <f aca="false">IF(ISNUMBER(B196),IF(K196&gt;Y196,I196*'13_Mapa_Liq'!$C$18,0),0)</f>
        <v>0</v>
      </c>
      <c r="AA196" s="151" t="str">
        <f aca="false">IF(ISNUMBER(B196),B196*(1+1/'13_Mapa_Liq'!$B$18-'13_Mapa_Liq'!$B$6),"")</f>
        <v/>
      </c>
      <c r="AB196" s="151" t="n">
        <f aca="false">IF(ISNUMBER(B196),IF(L196&lt;AA196,J196*'13_Mapa_Liq'!$C$18,0),0)</f>
        <v>0</v>
      </c>
      <c r="AC196" s="151" t="str">
        <f aca="false">IF(ISNUMBER(B196),B196*(1-1/'13_Mapa_Liq'!$B$19+'13_Mapa_Liq'!$B$6),"")</f>
        <v/>
      </c>
      <c r="AD196" s="151" t="n">
        <f aca="false">IF(ISNUMBER(B196),IF(K196&gt;AC196,I196*'13_Mapa_Liq'!$C$19,0),0)</f>
        <v>0</v>
      </c>
      <c r="AE196" s="151" t="str">
        <f aca="false">IF(ISNUMBER(B196),B196*(1+1/'13_Mapa_Liq'!$B$19-'13_Mapa_Liq'!$B$6),"")</f>
        <v/>
      </c>
      <c r="AF196" s="151" t="n">
        <f aca="false">IF(ISNUMBER(B196),IF(L196&lt;AE196,J196*'13_Mapa_Liq'!$C$19,0),0)</f>
        <v>0</v>
      </c>
      <c r="AG196" s="151"/>
      <c r="AH196" s="151" t="n">
        <f aca="false">IF(ISNUMBER(B196),E196*F196*((K196&lt;=M196)*'13_Mapa_Liq'!$C$15+(K196&lt;=Q196)*'13_Mapa_Liq'!$C$16+(K196&lt;=U196)*'13_Mapa_Liq'!$C$17+(K196&lt;=Y196)*'13_Mapa_Liq'!$C$18+(K196&lt;=AC196)*'13_Mapa_Liq'!$C$19),0)</f>
        <v>0</v>
      </c>
      <c r="AI196" s="151" t="n">
        <f aca="false">IF(ISNUMBER(B196),E196*(1-F196)*((L196&gt;=O196)*'13_Mapa_Liq'!$C$15+(L196&gt;=S196)*'13_Mapa_Liq'!$C$16+(L196&gt;=W196)*'13_Mapa_Liq'!$C$17+(L196&gt;=AA196)*'13_Mapa_Liq'!$C$18+(L196&gt;=AE196)*'13_Mapa_Liq'!$C$19),0)</f>
        <v>0</v>
      </c>
    </row>
    <row r="197" customFormat="false" ht="15" hidden="false" customHeight="false" outlineLevel="0" collapsed="false">
      <c r="A197" s="151" t="str">
        <f aca="false">IF(ISNUMBER('12_Datos_5m'!F197),ROW()-4,"")</f>
        <v/>
      </c>
      <c r="B197" s="151" t="str">
        <f aca="false">IF(ISNUMBER('12_Datos_5m'!F197),'12_Datos_5m'!F197,"")</f>
        <v/>
      </c>
      <c r="C197" s="151" t="str">
        <f aca="false">IF(ISNUMBER('12_Datos_5m'!A197),'12_Datos_5m'!A197,"")</f>
        <v/>
      </c>
      <c r="D197" s="151" t="n">
        <f aca="false">IF(AND(ISNUMBER('12_Datos_5m'!I197),ISNUMBER('12_Datos_5m'!I196)),'12_Datos_5m'!I197-'12_Datos_5m'!I196,0)</f>
        <v>0</v>
      </c>
      <c r="E197" s="151" t="n">
        <f aca="false">MAX(0,D197)</f>
        <v>0</v>
      </c>
      <c r="F197" s="151" t="n">
        <f aca="false">IF(AND(ISNUMBER('12_Datos_5m'!G197),N('12_Datos_5m'!G197)&gt;0),'12_Datos_5m'!H197/'12_Datos_5m'!G197,0.5)</f>
        <v>0.5</v>
      </c>
      <c r="G197" s="151" t="n">
        <f aca="false">IF(ISNUMBER(C197),($C$2-C197)/3600000,0)</f>
        <v>0</v>
      </c>
      <c r="H197" s="151" t="n">
        <f aca="false">EXP(-G197/'13_Mapa_Liq'!$B$7)</f>
        <v>1</v>
      </c>
      <c r="I197" s="151" t="n">
        <f aca="false">E197*F197*H197</f>
        <v>0</v>
      </c>
      <c r="J197" s="151" t="n">
        <f aca="false">E197*(1-F197)*H197</f>
        <v>0</v>
      </c>
      <c r="K197" s="151" t="n">
        <f aca="false">IF(COUNT('12_Datos_5m'!E198:E$504)=0,1000000000000,MIN('12_Datos_5m'!E198:E$504))</f>
        <v>1000000000000</v>
      </c>
      <c r="L197" s="151" t="n">
        <f aca="false">IF(COUNT('12_Datos_5m'!D198:D$504)=0,0,MAX('12_Datos_5m'!D198:D$504))</f>
        <v>0</v>
      </c>
      <c r="M197" s="151" t="str">
        <f aca="false">IF(ISNUMBER(B197),B197*(1-1/'13_Mapa_Liq'!$B$15+'13_Mapa_Liq'!$B$6),"")</f>
        <v/>
      </c>
      <c r="N197" s="151" t="n">
        <f aca="false">IF(ISNUMBER(B197),IF(K197&gt;M197,I197*'13_Mapa_Liq'!$C$15,0),0)</f>
        <v>0</v>
      </c>
      <c r="O197" s="151" t="str">
        <f aca="false">IF(ISNUMBER(B197),B197*(1+1/'13_Mapa_Liq'!$B$15-'13_Mapa_Liq'!$B$6),"")</f>
        <v/>
      </c>
      <c r="P197" s="151" t="n">
        <f aca="false">IF(ISNUMBER(B197),IF(L197&lt;O197,J197*'13_Mapa_Liq'!$C$15,0),0)</f>
        <v>0</v>
      </c>
      <c r="Q197" s="151" t="str">
        <f aca="false">IF(ISNUMBER(B197),B197*(1-1/'13_Mapa_Liq'!$B$16+'13_Mapa_Liq'!$B$6),"")</f>
        <v/>
      </c>
      <c r="R197" s="151" t="n">
        <f aca="false">IF(ISNUMBER(B197),IF(K197&gt;Q197,I197*'13_Mapa_Liq'!$C$16,0),0)</f>
        <v>0</v>
      </c>
      <c r="S197" s="151" t="str">
        <f aca="false">IF(ISNUMBER(B197),B197*(1+1/'13_Mapa_Liq'!$B$16-'13_Mapa_Liq'!$B$6),"")</f>
        <v/>
      </c>
      <c r="T197" s="151" t="n">
        <f aca="false">IF(ISNUMBER(B197),IF(L197&lt;S197,J197*'13_Mapa_Liq'!$C$16,0),0)</f>
        <v>0</v>
      </c>
      <c r="U197" s="151" t="str">
        <f aca="false">IF(ISNUMBER(B197),B197*(1-1/'13_Mapa_Liq'!$B$17+'13_Mapa_Liq'!$B$6),"")</f>
        <v/>
      </c>
      <c r="V197" s="151" t="n">
        <f aca="false">IF(ISNUMBER(B197),IF(K197&gt;U197,I197*'13_Mapa_Liq'!$C$17,0),0)</f>
        <v>0</v>
      </c>
      <c r="W197" s="151" t="str">
        <f aca="false">IF(ISNUMBER(B197),B197*(1+1/'13_Mapa_Liq'!$B$17-'13_Mapa_Liq'!$B$6),"")</f>
        <v/>
      </c>
      <c r="X197" s="151" t="n">
        <f aca="false">IF(ISNUMBER(B197),IF(L197&lt;W197,J197*'13_Mapa_Liq'!$C$17,0),0)</f>
        <v>0</v>
      </c>
      <c r="Y197" s="151" t="str">
        <f aca="false">IF(ISNUMBER(B197),B197*(1-1/'13_Mapa_Liq'!$B$18+'13_Mapa_Liq'!$B$6),"")</f>
        <v/>
      </c>
      <c r="Z197" s="151" t="n">
        <f aca="false">IF(ISNUMBER(B197),IF(K197&gt;Y197,I197*'13_Mapa_Liq'!$C$18,0),0)</f>
        <v>0</v>
      </c>
      <c r="AA197" s="151" t="str">
        <f aca="false">IF(ISNUMBER(B197),B197*(1+1/'13_Mapa_Liq'!$B$18-'13_Mapa_Liq'!$B$6),"")</f>
        <v/>
      </c>
      <c r="AB197" s="151" t="n">
        <f aca="false">IF(ISNUMBER(B197),IF(L197&lt;AA197,J197*'13_Mapa_Liq'!$C$18,0),0)</f>
        <v>0</v>
      </c>
      <c r="AC197" s="151" t="str">
        <f aca="false">IF(ISNUMBER(B197),B197*(1-1/'13_Mapa_Liq'!$B$19+'13_Mapa_Liq'!$B$6),"")</f>
        <v/>
      </c>
      <c r="AD197" s="151" t="n">
        <f aca="false">IF(ISNUMBER(B197),IF(K197&gt;AC197,I197*'13_Mapa_Liq'!$C$19,0),0)</f>
        <v>0</v>
      </c>
      <c r="AE197" s="151" t="str">
        <f aca="false">IF(ISNUMBER(B197),B197*(1+1/'13_Mapa_Liq'!$B$19-'13_Mapa_Liq'!$B$6),"")</f>
        <v/>
      </c>
      <c r="AF197" s="151" t="n">
        <f aca="false">IF(ISNUMBER(B197),IF(L197&lt;AE197,J197*'13_Mapa_Liq'!$C$19,0),0)</f>
        <v>0</v>
      </c>
      <c r="AG197" s="151"/>
      <c r="AH197" s="151" t="n">
        <f aca="false">IF(ISNUMBER(B197),E197*F197*((K197&lt;=M197)*'13_Mapa_Liq'!$C$15+(K197&lt;=Q197)*'13_Mapa_Liq'!$C$16+(K197&lt;=U197)*'13_Mapa_Liq'!$C$17+(K197&lt;=Y197)*'13_Mapa_Liq'!$C$18+(K197&lt;=AC197)*'13_Mapa_Liq'!$C$19),0)</f>
        <v>0</v>
      </c>
      <c r="AI197" s="151" t="n">
        <f aca="false">IF(ISNUMBER(B197),E197*(1-F197)*((L197&gt;=O197)*'13_Mapa_Liq'!$C$15+(L197&gt;=S197)*'13_Mapa_Liq'!$C$16+(L197&gt;=W197)*'13_Mapa_Liq'!$C$17+(L197&gt;=AA197)*'13_Mapa_Liq'!$C$18+(L197&gt;=AE197)*'13_Mapa_Liq'!$C$19),0)</f>
        <v>0</v>
      </c>
    </row>
    <row r="198" customFormat="false" ht="15" hidden="false" customHeight="false" outlineLevel="0" collapsed="false">
      <c r="A198" s="151" t="str">
        <f aca="false">IF(ISNUMBER('12_Datos_5m'!F198),ROW()-4,"")</f>
        <v/>
      </c>
      <c r="B198" s="151" t="str">
        <f aca="false">IF(ISNUMBER('12_Datos_5m'!F198),'12_Datos_5m'!F198,"")</f>
        <v/>
      </c>
      <c r="C198" s="151" t="str">
        <f aca="false">IF(ISNUMBER('12_Datos_5m'!A198),'12_Datos_5m'!A198,"")</f>
        <v/>
      </c>
      <c r="D198" s="151" t="n">
        <f aca="false">IF(AND(ISNUMBER('12_Datos_5m'!I198),ISNUMBER('12_Datos_5m'!I197)),'12_Datos_5m'!I198-'12_Datos_5m'!I197,0)</f>
        <v>0</v>
      </c>
      <c r="E198" s="151" t="n">
        <f aca="false">MAX(0,D198)</f>
        <v>0</v>
      </c>
      <c r="F198" s="151" t="n">
        <f aca="false">IF(AND(ISNUMBER('12_Datos_5m'!G198),N('12_Datos_5m'!G198)&gt;0),'12_Datos_5m'!H198/'12_Datos_5m'!G198,0.5)</f>
        <v>0.5</v>
      </c>
      <c r="G198" s="151" t="n">
        <f aca="false">IF(ISNUMBER(C198),($C$2-C198)/3600000,0)</f>
        <v>0</v>
      </c>
      <c r="H198" s="151" t="n">
        <f aca="false">EXP(-G198/'13_Mapa_Liq'!$B$7)</f>
        <v>1</v>
      </c>
      <c r="I198" s="151" t="n">
        <f aca="false">E198*F198*H198</f>
        <v>0</v>
      </c>
      <c r="J198" s="151" t="n">
        <f aca="false">E198*(1-F198)*H198</f>
        <v>0</v>
      </c>
      <c r="K198" s="151" t="n">
        <f aca="false">IF(COUNT('12_Datos_5m'!E199:E$504)=0,1000000000000,MIN('12_Datos_5m'!E199:E$504))</f>
        <v>1000000000000</v>
      </c>
      <c r="L198" s="151" t="n">
        <f aca="false">IF(COUNT('12_Datos_5m'!D199:D$504)=0,0,MAX('12_Datos_5m'!D199:D$504))</f>
        <v>0</v>
      </c>
      <c r="M198" s="151" t="str">
        <f aca="false">IF(ISNUMBER(B198),B198*(1-1/'13_Mapa_Liq'!$B$15+'13_Mapa_Liq'!$B$6),"")</f>
        <v/>
      </c>
      <c r="N198" s="151" t="n">
        <f aca="false">IF(ISNUMBER(B198),IF(K198&gt;M198,I198*'13_Mapa_Liq'!$C$15,0),0)</f>
        <v>0</v>
      </c>
      <c r="O198" s="151" t="str">
        <f aca="false">IF(ISNUMBER(B198),B198*(1+1/'13_Mapa_Liq'!$B$15-'13_Mapa_Liq'!$B$6),"")</f>
        <v/>
      </c>
      <c r="P198" s="151" t="n">
        <f aca="false">IF(ISNUMBER(B198),IF(L198&lt;O198,J198*'13_Mapa_Liq'!$C$15,0),0)</f>
        <v>0</v>
      </c>
      <c r="Q198" s="151" t="str">
        <f aca="false">IF(ISNUMBER(B198),B198*(1-1/'13_Mapa_Liq'!$B$16+'13_Mapa_Liq'!$B$6),"")</f>
        <v/>
      </c>
      <c r="R198" s="151" t="n">
        <f aca="false">IF(ISNUMBER(B198),IF(K198&gt;Q198,I198*'13_Mapa_Liq'!$C$16,0),0)</f>
        <v>0</v>
      </c>
      <c r="S198" s="151" t="str">
        <f aca="false">IF(ISNUMBER(B198),B198*(1+1/'13_Mapa_Liq'!$B$16-'13_Mapa_Liq'!$B$6),"")</f>
        <v/>
      </c>
      <c r="T198" s="151" t="n">
        <f aca="false">IF(ISNUMBER(B198),IF(L198&lt;S198,J198*'13_Mapa_Liq'!$C$16,0),0)</f>
        <v>0</v>
      </c>
      <c r="U198" s="151" t="str">
        <f aca="false">IF(ISNUMBER(B198),B198*(1-1/'13_Mapa_Liq'!$B$17+'13_Mapa_Liq'!$B$6),"")</f>
        <v/>
      </c>
      <c r="V198" s="151" t="n">
        <f aca="false">IF(ISNUMBER(B198),IF(K198&gt;U198,I198*'13_Mapa_Liq'!$C$17,0),0)</f>
        <v>0</v>
      </c>
      <c r="W198" s="151" t="str">
        <f aca="false">IF(ISNUMBER(B198),B198*(1+1/'13_Mapa_Liq'!$B$17-'13_Mapa_Liq'!$B$6),"")</f>
        <v/>
      </c>
      <c r="X198" s="151" t="n">
        <f aca="false">IF(ISNUMBER(B198),IF(L198&lt;W198,J198*'13_Mapa_Liq'!$C$17,0),0)</f>
        <v>0</v>
      </c>
      <c r="Y198" s="151" t="str">
        <f aca="false">IF(ISNUMBER(B198),B198*(1-1/'13_Mapa_Liq'!$B$18+'13_Mapa_Liq'!$B$6),"")</f>
        <v/>
      </c>
      <c r="Z198" s="151" t="n">
        <f aca="false">IF(ISNUMBER(B198),IF(K198&gt;Y198,I198*'13_Mapa_Liq'!$C$18,0),0)</f>
        <v>0</v>
      </c>
      <c r="AA198" s="151" t="str">
        <f aca="false">IF(ISNUMBER(B198),B198*(1+1/'13_Mapa_Liq'!$B$18-'13_Mapa_Liq'!$B$6),"")</f>
        <v/>
      </c>
      <c r="AB198" s="151" t="n">
        <f aca="false">IF(ISNUMBER(B198),IF(L198&lt;AA198,J198*'13_Mapa_Liq'!$C$18,0),0)</f>
        <v>0</v>
      </c>
      <c r="AC198" s="151" t="str">
        <f aca="false">IF(ISNUMBER(B198),B198*(1-1/'13_Mapa_Liq'!$B$19+'13_Mapa_Liq'!$B$6),"")</f>
        <v/>
      </c>
      <c r="AD198" s="151" t="n">
        <f aca="false">IF(ISNUMBER(B198),IF(K198&gt;AC198,I198*'13_Mapa_Liq'!$C$19,0),0)</f>
        <v>0</v>
      </c>
      <c r="AE198" s="151" t="str">
        <f aca="false">IF(ISNUMBER(B198),B198*(1+1/'13_Mapa_Liq'!$B$19-'13_Mapa_Liq'!$B$6),"")</f>
        <v/>
      </c>
      <c r="AF198" s="151" t="n">
        <f aca="false">IF(ISNUMBER(B198),IF(L198&lt;AE198,J198*'13_Mapa_Liq'!$C$19,0),0)</f>
        <v>0</v>
      </c>
      <c r="AG198" s="151"/>
      <c r="AH198" s="151" t="n">
        <f aca="false">IF(ISNUMBER(B198),E198*F198*((K198&lt;=M198)*'13_Mapa_Liq'!$C$15+(K198&lt;=Q198)*'13_Mapa_Liq'!$C$16+(K198&lt;=U198)*'13_Mapa_Liq'!$C$17+(K198&lt;=Y198)*'13_Mapa_Liq'!$C$18+(K198&lt;=AC198)*'13_Mapa_Liq'!$C$19),0)</f>
        <v>0</v>
      </c>
      <c r="AI198" s="151" t="n">
        <f aca="false">IF(ISNUMBER(B198),E198*(1-F198)*((L198&gt;=O198)*'13_Mapa_Liq'!$C$15+(L198&gt;=S198)*'13_Mapa_Liq'!$C$16+(L198&gt;=W198)*'13_Mapa_Liq'!$C$17+(L198&gt;=AA198)*'13_Mapa_Liq'!$C$18+(L198&gt;=AE198)*'13_Mapa_Liq'!$C$19),0)</f>
        <v>0</v>
      </c>
    </row>
    <row r="199" customFormat="false" ht="15" hidden="false" customHeight="false" outlineLevel="0" collapsed="false">
      <c r="A199" s="151" t="str">
        <f aca="false">IF(ISNUMBER('12_Datos_5m'!F199),ROW()-4,"")</f>
        <v/>
      </c>
      <c r="B199" s="151" t="str">
        <f aca="false">IF(ISNUMBER('12_Datos_5m'!F199),'12_Datos_5m'!F199,"")</f>
        <v/>
      </c>
      <c r="C199" s="151" t="str">
        <f aca="false">IF(ISNUMBER('12_Datos_5m'!A199),'12_Datos_5m'!A199,"")</f>
        <v/>
      </c>
      <c r="D199" s="151" t="n">
        <f aca="false">IF(AND(ISNUMBER('12_Datos_5m'!I199),ISNUMBER('12_Datos_5m'!I198)),'12_Datos_5m'!I199-'12_Datos_5m'!I198,0)</f>
        <v>0</v>
      </c>
      <c r="E199" s="151" t="n">
        <f aca="false">MAX(0,D199)</f>
        <v>0</v>
      </c>
      <c r="F199" s="151" t="n">
        <f aca="false">IF(AND(ISNUMBER('12_Datos_5m'!G199),N('12_Datos_5m'!G199)&gt;0),'12_Datos_5m'!H199/'12_Datos_5m'!G199,0.5)</f>
        <v>0.5</v>
      </c>
      <c r="G199" s="151" t="n">
        <f aca="false">IF(ISNUMBER(C199),($C$2-C199)/3600000,0)</f>
        <v>0</v>
      </c>
      <c r="H199" s="151" t="n">
        <f aca="false">EXP(-G199/'13_Mapa_Liq'!$B$7)</f>
        <v>1</v>
      </c>
      <c r="I199" s="151" t="n">
        <f aca="false">E199*F199*H199</f>
        <v>0</v>
      </c>
      <c r="J199" s="151" t="n">
        <f aca="false">E199*(1-F199)*H199</f>
        <v>0</v>
      </c>
      <c r="K199" s="151" t="n">
        <f aca="false">IF(COUNT('12_Datos_5m'!E200:E$504)=0,1000000000000,MIN('12_Datos_5m'!E200:E$504))</f>
        <v>1000000000000</v>
      </c>
      <c r="L199" s="151" t="n">
        <f aca="false">IF(COUNT('12_Datos_5m'!D200:D$504)=0,0,MAX('12_Datos_5m'!D200:D$504))</f>
        <v>0</v>
      </c>
      <c r="M199" s="151" t="str">
        <f aca="false">IF(ISNUMBER(B199),B199*(1-1/'13_Mapa_Liq'!$B$15+'13_Mapa_Liq'!$B$6),"")</f>
        <v/>
      </c>
      <c r="N199" s="151" t="n">
        <f aca="false">IF(ISNUMBER(B199),IF(K199&gt;M199,I199*'13_Mapa_Liq'!$C$15,0),0)</f>
        <v>0</v>
      </c>
      <c r="O199" s="151" t="str">
        <f aca="false">IF(ISNUMBER(B199),B199*(1+1/'13_Mapa_Liq'!$B$15-'13_Mapa_Liq'!$B$6),"")</f>
        <v/>
      </c>
      <c r="P199" s="151" t="n">
        <f aca="false">IF(ISNUMBER(B199),IF(L199&lt;O199,J199*'13_Mapa_Liq'!$C$15,0),0)</f>
        <v>0</v>
      </c>
      <c r="Q199" s="151" t="str">
        <f aca="false">IF(ISNUMBER(B199),B199*(1-1/'13_Mapa_Liq'!$B$16+'13_Mapa_Liq'!$B$6),"")</f>
        <v/>
      </c>
      <c r="R199" s="151" t="n">
        <f aca="false">IF(ISNUMBER(B199),IF(K199&gt;Q199,I199*'13_Mapa_Liq'!$C$16,0),0)</f>
        <v>0</v>
      </c>
      <c r="S199" s="151" t="str">
        <f aca="false">IF(ISNUMBER(B199),B199*(1+1/'13_Mapa_Liq'!$B$16-'13_Mapa_Liq'!$B$6),"")</f>
        <v/>
      </c>
      <c r="T199" s="151" t="n">
        <f aca="false">IF(ISNUMBER(B199),IF(L199&lt;S199,J199*'13_Mapa_Liq'!$C$16,0),0)</f>
        <v>0</v>
      </c>
      <c r="U199" s="151" t="str">
        <f aca="false">IF(ISNUMBER(B199),B199*(1-1/'13_Mapa_Liq'!$B$17+'13_Mapa_Liq'!$B$6),"")</f>
        <v/>
      </c>
      <c r="V199" s="151" t="n">
        <f aca="false">IF(ISNUMBER(B199),IF(K199&gt;U199,I199*'13_Mapa_Liq'!$C$17,0),0)</f>
        <v>0</v>
      </c>
      <c r="W199" s="151" t="str">
        <f aca="false">IF(ISNUMBER(B199),B199*(1+1/'13_Mapa_Liq'!$B$17-'13_Mapa_Liq'!$B$6),"")</f>
        <v/>
      </c>
      <c r="X199" s="151" t="n">
        <f aca="false">IF(ISNUMBER(B199),IF(L199&lt;W199,J199*'13_Mapa_Liq'!$C$17,0),0)</f>
        <v>0</v>
      </c>
      <c r="Y199" s="151" t="str">
        <f aca="false">IF(ISNUMBER(B199),B199*(1-1/'13_Mapa_Liq'!$B$18+'13_Mapa_Liq'!$B$6),"")</f>
        <v/>
      </c>
      <c r="Z199" s="151" t="n">
        <f aca="false">IF(ISNUMBER(B199),IF(K199&gt;Y199,I199*'13_Mapa_Liq'!$C$18,0),0)</f>
        <v>0</v>
      </c>
      <c r="AA199" s="151" t="str">
        <f aca="false">IF(ISNUMBER(B199),B199*(1+1/'13_Mapa_Liq'!$B$18-'13_Mapa_Liq'!$B$6),"")</f>
        <v/>
      </c>
      <c r="AB199" s="151" t="n">
        <f aca="false">IF(ISNUMBER(B199),IF(L199&lt;AA199,J199*'13_Mapa_Liq'!$C$18,0),0)</f>
        <v>0</v>
      </c>
      <c r="AC199" s="151" t="str">
        <f aca="false">IF(ISNUMBER(B199),B199*(1-1/'13_Mapa_Liq'!$B$19+'13_Mapa_Liq'!$B$6),"")</f>
        <v/>
      </c>
      <c r="AD199" s="151" t="n">
        <f aca="false">IF(ISNUMBER(B199),IF(K199&gt;AC199,I199*'13_Mapa_Liq'!$C$19,0),0)</f>
        <v>0</v>
      </c>
      <c r="AE199" s="151" t="str">
        <f aca="false">IF(ISNUMBER(B199),B199*(1+1/'13_Mapa_Liq'!$B$19-'13_Mapa_Liq'!$B$6),"")</f>
        <v/>
      </c>
      <c r="AF199" s="151" t="n">
        <f aca="false">IF(ISNUMBER(B199),IF(L199&lt;AE199,J199*'13_Mapa_Liq'!$C$19,0),0)</f>
        <v>0</v>
      </c>
      <c r="AG199" s="151"/>
      <c r="AH199" s="151" t="n">
        <f aca="false">IF(ISNUMBER(B199),E199*F199*((K199&lt;=M199)*'13_Mapa_Liq'!$C$15+(K199&lt;=Q199)*'13_Mapa_Liq'!$C$16+(K199&lt;=U199)*'13_Mapa_Liq'!$C$17+(K199&lt;=Y199)*'13_Mapa_Liq'!$C$18+(K199&lt;=AC199)*'13_Mapa_Liq'!$C$19),0)</f>
        <v>0</v>
      </c>
      <c r="AI199" s="151" t="n">
        <f aca="false">IF(ISNUMBER(B199),E199*(1-F199)*((L199&gt;=O199)*'13_Mapa_Liq'!$C$15+(L199&gt;=S199)*'13_Mapa_Liq'!$C$16+(L199&gt;=W199)*'13_Mapa_Liq'!$C$17+(L199&gt;=AA199)*'13_Mapa_Liq'!$C$18+(L199&gt;=AE199)*'13_Mapa_Liq'!$C$19),0)</f>
        <v>0</v>
      </c>
    </row>
    <row r="200" customFormat="false" ht="15" hidden="false" customHeight="false" outlineLevel="0" collapsed="false">
      <c r="A200" s="151" t="str">
        <f aca="false">IF(ISNUMBER('12_Datos_5m'!F200),ROW()-4,"")</f>
        <v/>
      </c>
      <c r="B200" s="151" t="str">
        <f aca="false">IF(ISNUMBER('12_Datos_5m'!F200),'12_Datos_5m'!F200,"")</f>
        <v/>
      </c>
      <c r="C200" s="151" t="str">
        <f aca="false">IF(ISNUMBER('12_Datos_5m'!A200),'12_Datos_5m'!A200,"")</f>
        <v/>
      </c>
      <c r="D200" s="151" t="n">
        <f aca="false">IF(AND(ISNUMBER('12_Datos_5m'!I200),ISNUMBER('12_Datos_5m'!I199)),'12_Datos_5m'!I200-'12_Datos_5m'!I199,0)</f>
        <v>0</v>
      </c>
      <c r="E200" s="151" t="n">
        <f aca="false">MAX(0,D200)</f>
        <v>0</v>
      </c>
      <c r="F200" s="151" t="n">
        <f aca="false">IF(AND(ISNUMBER('12_Datos_5m'!G200),N('12_Datos_5m'!G200)&gt;0),'12_Datos_5m'!H200/'12_Datos_5m'!G200,0.5)</f>
        <v>0.5</v>
      </c>
      <c r="G200" s="151" t="n">
        <f aca="false">IF(ISNUMBER(C200),($C$2-C200)/3600000,0)</f>
        <v>0</v>
      </c>
      <c r="H200" s="151" t="n">
        <f aca="false">EXP(-G200/'13_Mapa_Liq'!$B$7)</f>
        <v>1</v>
      </c>
      <c r="I200" s="151" t="n">
        <f aca="false">E200*F200*H200</f>
        <v>0</v>
      </c>
      <c r="J200" s="151" t="n">
        <f aca="false">E200*(1-F200)*H200</f>
        <v>0</v>
      </c>
      <c r="K200" s="151" t="n">
        <f aca="false">IF(COUNT('12_Datos_5m'!E201:E$504)=0,1000000000000,MIN('12_Datos_5m'!E201:E$504))</f>
        <v>1000000000000</v>
      </c>
      <c r="L200" s="151" t="n">
        <f aca="false">IF(COUNT('12_Datos_5m'!D201:D$504)=0,0,MAX('12_Datos_5m'!D201:D$504))</f>
        <v>0</v>
      </c>
      <c r="M200" s="151" t="str">
        <f aca="false">IF(ISNUMBER(B200),B200*(1-1/'13_Mapa_Liq'!$B$15+'13_Mapa_Liq'!$B$6),"")</f>
        <v/>
      </c>
      <c r="N200" s="151" t="n">
        <f aca="false">IF(ISNUMBER(B200),IF(K200&gt;M200,I200*'13_Mapa_Liq'!$C$15,0),0)</f>
        <v>0</v>
      </c>
      <c r="O200" s="151" t="str">
        <f aca="false">IF(ISNUMBER(B200),B200*(1+1/'13_Mapa_Liq'!$B$15-'13_Mapa_Liq'!$B$6),"")</f>
        <v/>
      </c>
      <c r="P200" s="151" t="n">
        <f aca="false">IF(ISNUMBER(B200),IF(L200&lt;O200,J200*'13_Mapa_Liq'!$C$15,0),0)</f>
        <v>0</v>
      </c>
      <c r="Q200" s="151" t="str">
        <f aca="false">IF(ISNUMBER(B200),B200*(1-1/'13_Mapa_Liq'!$B$16+'13_Mapa_Liq'!$B$6),"")</f>
        <v/>
      </c>
      <c r="R200" s="151" t="n">
        <f aca="false">IF(ISNUMBER(B200),IF(K200&gt;Q200,I200*'13_Mapa_Liq'!$C$16,0),0)</f>
        <v>0</v>
      </c>
      <c r="S200" s="151" t="str">
        <f aca="false">IF(ISNUMBER(B200),B200*(1+1/'13_Mapa_Liq'!$B$16-'13_Mapa_Liq'!$B$6),"")</f>
        <v/>
      </c>
      <c r="T200" s="151" t="n">
        <f aca="false">IF(ISNUMBER(B200),IF(L200&lt;S200,J200*'13_Mapa_Liq'!$C$16,0),0)</f>
        <v>0</v>
      </c>
      <c r="U200" s="151" t="str">
        <f aca="false">IF(ISNUMBER(B200),B200*(1-1/'13_Mapa_Liq'!$B$17+'13_Mapa_Liq'!$B$6),"")</f>
        <v/>
      </c>
      <c r="V200" s="151" t="n">
        <f aca="false">IF(ISNUMBER(B200),IF(K200&gt;U200,I200*'13_Mapa_Liq'!$C$17,0),0)</f>
        <v>0</v>
      </c>
      <c r="W200" s="151" t="str">
        <f aca="false">IF(ISNUMBER(B200),B200*(1+1/'13_Mapa_Liq'!$B$17-'13_Mapa_Liq'!$B$6),"")</f>
        <v/>
      </c>
      <c r="X200" s="151" t="n">
        <f aca="false">IF(ISNUMBER(B200),IF(L200&lt;W200,J200*'13_Mapa_Liq'!$C$17,0),0)</f>
        <v>0</v>
      </c>
      <c r="Y200" s="151" t="str">
        <f aca="false">IF(ISNUMBER(B200),B200*(1-1/'13_Mapa_Liq'!$B$18+'13_Mapa_Liq'!$B$6),"")</f>
        <v/>
      </c>
      <c r="Z200" s="151" t="n">
        <f aca="false">IF(ISNUMBER(B200),IF(K200&gt;Y200,I200*'13_Mapa_Liq'!$C$18,0),0)</f>
        <v>0</v>
      </c>
      <c r="AA200" s="151" t="str">
        <f aca="false">IF(ISNUMBER(B200),B200*(1+1/'13_Mapa_Liq'!$B$18-'13_Mapa_Liq'!$B$6),"")</f>
        <v/>
      </c>
      <c r="AB200" s="151" t="n">
        <f aca="false">IF(ISNUMBER(B200),IF(L200&lt;AA200,J200*'13_Mapa_Liq'!$C$18,0),0)</f>
        <v>0</v>
      </c>
      <c r="AC200" s="151" t="str">
        <f aca="false">IF(ISNUMBER(B200),B200*(1-1/'13_Mapa_Liq'!$B$19+'13_Mapa_Liq'!$B$6),"")</f>
        <v/>
      </c>
      <c r="AD200" s="151" t="n">
        <f aca="false">IF(ISNUMBER(B200),IF(K200&gt;AC200,I200*'13_Mapa_Liq'!$C$19,0),0)</f>
        <v>0</v>
      </c>
      <c r="AE200" s="151" t="str">
        <f aca="false">IF(ISNUMBER(B200),B200*(1+1/'13_Mapa_Liq'!$B$19-'13_Mapa_Liq'!$B$6),"")</f>
        <v/>
      </c>
      <c r="AF200" s="151" t="n">
        <f aca="false">IF(ISNUMBER(B200),IF(L200&lt;AE200,J200*'13_Mapa_Liq'!$C$19,0),0)</f>
        <v>0</v>
      </c>
      <c r="AG200" s="151"/>
      <c r="AH200" s="151" t="n">
        <f aca="false">IF(ISNUMBER(B200),E200*F200*((K200&lt;=M200)*'13_Mapa_Liq'!$C$15+(K200&lt;=Q200)*'13_Mapa_Liq'!$C$16+(K200&lt;=U200)*'13_Mapa_Liq'!$C$17+(K200&lt;=Y200)*'13_Mapa_Liq'!$C$18+(K200&lt;=AC200)*'13_Mapa_Liq'!$C$19),0)</f>
        <v>0</v>
      </c>
      <c r="AI200" s="151" t="n">
        <f aca="false">IF(ISNUMBER(B200),E200*(1-F200)*((L200&gt;=O200)*'13_Mapa_Liq'!$C$15+(L200&gt;=S200)*'13_Mapa_Liq'!$C$16+(L200&gt;=W200)*'13_Mapa_Liq'!$C$17+(L200&gt;=AA200)*'13_Mapa_Liq'!$C$18+(L200&gt;=AE200)*'13_Mapa_Liq'!$C$19),0)</f>
        <v>0</v>
      </c>
    </row>
    <row r="201" customFormat="false" ht="15" hidden="false" customHeight="false" outlineLevel="0" collapsed="false">
      <c r="A201" s="151" t="str">
        <f aca="false">IF(ISNUMBER('12_Datos_5m'!F201),ROW()-4,"")</f>
        <v/>
      </c>
      <c r="B201" s="151" t="str">
        <f aca="false">IF(ISNUMBER('12_Datos_5m'!F201),'12_Datos_5m'!F201,"")</f>
        <v/>
      </c>
      <c r="C201" s="151" t="str">
        <f aca="false">IF(ISNUMBER('12_Datos_5m'!A201),'12_Datos_5m'!A201,"")</f>
        <v/>
      </c>
      <c r="D201" s="151" t="n">
        <f aca="false">IF(AND(ISNUMBER('12_Datos_5m'!I201),ISNUMBER('12_Datos_5m'!I200)),'12_Datos_5m'!I201-'12_Datos_5m'!I200,0)</f>
        <v>0</v>
      </c>
      <c r="E201" s="151" t="n">
        <f aca="false">MAX(0,D201)</f>
        <v>0</v>
      </c>
      <c r="F201" s="151" t="n">
        <f aca="false">IF(AND(ISNUMBER('12_Datos_5m'!G201),N('12_Datos_5m'!G201)&gt;0),'12_Datos_5m'!H201/'12_Datos_5m'!G201,0.5)</f>
        <v>0.5</v>
      </c>
      <c r="G201" s="151" t="n">
        <f aca="false">IF(ISNUMBER(C201),($C$2-C201)/3600000,0)</f>
        <v>0</v>
      </c>
      <c r="H201" s="151" t="n">
        <f aca="false">EXP(-G201/'13_Mapa_Liq'!$B$7)</f>
        <v>1</v>
      </c>
      <c r="I201" s="151" t="n">
        <f aca="false">E201*F201*H201</f>
        <v>0</v>
      </c>
      <c r="J201" s="151" t="n">
        <f aca="false">E201*(1-F201)*H201</f>
        <v>0</v>
      </c>
      <c r="K201" s="151" t="n">
        <f aca="false">IF(COUNT('12_Datos_5m'!E202:E$504)=0,1000000000000,MIN('12_Datos_5m'!E202:E$504))</f>
        <v>1000000000000</v>
      </c>
      <c r="L201" s="151" t="n">
        <f aca="false">IF(COUNT('12_Datos_5m'!D202:D$504)=0,0,MAX('12_Datos_5m'!D202:D$504))</f>
        <v>0</v>
      </c>
      <c r="M201" s="151" t="str">
        <f aca="false">IF(ISNUMBER(B201),B201*(1-1/'13_Mapa_Liq'!$B$15+'13_Mapa_Liq'!$B$6),"")</f>
        <v/>
      </c>
      <c r="N201" s="151" t="n">
        <f aca="false">IF(ISNUMBER(B201),IF(K201&gt;M201,I201*'13_Mapa_Liq'!$C$15,0),0)</f>
        <v>0</v>
      </c>
      <c r="O201" s="151" t="str">
        <f aca="false">IF(ISNUMBER(B201),B201*(1+1/'13_Mapa_Liq'!$B$15-'13_Mapa_Liq'!$B$6),"")</f>
        <v/>
      </c>
      <c r="P201" s="151" t="n">
        <f aca="false">IF(ISNUMBER(B201),IF(L201&lt;O201,J201*'13_Mapa_Liq'!$C$15,0),0)</f>
        <v>0</v>
      </c>
      <c r="Q201" s="151" t="str">
        <f aca="false">IF(ISNUMBER(B201),B201*(1-1/'13_Mapa_Liq'!$B$16+'13_Mapa_Liq'!$B$6),"")</f>
        <v/>
      </c>
      <c r="R201" s="151" t="n">
        <f aca="false">IF(ISNUMBER(B201),IF(K201&gt;Q201,I201*'13_Mapa_Liq'!$C$16,0),0)</f>
        <v>0</v>
      </c>
      <c r="S201" s="151" t="str">
        <f aca="false">IF(ISNUMBER(B201),B201*(1+1/'13_Mapa_Liq'!$B$16-'13_Mapa_Liq'!$B$6),"")</f>
        <v/>
      </c>
      <c r="T201" s="151" t="n">
        <f aca="false">IF(ISNUMBER(B201),IF(L201&lt;S201,J201*'13_Mapa_Liq'!$C$16,0),0)</f>
        <v>0</v>
      </c>
      <c r="U201" s="151" t="str">
        <f aca="false">IF(ISNUMBER(B201),B201*(1-1/'13_Mapa_Liq'!$B$17+'13_Mapa_Liq'!$B$6),"")</f>
        <v/>
      </c>
      <c r="V201" s="151" t="n">
        <f aca="false">IF(ISNUMBER(B201),IF(K201&gt;U201,I201*'13_Mapa_Liq'!$C$17,0),0)</f>
        <v>0</v>
      </c>
      <c r="W201" s="151" t="str">
        <f aca="false">IF(ISNUMBER(B201),B201*(1+1/'13_Mapa_Liq'!$B$17-'13_Mapa_Liq'!$B$6),"")</f>
        <v/>
      </c>
      <c r="X201" s="151" t="n">
        <f aca="false">IF(ISNUMBER(B201),IF(L201&lt;W201,J201*'13_Mapa_Liq'!$C$17,0),0)</f>
        <v>0</v>
      </c>
      <c r="Y201" s="151" t="str">
        <f aca="false">IF(ISNUMBER(B201),B201*(1-1/'13_Mapa_Liq'!$B$18+'13_Mapa_Liq'!$B$6),"")</f>
        <v/>
      </c>
      <c r="Z201" s="151" t="n">
        <f aca="false">IF(ISNUMBER(B201),IF(K201&gt;Y201,I201*'13_Mapa_Liq'!$C$18,0),0)</f>
        <v>0</v>
      </c>
      <c r="AA201" s="151" t="str">
        <f aca="false">IF(ISNUMBER(B201),B201*(1+1/'13_Mapa_Liq'!$B$18-'13_Mapa_Liq'!$B$6),"")</f>
        <v/>
      </c>
      <c r="AB201" s="151" t="n">
        <f aca="false">IF(ISNUMBER(B201),IF(L201&lt;AA201,J201*'13_Mapa_Liq'!$C$18,0),0)</f>
        <v>0</v>
      </c>
      <c r="AC201" s="151" t="str">
        <f aca="false">IF(ISNUMBER(B201),B201*(1-1/'13_Mapa_Liq'!$B$19+'13_Mapa_Liq'!$B$6),"")</f>
        <v/>
      </c>
      <c r="AD201" s="151" t="n">
        <f aca="false">IF(ISNUMBER(B201),IF(K201&gt;AC201,I201*'13_Mapa_Liq'!$C$19,0),0)</f>
        <v>0</v>
      </c>
      <c r="AE201" s="151" t="str">
        <f aca="false">IF(ISNUMBER(B201),B201*(1+1/'13_Mapa_Liq'!$B$19-'13_Mapa_Liq'!$B$6),"")</f>
        <v/>
      </c>
      <c r="AF201" s="151" t="n">
        <f aca="false">IF(ISNUMBER(B201),IF(L201&lt;AE201,J201*'13_Mapa_Liq'!$C$19,0),0)</f>
        <v>0</v>
      </c>
      <c r="AG201" s="151"/>
      <c r="AH201" s="151" t="n">
        <f aca="false">IF(ISNUMBER(B201),E201*F201*((K201&lt;=M201)*'13_Mapa_Liq'!$C$15+(K201&lt;=Q201)*'13_Mapa_Liq'!$C$16+(K201&lt;=U201)*'13_Mapa_Liq'!$C$17+(K201&lt;=Y201)*'13_Mapa_Liq'!$C$18+(K201&lt;=AC201)*'13_Mapa_Liq'!$C$19),0)</f>
        <v>0</v>
      </c>
      <c r="AI201" s="151" t="n">
        <f aca="false">IF(ISNUMBER(B201),E201*(1-F201)*((L201&gt;=O201)*'13_Mapa_Liq'!$C$15+(L201&gt;=S201)*'13_Mapa_Liq'!$C$16+(L201&gt;=W201)*'13_Mapa_Liq'!$C$17+(L201&gt;=AA201)*'13_Mapa_Liq'!$C$18+(L201&gt;=AE201)*'13_Mapa_Liq'!$C$19),0)</f>
        <v>0</v>
      </c>
    </row>
    <row r="202" customFormat="false" ht="15" hidden="false" customHeight="false" outlineLevel="0" collapsed="false">
      <c r="A202" s="151" t="str">
        <f aca="false">IF(ISNUMBER('12_Datos_5m'!F202),ROW()-4,"")</f>
        <v/>
      </c>
      <c r="B202" s="151" t="str">
        <f aca="false">IF(ISNUMBER('12_Datos_5m'!F202),'12_Datos_5m'!F202,"")</f>
        <v/>
      </c>
      <c r="C202" s="151" t="str">
        <f aca="false">IF(ISNUMBER('12_Datos_5m'!A202),'12_Datos_5m'!A202,"")</f>
        <v/>
      </c>
      <c r="D202" s="151" t="n">
        <f aca="false">IF(AND(ISNUMBER('12_Datos_5m'!I202),ISNUMBER('12_Datos_5m'!I201)),'12_Datos_5m'!I202-'12_Datos_5m'!I201,0)</f>
        <v>0</v>
      </c>
      <c r="E202" s="151" t="n">
        <f aca="false">MAX(0,D202)</f>
        <v>0</v>
      </c>
      <c r="F202" s="151" t="n">
        <f aca="false">IF(AND(ISNUMBER('12_Datos_5m'!G202),N('12_Datos_5m'!G202)&gt;0),'12_Datos_5m'!H202/'12_Datos_5m'!G202,0.5)</f>
        <v>0.5</v>
      </c>
      <c r="G202" s="151" t="n">
        <f aca="false">IF(ISNUMBER(C202),($C$2-C202)/3600000,0)</f>
        <v>0</v>
      </c>
      <c r="H202" s="151" t="n">
        <f aca="false">EXP(-G202/'13_Mapa_Liq'!$B$7)</f>
        <v>1</v>
      </c>
      <c r="I202" s="151" t="n">
        <f aca="false">E202*F202*H202</f>
        <v>0</v>
      </c>
      <c r="J202" s="151" t="n">
        <f aca="false">E202*(1-F202)*H202</f>
        <v>0</v>
      </c>
      <c r="K202" s="151" t="n">
        <f aca="false">IF(COUNT('12_Datos_5m'!E203:E$504)=0,1000000000000,MIN('12_Datos_5m'!E203:E$504))</f>
        <v>1000000000000</v>
      </c>
      <c r="L202" s="151" t="n">
        <f aca="false">IF(COUNT('12_Datos_5m'!D203:D$504)=0,0,MAX('12_Datos_5m'!D203:D$504))</f>
        <v>0</v>
      </c>
      <c r="M202" s="151" t="str">
        <f aca="false">IF(ISNUMBER(B202),B202*(1-1/'13_Mapa_Liq'!$B$15+'13_Mapa_Liq'!$B$6),"")</f>
        <v/>
      </c>
      <c r="N202" s="151" t="n">
        <f aca="false">IF(ISNUMBER(B202),IF(K202&gt;M202,I202*'13_Mapa_Liq'!$C$15,0),0)</f>
        <v>0</v>
      </c>
      <c r="O202" s="151" t="str">
        <f aca="false">IF(ISNUMBER(B202),B202*(1+1/'13_Mapa_Liq'!$B$15-'13_Mapa_Liq'!$B$6),"")</f>
        <v/>
      </c>
      <c r="P202" s="151" t="n">
        <f aca="false">IF(ISNUMBER(B202),IF(L202&lt;O202,J202*'13_Mapa_Liq'!$C$15,0),0)</f>
        <v>0</v>
      </c>
      <c r="Q202" s="151" t="str">
        <f aca="false">IF(ISNUMBER(B202),B202*(1-1/'13_Mapa_Liq'!$B$16+'13_Mapa_Liq'!$B$6),"")</f>
        <v/>
      </c>
      <c r="R202" s="151" t="n">
        <f aca="false">IF(ISNUMBER(B202),IF(K202&gt;Q202,I202*'13_Mapa_Liq'!$C$16,0),0)</f>
        <v>0</v>
      </c>
      <c r="S202" s="151" t="str">
        <f aca="false">IF(ISNUMBER(B202),B202*(1+1/'13_Mapa_Liq'!$B$16-'13_Mapa_Liq'!$B$6),"")</f>
        <v/>
      </c>
      <c r="T202" s="151" t="n">
        <f aca="false">IF(ISNUMBER(B202),IF(L202&lt;S202,J202*'13_Mapa_Liq'!$C$16,0),0)</f>
        <v>0</v>
      </c>
      <c r="U202" s="151" t="str">
        <f aca="false">IF(ISNUMBER(B202),B202*(1-1/'13_Mapa_Liq'!$B$17+'13_Mapa_Liq'!$B$6),"")</f>
        <v/>
      </c>
      <c r="V202" s="151" t="n">
        <f aca="false">IF(ISNUMBER(B202),IF(K202&gt;U202,I202*'13_Mapa_Liq'!$C$17,0),0)</f>
        <v>0</v>
      </c>
      <c r="W202" s="151" t="str">
        <f aca="false">IF(ISNUMBER(B202),B202*(1+1/'13_Mapa_Liq'!$B$17-'13_Mapa_Liq'!$B$6),"")</f>
        <v/>
      </c>
      <c r="X202" s="151" t="n">
        <f aca="false">IF(ISNUMBER(B202),IF(L202&lt;W202,J202*'13_Mapa_Liq'!$C$17,0),0)</f>
        <v>0</v>
      </c>
      <c r="Y202" s="151" t="str">
        <f aca="false">IF(ISNUMBER(B202),B202*(1-1/'13_Mapa_Liq'!$B$18+'13_Mapa_Liq'!$B$6),"")</f>
        <v/>
      </c>
      <c r="Z202" s="151" t="n">
        <f aca="false">IF(ISNUMBER(B202),IF(K202&gt;Y202,I202*'13_Mapa_Liq'!$C$18,0),0)</f>
        <v>0</v>
      </c>
      <c r="AA202" s="151" t="str">
        <f aca="false">IF(ISNUMBER(B202),B202*(1+1/'13_Mapa_Liq'!$B$18-'13_Mapa_Liq'!$B$6),"")</f>
        <v/>
      </c>
      <c r="AB202" s="151" t="n">
        <f aca="false">IF(ISNUMBER(B202),IF(L202&lt;AA202,J202*'13_Mapa_Liq'!$C$18,0),0)</f>
        <v>0</v>
      </c>
      <c r="AC202" s="151" t="str">
        <f aca="false">IF(ISNUMBER(B202),B202*(1-1/'13_Mapa_Liq'!$B$19+'13_Mapa_Liq'!$B$6),"")</f>
        <v/>
      </c>
      <c r="AD202" s="151" t="n">
        <f aca="false">IF(ISNUMBER(B202),IF(K202&gt;AC202,I202*'13_Mapa_Liq'!$C$19,0),0)</f>
        <v>0</v>
      </c>
      <c r="AE202" s="151" t="str">
        <f aca="false">IF(ISNUMBER(B202),B202*(1+1/'13_Mapa_Liq'!$B$19-'13_Mapa_Liq'!$B$6),"")</f>
        <v/>
      </c>
      <c r="AF202" s="151" t="n">
        <f aca="false">IF(ISNUMBER(B202),IF(L202&lt;AE202,J202*'13_Mapa_Liq'!$C$19,0),0)</f>
        <v>0</v>
      </c>
      <c r="AG202" s="151"/>
      <c r="AH202" s="151" t="n">
        <f aca="false">IF(ISNUMBER(B202),E202*F202*((K202&lt;=M202)*'13_Mapa_Liq'!$C$15+(K202&lt;=Q202)*'13_Mapa_Liq'!$C$16+(K202&lt;=U202)*'13_Mapa_Liq'!$C$17+(K202&lt;=Y202)*'13_Mapa_Liq'!$C$18+(K202&lt;=AC202)*'13_Mapa_Liq'!$C$19),0)</f>
        <v>0</v>
      </c>
      <c r="AI202" s="151" t="n">
        <f aca="false">IF(ISNUMBER(B202),E202*(1-F202)*((L202&gt;=O202)*'13_Mapa_Liq'!$C$15+(L202&gt;=S202)*'13_Mapa_Liq'!$C$16+(L202&gt;=W202)*'13_Mapa_Liq'!$C$17+(L202&gt;=AA202)*'13_Mapa_Liq'!$C$18+(L202&gt;=AE202)*'13_Mapa_Liq'!$C$19),0)</f>
        <v>0</v>
      </c>
    </row>
    <row r="203" customFormat="false" ht="15" hidden="false" customHeight="false" outlineLevel="0" collapsed="false">
      <c r="A203" s="151" t="str">
        <f aca="false">IF(ISNUMBER('12_Datos_5m'!F203),ROW()-4,"")</f>
        <v/>
      </c>
      <c r="B203" s="151" t="str">
        <f aca="false">IF(ISNUMBER('12_Datos_5m'!F203),'12_Datos_5m'!F203,"")</f>
        <v/>
      </c>
      <c r="C203" s="151" t="str">
        <f aca="false">IF(ISNUMBER('12_Datos_5m'!A203),'12_Datos_5m'!A203,"")</f>
        <v/>
      </c>
      <c r="D203" s="151" t="n">
        <f aca="false">IF(AND(ISNUMBER('12_Datos_5m'!I203),ISNUMBER('12_Datos_5m'!I202)),'12_Datos_5m'!I203-'12_Datos_5m'!I202,0)</f>
        <v>0</v>
      </c>
      <c r="E203" s="151" t="n">
        <f aca="false">MAX(0,D203)</f>
        <v>0</v>
      </c>
      <c r="F203" s="151" t="n">
        <f aca="false">IF(AND(ISNUMBER('12_Datos_5m'!G203),N('12_Datos_5m'!G203)&gt;0),'12_Datos_5m'!H203/'12_Datos_5m'!G203,0.5)</f>
        <v>0.5</v>
      </c>
      <c r="G203" s="151" t="n">
        <f aca="false">IF(ISNUMBER(C203),($C$2-C203)/3600000,0)</f>
        <v>0</v>
      </c>
      <c r="H203" s="151" t="n">
        <f aca="false">EXP(-G203/'13_Mapa_Liq'!$B$7)</f>
        <v>1</v>
      </c>
      <c r="I203" s="151" t="n">
        <f aca="false">E203*F203*H203</f>
        <v>0</v>
      </c>
      <c r="J203" s="151" t="n">
        <f aca="false">E203*(1-F203)*H203</f>
        <v>0</v>
      </c>
      <c r="K203" s="151" t="n">
        <f aca="false">IF(COUNT('12_Datos_5m'!E204:E$504)=0,1000000000000,MIN('12_Datos_5m'!E204:E$504))</f>
        <v>1000000000000</v>
      </c>
      <c r="L203" s="151" t="n">
        <f aca="false">IF(COUNT('12_Datos_5m'!D204:D$504)=0,0,MAX('12_Datos_5m'!D204:D$504))</f>
        <v>0</v>
      </c>
      <c r="M203" s="151" t="str">
        <f aca="false">IF(ISNUMBER(B203),B203*(1-1/'13_Mapa_Liq'!$B$15+'13_Mapa_Liq'!$B$6),"")</f>
        <v/>
      </c>
      <c r="N203" s="151" t="n">
        <f aca="false">IF(ISNUMBER(B203),IF(K203&gt;M203,I203*'13_Mapa_Liq'!$C$15,0),0)</f>
        <v>0</v>
      </c>
      <c r="O203" s="151" t="str">
        <f aca="false">IF(ISNUMBER(B203),B203*(1+1/'13_Mapa_Liq'!$B$15-'13_Mapa_Liq'!$B$6),"")</f>
        <v/>
      </c>
      <c r="P203" s="151" t="n">
        <f aca="false">IF(ISNUMBER(B203),IF(L203&lt;O203,J203*'13_Mapa_Liq'!$C$15,0),0)</f>
        <v>0</v>
      </c>
      <c r="Q203" s="151" t="str">
        <f aca="false">IF(ISNUMBER(B203),B203*(1-1/'13_Mapa_Liq'!$B$16+'13_Mapa_Liq'!$B$6),"")</f>
        <v/>
      </c>
      <c r="R203" s="151" t="n">
        <f aca="false">IF(ISNUMBER(B203),IF(K203&gt;Q203,I203*'13_Mapa_Liq'!$C$16,0),0)</f>
        <v>0</v>
      </c>
      <c r="S203" s="151" t="str">
        <f aca="false">IF(ISNUMBER(B203),B203*(1+1/'13_Mapa_Liq'!$B$16-'13_Mapa_Liq'!$B$6),"")</f>
        <v/>
      </c>
      <c r="T203" s="151" t="n">
        <f aca="false">IF(ISNUMBER(B203),IF(L203&lt;S203,J203*'13_Mapa_Liq'!$C$16,0),0)</f>
        <v>0</v>
      </c>
      <c r="U203" s="151" t="str">
        <f aca="false">IF(ISNUMBER(B203),B203*(1-1/'13_Mapa_Liq'!$B$17+'13_Mapa_Liq'!$B$6),"")</f>
        <v/>
      </c>
      <c r="V203" s="151" t="n">
        <f aca="false">IF(ISNUMBER(B203),IF(K203&gt;U203,I203*'13_Mapa_Liq'!$C$17,0),0)</f>
        <v>0</v>
      </c>
      <c r="W203" s="151" t="str">
        <f aca="false">IF(ISNUMBER(B203),B203*(1+1/'13_Mapa_Liq'!$B$17-'13_Mapa_Liq'!$B$6),"")</f>
        <v/>
      </c>
      <c r="X203" s="151" t="n">
        <f aca="false">IF(ISNUMBER(B203),IF(L203&lt;W203,J203*'13_Mapa_Liq'!$C$17,0),0)</f>
        <v>0</v>
      </c>
      <c r="Y203" s="151" t="str">
        <f aca="false">IF(ISNUMBER(B203),B203*(1-1/'13_Mapa_Liq'!$B$18+'13_Mapa_Liq'!$B$6),"")</f>
        <v/>
      </c>
      <c r="Z203" s="151" t="n">
        <f aca="false">IF(ISNUMBER(B203),IF(K203&gt;Y203,I203*'13_Mapa_Liq'!$C$18,0),0)</f>
        <v>0</v>
      </c>
      <c r="AA203" s="151" t="str">
        <f aca="false">IF(ISNUMBER(B203),B203*(1+1/'13_Mapa_Liq'!$B$18-'13_Mapa_Liq'!$B$6),"")</f>
        <v/>
      </c>
      <c r="AB203" s="151" t="n">
        <f aca="false">IF(ISNUMBER(B203),IF(L203&lt;AA203,J203*'13_Mapa_Liq'!$C$18,0),0)</f>
        <v>0</v>
      </c>
      <c r="AC203" s="151" t="str">
        <f aca="false">IF(ISNUMBER(B203),B203*(1-1/'13_Mapa_Liq'!$B$19+'13_Mapa_Liq'!$B$6),"")</f>
        <v/>
      </c>
      <c r="AD203" s="151" t="n">
        <f aca="false">IF(ISNUMBER(B203),IF(K203&gt;AC203,I203*'13_Mapa_Liq'!$C$19,0),0)</f>
        <v>0</v>
      </c>
      <c r="AE203" s="151" t="str">
        <f aca="false">IF(ISNUMBER(B203),B203*(1+1/'13_Mapa_Liq'!$B$19-'13_Mapa_Liq'!$B$6),"")</f>
        <v/>
      </c>
      <c r="AF203" s="151" t="n">
        <f aca="false">IF(ISNUMBER(B203),IF(L203&lt;AE203,J203*'13_Mapa_Liq'!$C$19,0),0)</f>
        <v>0</v>
      </c>
      <c r="AG203" s="151"/>
      <c r="AH203" s="151" t="n">
        <f aca="false">IF(ISNUMBER(B203),E203*F203*((K203&lt;=M203)*'13_Mapa_Liq'!$C$15+(K203&lt;=Q203)*'13_Mapa_Liq'!$C$16+(K203&lt;=U203)*'13_Mapa_Liq'!$C$17+(K203&lt;=Y203)*'13_Mapa_Liq'!$C$18+(K203&lt;=AC203)*'13_Mapa_Liq'!$C$19),0)</f>
        <v>0</v>
      </c>
      <c r="AI203" s="151" t="n">
        <f aca="false">IF(ISNUMBER(B203),E203*(1-F203)*((L203&gt;=O203)*'13_Mapa_Liq'!$C$15+(L203&gt;=S203)*'13_Mapa_Liq'!$C$16+(L203&gt;=W203)*'13_Mapa_Liq'!$C$17+(L203&gt;=AA203)*'13_Mapa_Liq'!$C$18+(L203&gt;=AE203)*'13_Mapa_Liq'!$C$19),0)</f>
        <v>0</v>
      </c>
    </row>
    <row r="204" customFormat="false" ht="15" hidden="false" customHeight="false" outlineLevel="0" collapsed="false">
      <c r="A204" s="151" t="str">
        <f aca="false">IF(ISNUMBER('12_Datos_5m'!F204),ROW()-4,"")</f>
        <v/>
      </c>
      <c r="B204" s="151" t="str">
        <f aca="false">IF(ISNUMBER('12_Datos_5m'!F204),'12_Datos_5m'!F204,"")</f>
        <v/>
      </c>
      <c r="C204" s="151" t="str">
        <f aca="false">IF(ISNUMBER('12_Datos_5m'!A204),'12_Datos_5m'!A204,"")</f>
        <v/>
      </c>
      <c r="D204" s="151" t="n">
        <f aca="false">IF(AND(ISNUMBER('12_Datos_5m'!I204),ISNUMBER('12_Datos_5m'!I203)),'12_Datos_5m'!I204-'12_Datos_5m'!I203,0)</f>
        <v>0</v>
      </c>
      <c r="E204" s="151" t="n">
        <f aca="false">MAX(0,D204)</f>
        <v>0</v>
      </c>
      <c r="F204" s="151" t="n">
        <f aca="false">IF(AND(ISNUMBER('12_Datos_5m'!G204),N('12_Datos_5m'!G204)&gt;0),'12_Datos_5m'!H204/'12_Datos_5m'!G204,0.5)</f>
        <v>0.5</v>
      </c>
      <c r="G204" s="151" t="n">
        <f aca="false">IF(ISNUMBER(C204),($C$2-C204)/3600000,0)</f>
        <v>0</v>
      </c>
      <c r="H204" s="151" t="n">
        <f aca="false">EXP(-G204/'13_Mapa_Liq'!$B$7)</f>
        <v>1</v>
      </c>
      <c r="I204" s="151" t="n">
        <f aca="false">E204*F204*H204</f>
        <v>0</v>
      </c>
      <c r="J204" s="151" t="n">
        <f aca="false">E204*(1-F204)*H204</f>
        <v>0</v>
      </c>
      <c r="K204" s="151" t="n">
        <f aca="false">IF(COUNT('12_Datos_5m'!E205:E$504)=0,1000000000000,MIN('12_Datos_5m'!E205:E$504))</f>
        <v>1000000000000</v>
      </c>
      <c r="L204" s="151" t="n">
        <f aca="false">IF(COUNT('12_Datos_5m'!D205:D$504)=0,0,MAX('12_Datos_5m'!D205:D$504))</f>
        <v>0</v>
      </c>
      <c r="M204" s="151" t="str">
        <f aca="false">IF(ISNUMBER(B204),B204*(1-1/'13_Mapa_Liq'!$B$15+'13_Mapa_Liq'!$B$6),"")</f>
        <v/>
      </c>
      <c r="N204" s="151" t="n">
        <f aca="false">IF(ISNUMBER(B204),IF(K204&gt;M204,I204*'13_Mapa_Liq'!$C$15,0),0)</f>
        <v>0</v>
      </c>
      <c r="O204" s="151" t="str">
        <f aca="false">IF(ISNUMBER(B204),B204*(1+1/'13_Mapa_Liq'!$B$15-'13_Mapa_Liq'!$B$6),"")</f>
        <v/>
      </c>
      <c r="P204" s="151" t="n">
        <f aca="false">IF(ISNUMBER(B204),IF(L204&lt;O204,J204*'13_Mapa_Liq'!$C$15,0),0)</f>
        <v>0</v>
      </c>
      <c r="Q204" s="151" t="str">
        <f aca="false">IF(ISNUMBER(B204),B204*(1-1/'13_Mapa_Liq'!$B$16+'13_Mapa_Liq'!$B$6),"")</f>
        <v/>
      </c>
      <c r="R204" s="151" t="n">
        <f aca="false">IF(ISNUMBER(B204),IF(K204&gt;Q204,I204*'13_Mapa_Liq'!$C$16,0),0)</f>
        <v>0</v>
      </c>
      <c r="S204" s="151" t="str">
        <f aca="false">IF(ISNUMBER(B204),B204*(1+1/'13_Mapa_Liq'!$B$16-'13_Mapa_Liq'!$B$6),"")</f>
        <v/>
      </c>
      <c r="T204" s="151" t="n">
        <f aca="false">IF(ISNUMBER(B204),IF(L204&lt;S204,J204*'13_Mapa_Liq'!$C$16,0),0)</f>
        <v>0</v>
      </c>
      <c r="U204" s="151" t="str">
        <f aca="false">IF(ISNUMBER(B204),B204*(1-1/'13_Mapa_Liq'!$B$17+'13_Mapa_Liq'!$B$6),"")</f>
        <v/>
      </c>
      <c r="V204" s="151" t="n">
        <f aca="false">IF(ISNUMBER(B204),IF(K204&gt;U204,I204*'13_Mapa_Liq'!$C$17,0),0)</f>
        <v>0</v>
      </c>
      <c r="W204" s="151" t="str">
        <f aca="false">IF(ISNUMBER(B204),B204*(1+1/'13_Mapa_Liq'!$B$17-'13_Mapa_Liq'!$B$6),"")</f>
        <v/>
      </c>
      <c r="X204" s="151" t="n">
        <f aca="false">IF(ISNUMBER(B204),IF(L204&lt;W204,J204*'13_Mapa_Liq'!$C$17,0),0)</f>
        <v>0</v>
      </c>
      <c r="Y204" s="151" t="str">
        <f aca="false">IF(ISNUMBER(B204),B204*(1-1/'13_Mapa_Liq'!$B$18+'13_Mapa_Liq'!$B$6),"")</f>
        <v/>
      </c>
      <c r="Z204" s="151" t="n">
        <f aca="false">IF(ISNUMBER(B204),IF(K204&gt;Y204,I204*'13_Mapa_Liq'!$C$18,0),0)</f>
        <v>0</v>
      </c>
      <c r="AA204" s="151" t="str">
        <f aca="false">IF(ISNUMBER(B204),B204*(1+1/'13_Mapa_Liq'!$B$18-'13_Mapa_Liq'!$B$6),"")</f>
        <v/>
      </c>
      <c r="AB204" s="151" t="n">
        <f aca="false">IF(ISNUMBER(B204),IF(L204&lt;AA204,J204*'13_Mapa_Liq'!$C$18,0),0)</f>
        <v>0</v>
      </c>
      <c r="AC204" s="151" t="str">
        <f aca="false">IF(ISNUMBER(B204),B204*(1-1/'13_Mapa_Liq'!$B$19+'13_Mapa_Liq'!$B$6),"")</f>
        <v/>
      </c>
      <c r="AD204" s="151" t="n">
        <f aca="false">IF(ISNUMBER(B204),IF(K204&gt;AC204,I204*'13_Mapa_Liq'!$C$19,0),0)</f>
        <v>0</v>
      </c>
      <c r="AE204" s="151" t="str">
        <f aca="false">IF(ISNUMBER(B204),B204*(1+1/'13_Mapa_Liq'!$B$19-'13_Mapa_Liq'!$B$6),"")</f>
        <v/>
      </c>
      <c r="AF204" s="151" t="n">
        <f aca="false">IF(ISNUMBER(B204),IF(L204&lt;AE204,J204*'13_Mapa_Liq'!$C$19,0),0)</f>
        <v>0</v>
      </c>
      <c r="AG204" s="151"/>
      <c r="AH204" s="151" t="n">
        <f aca="false">IF(ISNUMBER(B204),E204*F204*((K204&lt;=M204)*'13_Mapa_Liq'!$C$15+(K204&lt;=Q204)*'13_Mapa_Liq'!$C$16+(K204&lt;=U204)*'13_Mapa_Liq'!$C$17+(K204&lt;=Y204)*'13_Mapa_Liq'!$C$18+(K204&lt;=AC204)*'13_Mapa_Liq'!$C$19),0)</f>
        <v>0</v>
      </c>
      <c r="AI204" s="151" t="n">
        <f aca="false">IF(ISNUMBER(B204),E204*(1-F204)*((L204&gt;=O204)*'13_Mapa_Liq'!$C$15+(L204&gt;=S204)*'13_Mapa_Liq'!$C$16+(L204&gt;=W204)*'13_Mapa_Liq'!$C$17+(L204&gt;=AA204)*'13_Mapa_Liq'!$C$18+(L204&gt;=AE204)*'13_Mapa_Liq'!$C$19),0)</f>
        <v>0</v>
      </c>
    </row>
    <row r="205" customFormat="false" ht="15" hidden="false" customHeight="false" outlineLevel="0" collapsed="false">
      <c r="A205" s="151" t="str">
        <f aca="false">IF(ISNUMBER('12_Datos_5m'!F205),ROW()-4,"")</f>
        <v/>
      </c>
      <c r="B205" s="151" t="str">
        <f aca="false">IF(ISNUMBER('12_Datos_5m'!F205),'12_Datos_5m'!F205,"")</f>
        <v/>
      </c>
      <c r="C205" s="151" t="str">
        <f aca="false">IF(ISNUMBER('12_Datos_5m'!A205),'12_Datos_5m'!A205,"")</f>
        <v/>
      </c>
      <c r="D205" s="151" t="n">
        <f aca="false">IF(AND(ISNUMBER('12_Datos_5m'!I205),ISNUMBER('12_Datos_5m'!I204)),'12_Datos_5m'!I205-'12_Datos_5m'!I204,0)</f>
        <v>0</v>
      </c>
      <c r="E205" s="151" t="n">
        <f aca="false">MAX(0,D205)</f>
        <v>0</v>
      </c>
      <c r="F205" s="151" t="n">
        <f aca="false">IF(AND(ISNUMBER('12_Datos_5m'!G205),N('12_Datos_5m'!G205)&gt;0),'12_Datos_5m'!H205/'12_Datos_5m'!G205,0.5)</f>
        <v>0.5</v>
      </c>
      <c r="G205" s="151" t="n">
        <f aca="false">IF(ISNUMBER(C205),($C$2-C205)/3600000,0)</f>
        <v>0</v>
      </c>
      <c r="H205" s="151" t="n">
        <f aca="false">EXP(-G205/'13_Mapa_Liq'!$B$7)</f>
        <v>1</v>
      </c>
      <c r="I205" s="151" t="n">
        <f aca="false">E205*F205*H205</f>
        <v>0</v>
      </c>
      <c r="J205" s="151" t="n">
        <f aca="false">E205*(1-F205)*H205</f>
        <v>0</v>
      </c>
      <c r="K205" s="151" t="n">
        <f aca="false">IF(COUNT('12_Datos_5m'!E206:E$504)=0,1000000000000,MIN('12_Datos_5m'!E206:E$504))</f>
        <v>1000000000000</v>
      </c>
      <c r="L205" s="151" t="n">
        <f aca="false">IF(COUNT('12_Datos_5m'!D206:D$504)=0,0,MAX('12_Datos_5m'!D206:D$504))</f>
        <v>0</v>
      </c>
      <c r="M205" s="151" t="str">
        <f aca="false">IF(ISNUMBER(B205),B205*(1-1/'13_Mapa_Liq'!$B$15+'13_Mapa_Liq'!$B$6),"")</f>
        <v/>
      </c>
      <c r="N205" s="151" t="n">
        <f aca="false">IF(ISNUMBER(B205),IF(K205&gt;M205,I205*'13_Mapa_Liq'!$C$15,0),0)</f>
        <v>0</v>
      </c>
      <c r="O205" s="151" t="str">
        <f aca="false">IF(ISNUMBER(B205),B205*(1+1/'13_Mapa_Liq'!$B$15-'13_Mapa_Liq'!$B$6),"")</f>
        <v/>
      </c>
      <c r="P205" s="151" t="n">
        <f aca="false">IF(ISNUMBER(B205),IF(L205&lt;O205,J205*'13_Mapa_Liq'!$C$15,0),0)</f>
        <v>0</v>
      </c>
      <c r="Q205" s="151" t="str">
        <f aca="false">IF(ISNUMBER(B205),B205*(1-1/'13_Mapa_Liq'!$B$16+'13_Mapa_Liq'!$B$6),"")</f>
        <v/>
      </c>
      <c r="R205" s="151" t="n">
        <f aca="false">IF(ISNUMBER(B205),IF(K205&gt;Q205,I205*'13_Mapa_Liq'!$C$16,0),0)</f>
        <v>0</v>
      </c>
      <c r="S205" s="151" t="str">
        <f aca="false">IF(ISNUMBER(B205),B205*(1+1/'13_Mapa_Liq'!$B$16-'13_Mapa_Liq'!$B$6),"")</f>
        <v/>
      </c>
      <c r="T205" s="151" t="n">
        <f aca="false">IF(ISNUMBER(B205),IF(L205&lt;S205,J205*'13_Mapa_Liq'!$C$16,0),0)</f>
        <v>0</v>
      </c>
      <c r="U205" s="151" t="str">
        <f aca="false">IF(ISNUMBER(B205),B205*(1-1/'13_Mapa_Liq'!$B$17+'13_Mapa_Liq'!$B$6),"")</f>
        <v/>
      </c>
      <c r="V205" s="151" t="n">
        <f aca="false">IF(ISNUMBER(B205),IF(K205&gt;U205,I205*'13_Mapa_Liq'!$C$17,0),0)</f>
        <v>0</v>
      </c>
      <c r="W205" s="151" t="str">
        <f aca="false">IF(ISNUMBER(B205),B205*(1+1/'13_Mapa_Liq'!$B$17-'13_Mapa_Liq'!$B$6),"")</f>
        <v/>
      </c>
      <c r="X205" s="151" t="n">
        <f aca="false">IF(ISNUMBER(B205),IF(L205&lt;W205,J205*'13_Mapa_Liq'!$C$17,0),0)</f>
        <v>0</v>
      </c>
      <c r="Y205" s="151" t="str">
        <f aca="false">IF(ISNUMBER(B205),B205*(1-1/'13_Mapa_Liq'!$B$18+'13_Mapa_Liq'!$B$6),"")</f>
        <v/>
      </c>
      <c r="Z205" s="151" t="n">
        <f aca="false">IF(ISNUMBER(B205),IF(K205&gt;Y205,I205*'13_Mapa_Liq'!$C$18,0),0)</f>
        <v>0</v>
      </c>
      <c r="AA205" s="151" t="str">
        <f aca="false">IF(ISNUMBER(B205),B205*(1+1/'13_Mapa_Liq'!$B$18-'13_Mapa_Liq'!$B$6),"")</f>
        <v/>
      </c>
      <c r="AB205" s="151" t="n">
        <f aca="false">IF(ISNUMBER(B205),IF(L205&lt;AA205,J205*'13_Mapa_Liq'!$C$18,0),0)</f>
        <v>0</v>
      </c>
      <c r="AC205" s="151" t="str">
        <f aca="false">IF(ISNUMBER(B205),B205*(1-1/'13_Mapa_Liq'!$B$19+'13_Mapa_Liq'!$B$6),"")</f>
        <v/>
      </c>
      <c r="AD205" s="151" t="n">
        <f aca="false">IF(ISNUMBER(B205),IF(K205&gt;AC205,I205*'13_Mapa_Liq'!$C$19,0),0)</f>
        <v>0</v>
      </c>
      <c r="AE205" s="151" t="str">
        <f aca="false">IF(ISNUMBER(B205),B205*(1+1/'13_Mapa_Liq'!$B$19-'13_Mapa_Liq'!$B$6),"")</f>
        <v/>
      </c>
      <c r="AF205" s="151" t="n">
        <f aca="false">IF(ISNUMBER(B205),IF(L205&lt;AE205,J205*'13_Mapa_Liq'!$C$19,0),0)</f>
        <v>0</v>
      </c>
      <c r="AG205" s="151"/>
      <c r="AH205" s="151" t="n">
        <f aca="false">IF(ISNUMBER(B205),E205*F205*((K205&lt;=M205)*'13_Mapa_Liq'!$C$15+(K205&lt;=Q205)*'13_Mapa_Liq'!$C$16+(K205&lt;=U205)*'13_Mapa_Liq'!$C$17+(K205&lt;=Y205)*'13_Mapa_Liq'!$C$18+(K205&lt;=AC205)*'13_Mapa_Liq'!$C$19),0)</f>
        <v>0</v>
      </c>
      <c r="AI205" s="151" t="n">
        <f aca="false">IF(ISNUMBER(B205),E205*(1-F205)*((L205&gt;=O205)*'13_Mapa_Liq'!$C$15+(L205&gt;=S205)*'13_Mapa_Liq'!$C$16+(L205&gt;=W205)*'13_Mapa_Liq'!$C$17+(L205&gt;=AA205)*'13_Mapa_Liq'!$C$18+(L205&gt;=AE205)*'13_Mapa_Liq'!$C$19),0)</f>
        <v>0</v>
      </c>
    </row>
    <row r="206" customFormat="false" ht="15" hidden="false" customHeight="false" outlineLevel="0" collapsed="false">
      <c r="A206" s="151" t="str">
        <f aca="false">IF(ISNUMBER('12_Datos_5m'!F206),ROW()-4,"")</f>
        <v/>
      </c>
      <c r="B206" s="151" t="str">
        <f aca="false">IF(ISNUMBER('12_Datos_5m'!F206),'12_Datos_5m'!F206,"")</f>
        <v/>
      </c>
      <c r="C206" s="151" t="str">
        <f aca="false">IF(ISNUMBER('12_Datos_5m'!A206),'12_Datos_5m'!A206,"")</f>
        <v/>
      </c>
      <c r="D206" s="151" t="n">
        <f aca="false">IF(AND(ISNUMBER('12_Datos_5m'!I206),ISNUMBER('12_Datos_5m'!I205)),'12_Datos_5m'!I206-'12_Datos_5m'!I205,0)</f>
        <v>0</v>
      </c>
      <c r="E206" s="151" t="n">
        <f aca="false">MAX(0,D206)</f>
        <v>0</v>
      </c>
      <c r="F206" s="151" t="n">
        <f aca="false">IF(AND(ISNUMBER('12_Datos_5m'!G206),N('12_Datos_5m'!G206)&gt;0),'12_Datos_5m'!H206/'12_Datos_5m'!G206,0.5)</f>
        <v>0.5</v>
      </c>
      <c r="G206" s="151" t="n">
        <f aca="false">IF(ISNUMBER(C206),($C$2-C206)/3600000,0)</f>
        <v>0</v>
      </c>
      <c r="H206" s="151" t="n">
        <f aca="false">EXP(-G206/'13_Mapa_Liq'!$B$7)</f>
        <v>1</v>
      </c>
      <c r="I206" s="151" t="n">
        <f aca="false">E206*F206*H206</f>
        <v>0</v>
      </c>
      <c r="J206" s="151" t="n">
        <f aca="false">E206*(1-F206)*H206</f>
        <v>0</v>
      </c>
      <c r="K206" s="151" t="n">
        <f aca="false">IF(COUNT('12_Datos_5m'!E207:E$504)=0,1000000000000,MIN('12_Datos_5m'!E207:E$504))</f>
        <v>1000000000000</v>
      </c>
      <c r="L206" s="151" t="n">
        <f aca="false">IF(COUNT('12_Datos_5m'!D207:D$504)=0,0,MAX('12_Datos_5m'!D207:D$504))</f>
        <v>0</v>
      </c>
      <c r="M206" s="151" t="str">
        <f aca="false">IF(ISNUMBER(B206),B206*(1-1/'13_Mapa_Liq'!$B$15+'13_Mapa_Liq'!$B$6),"")</f>
        <v/>
      </c>
      <c r="N206" s="151" t="n">
        <f aca="false">IF(ISNUMBER(B206),IF(K206&gt;M206,I206*'13_Mapa_Liq'!$C$15,0),0)</f>
        <v>0</v>
      </c>
      <c r="O206" s="151" t="str">
        <f aca="false">IF(ISNUMBER(B206),B206*(1+1/'13_Mapa_Liq'!$B$15-'13_Mapa_Liq'!$B$6),"")</f>
        <v/>
      </c>
      <c r="P206" s="151" t="n">
        <f aca="false">IF(ISNUMBER(B206),IF(L206&lt;O206,J206*'13_Mapa_Liq'!$C$15,0),0)</f>
        <v>0</v>
      </c>
      <c r="Q206" s="151" t="str">
        <f aca="false">IF(ISNUMBER(B206),B206*(1-1/'13_Mapa_Liq'!$B$16+'13_Mapa_Liq'!$B$6),"")</f>
        <v/>
      </c>
      <c r="R206" s="151" t="n">
        <f aca="false">IF(ISNUMBER(B206),IF(K206&gt;Q206,I206*'13_Mapa_Liq'!$C$16,0),0)</f>
        <v>0</v>
      </c>
      <c r="S206" s="151" t="str">
        <f aca="false">IF(ISNUMBER(B206),B206*(1+1/'13_Mapa_Liq'!$B$16-'13_Mapa_Liq'!$B$6),"")</f>
        <v/>
      </c>
      <c r="T206" s="151" t="n">
        <f aca="false">IF(ISNUMBER(B206),IF(L206&lt;S206,J206*'13_Mapa_Liq'!$C$16,0),0)</f>
        <v>0</v>
      </c>
      <c r="U206" s="151" t="str">
        <f aca="false">IF(ISNUMBER(B206),B206*(1-1/'13_Mapa_Liq'!$B$17+'13_Mapa_Liq'!$B$6),"")</f>
        <v/>
      </c>
      <c r="V206" s="151" t="n">
        <f aca="false">IF(ISNUMBER(B206),IF(K206&gt;U206,I206*'13_Mapa_Liq'!$C$17,0),0)</f>
        <v>0</v>
      </c>
      <c r="W206" s="151" t="str">
        <f aca="false">IF(ISNUMBER(B206),B206*(1+1/'13_Mapa_Liq'!$B$17-'13_Mapa_Liq'!$B$6),"")</f>
        <v/>
      </c>
      <c r="X206" s="151" t="n">
        <f aca="false">IF(ISNUMBER(B206),IF(L206&lt;W206,J206*'13_Mapa_Liq'!$C$17,0),0)</f>
        <v>0</v>
      </c>
      <c r="Y206" s="151" t="str">
        <f aca="false">IF(ISNUMBER(B206),B206*(1-1/'13_Mapa_Liq'!$B$18+'13_Mapa_Liq'!$B$6),"")</f>
        <v/>
      </c>
      <c r="Z206" s="151" t="n">
        <f aca="false">IF(ISNUMBER(B206),IF(K206&gt;Y206,I206*'13_Mapa_Liq'!$C$18,0),0)</f>
        <v>0</v>
      </c>
      <c r="AA206" s="151" t="str">
        <f aca="false">IF(ISNUMBER(B206),B206*(1+1/'13_Mapa_Liq'!$B$18-'13_Mapa_Liq'!$B$6),"")</f>
        <v/>
      </c>
      <c r="AB206" s="151" t="n">
        <f aca="false">IF(ISNUMBER(B206),IF(L206&lt;AA206,J206*'13_Mapa_Liq'!$C$18,0),0)</f>
        <v>0</v>
      </c>
      <c r="AC206" s="151" t="str">
        <f aca="false">IF(ISNUMBER(B206),B206*(1-1/'13_Mapa_Liq'!$B$19+'13_Mapa_Liq'!$B$6),"")</f>
        <v/>
      </c>
      <c r="AD206" s="151" t="n">
        <f aca="false">IF(ISNUMBER(B206),IF(K206&gt;AC206,I206*'13_Mapa_Liq'!$C$19,0),0)</f>
        <v>0</v>
      </c>
      <c r="AE206" s="151" t="str">
        <f aca="false">IF(ISNUMBER(B206),B206*(1+1/'13_Mapa_Liq'!$B$19-'13_Mapa_Liq'!$B$6),"")</f>
        <v/>
      </c>
      <c r="AF206" s="151" t="n">
        <f aca="false">IF(ISNUMBER(B206),IF(L206&lt;AE206,J206*'13_Mapa_Liq'!$C$19,0),0)</f>
        <v>0</v>
      </c>
      <c r="AG206" s="151"/>
      <c r="AH206" s="151" t="n">
        <f aca="false">IF(ISNUMBER(B206),E206*F206*((K206&lt;=M206)*'13_Mapa_Liq'!$C$15+(K206&lt;=Q206)*'13_Mapa_Liq'!$C$16+(K206&lt;=U206)*'13_Mapa_Liq'!$C$17+(K206&lt;=Y206)*'13_Mapa_Liq'!$C$18+(K206&lt;=AC206)*'13_Mapa_Liq'!$C$19),0)</f>
        <v>0</v>
      </c>
      <c r="AI206" s="151" t="n">
        <f aca="false">IF(ISNUMBER(B206),E206*(1-F206)*((L206&gt;=O206)*'13_Mapa_Liq'!$C$15+(L206&gt;=S206)*'13_Mapa_Liq'!$C$16+(L206&gt;=W206)*'13_Mapa_Liq'!$C$17+(L206&gt;=AA206)*'13_Mapa_Liq'!$C$18+(L206&gt;=AE206)*'13_Mapa_Liq'!$C$19),0)</f>
        <v>0</v>
      </c>
    </row>
    <row r="207" customFormat="false" ht="15" hidden="false" customHeight="false" outlineLevel="0" collapsed="false">
      <c r="A207" s="151" t="str">
        <f aca="false">IF(ISNUMBER('12_Datos_5m'!F207),ROW()-4,"")</f>
        <v/>
      </c>
      <c r="B207" s="151" t="str">
        <f aca="false">IF(ISNUMBER('12_Datos_5m'!F207),'12_Datos_5m'!F207,"")</f>
        <v/>
      </c>
      <c r="C207" s="151" t="str">
        <f aca="false">IF(ISNUMBER('12_Datos_5m'!A207),'12_Datos_5m'!A207,"")</f>
        <v/>
      </c>
      <c r="D207" s="151" t="n">
        <f aca="false">IF(AND(ISNUMBER('12_Datos_5m'!I207),ISNUMBER('12_Datos_5m'!I206)),'12_Datos_5m'!I207-'12_Datos_5m'!I206,0)</f>
        <v>0</v>
      </c>
      <c r="E207" s="151" t="n">
        <f aca="false">MAX(0,D207)</f>
        <v>0</v>
      </c>
      <c r="F207" s="151" t="n">
        <f aca="false">IF(AND(ISNUMBER('12_Datos_5m'!G207),N('12_Datos_5m'!G207)&gt;0),'12_Datos_5m'!H207/'12_Datos_5m'!G207,0.5)</f>
        <v>0.5</v>
      </c>
      <c r="G207" s="151" t="n">
        <f aca="false">IF(ISNUMBER(C207),($C$2-C207)/3600000,0)</f>
        <v>0</v>
      </c>
      <c r="H207" s="151" t="n">
        <f aca="false">EXP(-G207/'13_Mapa_Liq'!$B$7)</f>
        <v>1</v>
      </c>
      <c r="I207" s="151" t="n">
        <f aca="false">E207*F207*H207</f>
        <v>0</v>
      </c>
      <c r="J207" s="151" t="n">
        <f aca="false">E207*(1-F207)*H207</f>
        <v>0</v>
      </c>
      <c r="K207" s="151" t="n">
        <f aca="false">IF(COUNT('12_Datos_5m'!E208:E$504)=0,1000000000000,MIN('12_Datos_5m'!E208:E$504))</f>
        <v>1000000000000</v>
      </c>
      <c r="L207" s="151" t="n">
        <f aca="false">IF(COUNT('12_Datos_5m'!D208:D$504)=0,0,MAX('12_Datos_5m'!D208:D$504))</f>
        <v>0</v>
      </c>
      <c r="M207" s="151" t="str">
        <f aca="false">IF(ISNUMBER(B207),B207*(1-1/'13_Mapa_Liq'!$B$15+'13_Mapa_Liq'!$B$6),"")</f>
        <v/>
      </c>
      <c r="N207" s="151" t="n">
        <f aca="false">IF(ISNUMBER(B207),IF(K207&gt;M207,I207*'13_Mapa_Liq'!$C$15,0),0)</f>
        <v>0</v>
      </c>
      <c r="O207" s="151" t="str">
        <f aca="false">IF(ISNUMBER(B207),B207*(1+1/'13_Mapa_Liq'!$B$15-'13_Mapa_Liq'!$B$6),"")</f>
        <v/>
      </c>
      <c r="P207" s="151" t="n">
        <f aca="false">IF(ISNUMBER(B207),IF(L207&lt;O207,J207*'13_Mapa_Liq'!$C$15,0),0)</f>
        <v>0</v>
      </c>
      <c r="Q207" s="151" t="str">
        <f aca="false">IF(ISNUMBER(B207),B207*(1-1/'13_Mapa_Liq'!$B$16+'13_Mapa_Liq'!$B$6),"")</f>
        <v/>
      </c>
      <c r="R207" s="151" t="n">
        <f aca="false">IF(ISNUMBER(B207),IF(K207&gt;Q207,I207*'13_Mapa_Liq'!$C$16,0),0)</f>
        <v>0</v>
      </c>
      <c r="S207" s="151" t="str">
        <f aca="false">IF(ISNUMBER(B207),B207*(1+1/'13_Mapa_Liq'!$B$16-'13_Mapa_Liq'!$B$6),"")</f>
        <v/>
      </c>
      <c r="T207" s="151" t="n">
        <f aca="false">IF(ISNUMBER(B207),IF(L207&lt;S207,J207*'13_Mapa_Liq'!$C$16,0),0)</f>
        <v>0</v>
      </c>
      <c r="U207" s="151" t="str">
        <f aca="false">IF(ISNUMBER(B207),B207*(1-1/'13_Mapa_Liq'!$B$17+'13_Mapa_Liq'!$B$6),"")</f>
        <v/>
      </c>
      <c r="V207" s="151" t="n">
        <f aca="false">IF(ISNUMBER(B207),IF(K207&gt;U207,I207*'13_Mapa_Liq'!$C$17,0),0)</f>
        <v>0</v>
      </c>
      <c r="W207" s="151" t="str">
        <f aca="false">IF(ISNUMBER(B207),B207*(1+1/'13_Mapa_Liq'!$B$17-'13_Mapa_Liq'!$B$6),"")</f>
        <v/>
      </c>
      <c r="X207" s="151" t="n">
        <f aca="false">IF(ISNUMBER(B207),IF(L207&lt;W207,J207*'13_Mapa_Liq'!$C$17,0),0)</f>
        <v>0</v>
      </c>
      <c r="Y207" s="151" t="str">
        <f aca="false">IF(ISNUMBER(B207),B207*(1-1/'13_Mapa_Liq'!$B$18+'13_Mapa_Liq'!$B$6),"")</f>
        <v/>
      </c>
      <c r="Z207" s="151" t="n">
        <f aca="false">IF(ISNUMBER(B207),IF(K207&gt;Y207,I207*'13_Mapa_Liq'!$C$18,0),0)</f>
        <v>0</v>
      </c>
      <c r="AA207" s="151" t="str">
        <f aca="false">IF(ISNUMBER(B207),B207*(1+1/'13_Mapa_Liq'!$B$18-'13_Mapa_Liq'!$B$6),"")</f>
        <v/>
      </c>
      <c r="AB207" s="151" t="n">
        <f aca="false">IF(ISNUMBER(B207),IF(L207&lt;AA207,J207*'13_Mapa_Liq'!$C$18,0),0)</f>
        <v>0</v>
      </c>
      <c r="AC207" s="151" t="str">
        <f aca="false">IF(ISNUMBER(B207),B207*(1-1/'13_Mapa_Liq'!$B$19+'13_Mapa_Liq'!$B$6),"")</f>
        <v/>
      </c>
      <c r="AD207" s="151" t="n">
        <f aca="false">IF(ISNUMBER(B207),IF(K207&gt;AC207,I207*'13_Mapa_Liq'!$C$19,0),0)</f>
        <v>0</v>
      </c>
      <c r="AE207" s="151" t="str">
        <f aca="false">IF(ISNUMBER(B207),B207*(1+1/'13_Mapa_Liq'!$B$19-'13_Mapa_Liq'!$B$6),"")</f>
        <v/>
      </c>
      <c r="AF207" s="151" t="n">
        <f aca="false">IF(ISNUMBER(B207),IF(L207&lt;AE207,J207*'13_Mapa_Liq'!$C$19,0),0)</f>
        <v>0</v>
      </c>
      <c r="AG207" s="151"/>
      <c r="AH207" s="151" t="n">
        <f aca="false">IF(ISNUMBER(B207),E207*F207*((K207&lt;=M207)*'13_Mapa_Liq'!$C$15+(K207&lt;=Q207)*'13_Mapa_Liq'!$C$16+(K207&lt;=U207)*'13_Mapa_Liq'!$C$17+(K207&lt;=Y207)*'13_Mapa_Liq'!$C$18+(K207&lt;=AC207)*'13_Mapa_Liq'!$C$19),0)</f>
        <v>0</v>
      </c>
      <c r="AI207" s="151" t="n">
        <f aca="false">IF(ISNUMBER(B207),E207*(1-F207)*((L207&gt;=O207)*'13_Mapa_Liq'!$C$15+(L207&gt;=S207)*'13_Mapa_Liq'!$C$16+(L207&gt;=W207)*'13_Mapa_Liq'!$C$17+(L207&gt;=AA207)*'13_Mapa_Liq'!$C$18+(L207&gt;=AE207)*'13_Mapa_Liq'!$C$19),0)</f>
        <v>0</v>
      </c>
    </row>
    <row r="208" customFormat="false" ht="15" hidden="false" customHeight="false" outlineLevel="0" collapsed="false">
      <c r="A208" s="151" t="str">
        <f aca="false">IF(ISNUMBER('12_Datos_5m'!F208),ROW()-4,"")</f>
        <v/>
      </c>
      <c r="B208" s="151" t="str">
        <f aca="false">IF(ISNUMBER('12_Datos_5m'!F208),'12_Datos_5m'!F208,"")</f>
        <v/>
      </c>
      <c r="C208" s="151" t="str">
        <f aca="false">IF(ISNUMBER('12_Datos_5m'!A208),'12_Datos_5m'!A208,"")</f>
        <v/>
      </c>
      <c r="D208" s="151" t="n">
        <f aca="false">IF(AND(ISNUMBER('12_Datos_5m'!I208),ISNUMBER('12_Datos_5m'!I207)),'12_Datos_5m'!I208-'12_Datos_5m'!I207,0)</f>
        <v>0</v>
      </c>
      <c r="E208" s="151" t="n">
        <f aca="false">MAX(0,D208)</f>
        <v>0</v>
      </c>
      <c r="F208" s="151" t="n">
        <f aca="false">IF(AND(ISNUMBER('12_Datos_5m'!G208),N('12_Datos_5m'!G208)&gt;0),'12_Datos_5m'!H208/'12_Datos_5m'!G208,0.5)</f>
        <v>0.5</v>
      </c>
      <c r="G208" s="151" t="n">
        <f aca="false">IF(ISNUMBER(C208),($C$2-C208)/3600000,0)</f>
        <v>0</v>
      </c>
      <c r="H208" s="151" t="n">
        <f aca="false">EXP(-G208/'13_Mapa_Liq'!$B$7)</f>
        <v>1</v>
      </c>
      <c r="I208" s="151" t="n">
        <f aca="false">E208*F208*H208</f>
        <v>0</v>
      </c>
      <c r="J208" s="151" t="n">
        <f aca="false">E208*(1-F208)*H208</f>
        <v>0</v>
      </c>
      <c r="K208" s="151" t="n">
        <f aca="false">IF(COUNT('12_Datos_5m'!E209:E$504)=0,1000000000000,MIN('12_Datos_5m'!E209:E$504))</f>
        <v>1000000000000</v>
      </c>
      <c r="L208" s="151" t="n">
        <f aca="false">IF(COUNT('12_Datos_5m'!D209:D$504)=0,0,MAX('12_Datos_5m'!D209:D$504))</f>
        <v>0</v>
      </c>
      <c r="M208" s="151" t="str">
        <f aca="false">IF(ISNUMBER(B208),B208*(1-1/'13_Mapa_Liq'!$B$15+'13_Mapa_Liq'!$B$6),"")</f>
        <v/>
      </c>
      <c r="N208" s="151" t="n">
        <f aca="false">IF(ISNUMBER(B208),IF(K208&gt;M208,I208*'13_Mapa_Liq'!$C$15,0),0)</f>
        <v>0</v>
      </c>
      <c r="O208" s="151" t="str">
        <f aca="false">IF(ISNUMBER(B208),B208*(1+1/'13_Mapa_Liq'!$B$15-'13_Mapa_Liq'!$B$6),"")</f>
        <v/>
      </c>
      <c r="P208" s="151" t="n">
        <f aca="false">IF(ISNUMBER(B208),IF(L208&lt;O208,J208*'13_Mapa_Liq'!$C$15,0),0)</f>
        <v>0</v>
      </c>
      <c r="Q208" s="151" t="str">
        <f aca="false">IF(ISNUMBER(B208),B208*(1-1/'13_Mapa_Liq'!$B$16+'13_Mapa_Liq'!$B$6),"")</f>
        <v/>
      </c>
      <c r="R208" s="151" t="n">
        <f aca="false">IF(ISNUMBER(B208),IF(K208&gt;Q208,I208*'13_Mapa_Liq'!$C$16,0),0)</f>
        <v>0</v>
      </c>
      <c r="S208" s="151" t="str">
        <f aca="false">IF(ISNUMBER(B208),B208*(1+1/'13_Mapa_Liq'!$B$16-'13_Mapa_Liq'!$B$6),"")</f>
        <v/>
      </c>
      <c r="T208" s="151" t="n">
        <f aca="false">IF(ISNUMBER(B208),IF(L208&lt;S208,J208*'13_Mapa_Liq'!$C$16,0),0)</f>
        <v>0</v>
      </c>
      <c r="U208" s="151" t="str">
        <f aca="false">IF(ISNUMBER(B208),B208*(1-1/'13_Mapa_Liq'!$B$17+'13_Mapa_Liq'!$B$6),"")</f>
        <v/>
      </c>
      <c r="V208" s="151" t="n">
        <f aca="false">IF(ISNUMBER(B208),IF(K208&gt;U208,I208*'13_Mapa_Liq'!$C$17,0),0)</f>
        <v>0</v>
      </c>
      <c r="W208" s="151" t="str">
        <f aca="false">IF(ISNUMBER(B208),B208*(1+1/'13_Mapa_Liq'!$B$17-'13_Mapa_Liq'!$B$6),"")</f>
        <v/>
      </c>
      <c r="X208" s="151" t="n">
        <f aca="false">IF(ISNUMBER(B208),IF(L208&lt;W208,J208*'13_Mapa_Liq'!$C$17,0),0)</f>
        <v>0</v>
      </c>
      <c r="Y208" s="151" t="str">
        <f aca="false">IF(ISNUMBER(B208),B208*(1-1/'13_Mapa_Liq'!$B$18+'13_Mapa_Liq'!$B$6),"")</f>
        <v/>
      </c>
      <c r="Z208" s="151" t="n">
        <f aca="false">IF(ISNUMBER(B208),IF(K208&gt;Y208,I208*'13_Mapa_Liq'!$C$18,0),0)</f>
        <v>0</v>
      </c>
      <c r="AA208" s="151" t="str">
        <f aca="false">IF(ISNUMBER(B208),B208*(1+1/'13_Mapa_Liq'!$B$18-'13_Mapa_Liq'!$B$6),"")</f>
        <v/>
      </c>
      <c r="AB208" s="151" t="n">
        <f aca="false">IF(ISNUMBER(B208),IF(L208&lt;AA208,J208*'13_Mapa_Liq'!$C$18,0),0)</f>
        <v>0</v>
      </c>
      <c r="AC208" s="151" t="str">
        <f aca="false">IF(ISNUMBER(B208),B208*(1-1/'13_Mapa_Liq'!$B$19+'13_Mapa_Liq'!$B$6),"")</f>
        <v/>
      </c>
      <c r="AD208" s="151" t="n">
        <f aca="false">IF(ISNUMBER(B208),IF(K208&gt;AC208,I208*'13_Mapa_Liq'!$C$19,0),0)</f>
        <v>0</v>
      </c>
      <c r="AE208" s="151" t="str">
        <f aca="false">IF(ISNUMBER(B208),B208*(1+1/'13_Mapa_Liq'!$B$19-'13_Mapa_Liq'!$B$6),"")</f>
        <v/>
      </c>
      <c r="AF208" s="151" t="n">
        <f aca="false">IF(ISNUMBER(B208),IF(L208&lt;AE208,J208*'13_Mapa_Liq'!$C$19,0),0)</f>
        <v>0</v>
      </c>
      <c r="AG208" s="151"/>
      <c r="AH208" s="151" t="n">
        <f aca="false">IF(ISNUMBER(B208),E208*F208*((K208&lt;=M208)*'13_Mapa_Liq'!$C$15+(K208&lt;=Q208)*'13_Mapa_Liq'!$C$16+(K208&lt;=U208)*'13_Mapa_Liq'!$C$17+(K208&lt;=Y208)*'13_Mapa_Liq'!$C$18+(K208&lt;=AC208)*'13_Mapa_Liq'!$C$19),0)</f>
        <v>0</v>
      </c>
      <c r="AI208" s="151" t="n">
        <f aca="false">IF(ISNUMBER(B208),E208*(1-F208)*((L208&gt;=O208)*'13_Mapa_Liq'!$C$15+(L208&gt;=S208)*'13_Mapa_Liq'!$C$16+(L208&gt;=W208)*'13_Mapa_Liq'!$C$17+(L208&gt;=AA208)*'13_Mapa_Liq'!$C$18+(L208&gt;=AE208)*'13_Mapa_Liq'!$C$19),0)</f>
        <v>0</v>
      </c>
    </row>
    <row r="209" customFormat="false" ht="15" hidden="false" customHeight="false" outlineLevel="0" collapsed="false">
      <c r="A209" s="151" t="str">
        <f aca="false">IF(ISNUMBER('12_Datos_5m'!F209),ROW()-4,"")</f>
        <v/>
      </c>
      <c r="B209" s="151" t="str">
        <f aca="false">IF(ISNUMBER('12_Datos_5m'!F209),'12_Datos_5m'!F209,"")</f>
        <v/>
      </c>
      <c r="C209" s="151" t="str">
        <f aca="false">IF(ISNUMBER('12_Datos_5m'!A209),'12_Datos_5m'!A209,"")</f>
        <v/>
      </c>
      <c r="D209" s="151" t="n">
        <f aca="false">IF(AND(ISNUMBER('12_Datos_5m'!I209),ISNUMBER('12_Datos_5m'!I208)),'12_Datos_5m'!I209-'12_Datos_5m'!I208,0)</f>
        <v>0</v>
      </c>
      <c r="E209" s="151" t="n">
        <f aca="false">MAX(0,D209)</f>
        <v>0</v>
      </c>
      <c r="F209" s="151" t="n">
        <f aca="false">IF(AND(ISNUMBER('12_Datos_5m'!G209),N('12_Datos_5m'!G209)&gt;0),'12_Datos_5m'!H209/'12_Datos_5m'!G209,0.5)</f>
        <v>0.5</v>
      </c>
      <c r="G209" s="151" t="n">
        <f aca="false">IF(ISNUMBER(C209),($C$2-C209)/3600000,0)</f>
        <v>0</v>
      </c>
      <c r="H209" s="151" t="n">
        <f aca="false">EXP(-G209/'13_Mapa_Liq'!$B$7)</f>
        <v>1</v>
      </c>
      <c r="I209" s="151" t="n">
        <f aca="false">E209*F209*H209</f>
        <v>0</v>
      </c>
      <c r="J209" s="151" t="n">
        <f aca="false">E209*(1-F209)*H209</f>
        <v>0</v>
      </c>
      <c r="K209" s="151" t="n">
        <f aca="false">IF(COUNT('12_Datos_5m'!E210:E$504)=0,1000000000000,MIN('12_Datos_5m'!E210:E$504))</f>
        <v>1000000000000</v>
      </c>
      <c r="L209" s="151" t="n">
        <f aca="false">IF(COUNT('12_Datos_5m'!D210:D$504)=0,0,MAX('12_Datos_5m'!D210:D$504))</f>
        <v>0</v>
      </c>
      <c r="M209" s="151" t="str">
        <f aca="false">IF(ISNUMBER(B209),B209*(1-1/'13_Mapa_Liq'!$B$15+'13_Mapa_Liq'!$B$6),"")</f>
        <v/>
      </c>
      <c r="N209" s="151" t="n">
        <f aca="false">IF(ISNUMBER(B209),IF(K209&gt;M209,I209*'13_Mapa_Liq'!$C$15,0),0)</f>
        <v>0</v>
      </c>
      <c r="O209" s="151" t="str">
        <f aca="false">IF(ISNUMBER(B209),B209*(1+1/'13_Mapa_Liq'!$B$15-'13_Mapa_Liq'!$B$6),"")</f>
        <v/>
      </c>
      <c r="P209" s="151" t="n">
        <f aca="false">IF(ISNUMBER(B209),IF(L209&lt;O209,J209*'13_Mapa_Liq'!$C$15,0),0)</f>
        <v>0</v>
      </c>
      <c r="Q209" s="151" t="str">
        <f aca="false">IF(ISNUMBER(B209),B209*(1-1/'13_Mapa_Liq'!$B$16+'13_Mapa_Liq'!$B$6),"")</f>
        <v/>
      </c>
      <c r="R209" s="151" t="n">
        <f aca="false">IF(ISNUMBER(B209),IF(K209&gt;Q209,I209*'13_Mapa_Liq'!$C$16,0),0)</f>
        <v>0</v>
      </c>
      <c r="S209" s="151" t="str">
        <f aca="false">IF(ISNUMBER(B209),B209*(1+1/'13_Mapa_Liq'!$B$16-'13_Mapa_Liq'!$B$6),"")</f>
        <v/>
      </c>
      <c r="T209" s="151" t="n">
        <f aca="false">IF(ISNUMBER(B209),IF(L209&lt;S209,J209*'13_Mapa_Liq'!$C$16,0),0)</f>
        <v>0</v>
      </c>
      <c r="U209" s="151" t="str">
        <f aca="false">IF(ISNUMBER(B209),B209*(1-1/'13_Mapa_Liq'!$B$17+'13_Mapa_Liq'!$B$6),"")</f>
        <v/>
      </c>
      <c r="V209" s="151" t="n">
        <f aca="false">IF(ISNUMBER(B209),IF(K209&gt;U209,I209*'13_Mapa_Liq'!$C$17,0),0)</f>
        <v>0</v>
      </c>
      <c r="W209" s="151" t="str">
        <f aca="false">IF(ISNUMBER(B209),B209*(1+1/'13_Mapa_Liq'!$B$17-'13_Mapa_Liq'!$B$6),"")</f>
        <v/>
      </c>
      <c r="X209" s="151" t="n">
        <f aca="false">IF(ISNUMBER(B209),IF(L209&lt;W209,J209*'13_Mapa_Liq'!$C$17,0),0)</f>
        <v>0</v>
      </c>
      <c r="Y209" s="151" t="str">
        <f aca="false">IF(ISNUMBER(B209),B209*(1-1/'13_Mapa_Liq'!$B$18+'13_Mapa_Liq'!$B$6),"")</f>
        <v/>
      </c>
      <c r="Z209" s="151" t="n">
        <f aca="false">IF(ISNUMBER(B209),IF(K209&gt;Y209,I209*'13_Mapa_Liq'!$C$18,0),0)</f>
        <v>0</v>
      </c>
      <c r="AA209" s="151" t="str">
        <f aca="false">IF(ISNUMBER(B209),B209*(1+1/'13_Mapa_Liq'!$B$18-'13_Mapa_Liq'!$B$6),"")</f>
        <v/>
      </c>
      <c r="AB209" s="151" t="n">
        <f aca="false">IF(ISNUMBER(B209),IF(L209&lt;AA209,J209*'13_Mapa_Liq'!$C$18,0),0)</f>
        <v>0</v>
      </c>
      <c r="AC209" s="151" t="str">
        <f aca="false">IF(ISNUMBER(B209),B209*(1-1/'13_Mapa_Liq'!$B$19+'13_Mapa_Liq'!$B$6),"")</f>
        <v/>
      </c>
      <c r="AD209" s="151" t="n">
        <f aca="false">IF(ISNUMBER(B209),IF(K209&gt;AC209,I209*'13_Mapa_Liq'!$C$19,0),0)</f>
        <v>0</v>
      </c>
      <c r="AE209" s="151" t="str">
        <f aca="false">IF(ISNUMBER(B209),B209*(1+1/'13_Mapa_Liq'!$B$19-'13_Mapa_Liq'!$B$6),"")</f>
        <v/>
      </c>
      <c r="AF209" s="151" t="n">
        <f aca="false">IF(ISNUMBER(B209),IF(L209&lt;AE209,J209*'13_Mapa_Liq'!$C$19,0),0)</f>
        <v>0</v>
      </c>
      <c r="AG209" s="151"/>
      <c r="AH209" s="151" t="n">
        <f aca="false">IF(ISNUMBER(B209),E209*F209*((K209&lt;=M209)*'13_Mapa_Liq'!$C$15+(K209&lt;=Q209)*'13_Mapa_Liq'!$C$16+(K209&lt;=U209)*'13_Mapa_Liq'!$C$17+(K209&lt;=Y209)*'13_Mapa_Liq'!$C$18+(K209&lt;=AC209)*'13_Mapa_Liq'!$C$19),0)</f>
        <v>0</v>
      </c>
      <c r="AI209" s="151" t="n">
        <f aca="false">IF(ISNUMBER(B209),E209*(1-F209)*((L209&gt;=O209)*'13_Mapa_Liq'!$C$15+(L209&gt;=S209)*'13_Mapa_Liq'!$C$16+(L209&gt;=W209)*'13_Mapa_Liq'!$C$17+(L209&gt;=AA209)*'13_Mapa_Liq'!$C$18+(L209&gt;=AE209)*'13_Mapa_Liq'!$C$19),0)</f>
        <v>0</v>
      </c>
    </row>
    <row r="210" customFormat="false" ht="15" hidden="false" customHeight="false" outlineLevel="0" collapsed="false">
      <c r="A210" s="151" t="str">
        <f aca="false">IF(ISNUMBER('12_Datos_5m'!F210),ROW()-4,"")</f>
        <v/>
      </c>
      <c r="B210" s="151" t="str">
        <f aca="false">IF(ISNUMBER('12_Datos_5m'!F210),'12_Datos_5m'!F210,"")</f>
        <v/>
      </c>
      <c r="C210" s="151" t="str">
        <f aca="false">IF(ISNUMBER('12_Datos_5m'!A210),'12_Datos_5m'!A210,"")</f>
        <v/>
      </c>
      <c r="D210" s="151" t="n">
        <f aca="false">IF(AND(ISNUMBER('12_Datos_5m'!I210),ISNUMBER('12_Datos_5m'!I209)),'12_Datos_5m'!I210-'12_Datos_5m'!I209,0)</f>
        <v>0</v>
      </c>
      <c r="E210" s="151" t="n">
        <f aca="false">MAX(0,D210)</f>
        <v>0</v>
      </c>
      <c r="F210" s="151" t="n">
        <f aca="false">IF(AND(ISNUMBER('12_Datos_5m'!G210),N('12_Datos_5m'!G210)&gt;0),'12_Datos_5m'!H210/'12_Datos_5m'!G210,0.5)</f>
        <v>0.5</v>
      </c>
      <c r="G210" s="151" t="n">
        <f aca="false">IF(ISNUMBER(C210),($C$2-C210)/3600000,0)</f>
        <v>0</v>
      </c>
      <c r="H210" s="151" t="n">
        <f aca="false">EXP(-G210/'13_Mapa_Liq'!$B$7)</f>
        <v>1</v>
      </c>
      <c r="I210" s="151" t="n">
        <f aca="false">E210*F210*H210</f>
        <v>0</v>
      </c>
      <c r="J210" s="151" t="n">
        <f aca="false">E210*(1-F210)*H210</f>
        <v>0</v>
      </c>
      <c r="K210" s="151" t="n">
        <f aca="false">IF(COUNT('12_Datos_5m'!E211:E$504)=0,1000000000000,MIN('12_Datos_5m'!E211:E$504))</f>
        <v>1000000000000</v>
      </c>
      <c r="L210" s="151" t="n">
        <f aca="false">IF(COUNT('12_Datos_5m'!D211:D$504)=0,0,MAX('12_Datos_5m'!D211:D$504))</f>
        <v>0</v>
      </c>
      <c r="M210" s="151" t="str">
        <f aca="false">IF(ISNUMBER(B210),B210*(1-1/'13_Mapa_Liq'!$B$15+'13_Mapa_Liq'!$B$6),"")</f>
        <v/>
      </c>
      <c r="N210" s="151" t="n">
        <f aca="false">IF(ISNUMBER(B210),IF(K210&gt;M210,I210*'13_Mapa_Liq'!$C$15,0),0)</f>
        <v>0</v>
      </c>
      <c r="O210" s="151" t="str">
        <f aca="false">IF(ISNUMBER(B210),B210*(1+1/'13_Mapa_Liq'!$B$15-'13_Mapa_Liq'!$B$6),"")</f>
        <v/>
      </c>
      <c r="P210" s="151" t="n">
        <f aca="false">IF(ISNUMBER(B210),IF(L210&lt;O210,J210*'13_Mapa_Liq'!$C$15,0),0)</f>
        <v>0</v>
      </c>
      <c r="Q210" s="151" t="str">
        <f aca="false">IF(ISNUMBER(B210),B210*(1-1/'13_Mapa_Liq'!$B$16+'13_Mapa_Liq'!$B$6),"")</f>
        <v/>
      </c>
      <c r="R210" s="151" t="n">
        <f aca="false">IF(ISNUMBER(B210),IF(K210&gt;Q210,I210*'13_Mapa_Liq'!$C$16,0),0)</f>
        <v>0</v>
      </c>
      <c r="S210" s="151" t="str">
        <f aca="false">IF(ISNUMBER(B210),B210*(1+1/'13_Mapa_Liq'!$B$16-'13_Mapa_Liq'!$B$6),"")</f>
        <v/>
      </c>
      <c r="T210" s="151" t="n">
        <f aca="false">IF(ISNUMBER(B210),IF(L210&lt;S210,J210*'13_Mapa_Liq'!$C$16,0),0)</f>
        <v>0</v>
      </c>
      <c r="U210" s="151" t="str">
        <f aca="false">IF(ISNUMBER(B210),B210*(1-1/'13_Mapa_Liq'!$B$17+'13_Mapa_Liq'!$B$6),"")</f>
        <v/>
      </c>
      <c r="V210" s="151" t="n">
        <f aca="false">IF(ISNUMBER(B210),IF(K210&gt;U210,I210*'13_Mapa_Liq'!$C$17,0),0)</f>
        <v>0</v>
      </c>
      <c r="W210" s="151" t="str">
        <f aca="false">IF(ISNUMBER(B210),B210*(1+1/'13_Mapa_Liq'!$B$17-'13_Mapa_Liq'!$B$6),"")</f>
        <v/>
      </c>
      <c r="X210" s="151" t="n">
        <f aca="false">IF(ISNUMBER(B210),IF(L210&lt;W210,J210*'13_Mapa_Liq'!$C$17,0),0)</f>
        <v>0</v>
      </c>
      <c r="Y210" s="151" t="str">
        <f aca="false">IF(ISNUMBER(B210),B210*(1-1/'13_Mapa_Liq'!$B$18+'13_Mapa_Liq'!$B$6),"")</f>
        <v/>
      </c>
      <c r="Z210" s="151" t="n">
        <f aca="false">IF(ISNUMBER(B210),IF(K210&gt;Y210,I210*'13_Mapa_Liq'!$C$18,0),0)</f>
        <v>0</v>
      </c>
      <c r="AA210" s="151" t="str">
        <f aca="false">IF(ISNUMBER(B210),B210*(1+1/'13_Mapa_Liq'!$B$18-'13_Mapa_Liq'!$B$6),"")</f>
        <v/>
      </c>
      <c r="AB210" s="151" t="n">
        <f aca="false">IF(ISNUMBER(B210),IF(L210&lt;AA210,J210*'13_Mapa_Liq'!$C$18,0),0)</f>
        <v>0</v>
      </c>
      <c r="AC210" s="151" t="str">
        <f aca="false">IF(ISNUMBER(B210),B210*(1-1/'13_Mapa_Liq'!$B$19+'13_Mapa_Liq'!$B$6),"")</f>
        <v/>
      </c>
      <c r="AD210" s="151" t="n">
        <f aca="false">IF(ISNUMBER(B210),IF(K210&gt;AC210,I210*'13_Mapa_Liq'!$C$19,0),0)</f>
        <v>0</v>
      </c>
      <c r="AE210" s="151" t="str">
        <f aca="false">IF(ISNUMBER(B210),B210*(1+1/'13_Mapa_Liq'!$B$19-'13_Mapa_Liq'!$B$6),"")</f>
        <v/>
      </c>
      <c r="AF210" s="151" t="n">
        <f aca="false">IF(ISNUMBER(B210),IF(L210&lt;AE210,J210*'13_Mapa_Liq'!$C$19,0),0)</f>
        <v>0</v>
      </c>
      <c r="AG210" s="151"/>
      <c r="AH210" s="151" t="n">
        <f aca="false">IF(ISNUMBER(B210),E210*F210*((K210&lt;=M210)*'13_Mapa_Liq'!$C$15+(K210&lt;=Q210)*'13_Mapa_Liq'!$C$16+(K210&lt;=U210)*'13_Mapa_Liq'!$C$17+(K210&lt;=Y210)*'13_Mapa_Liq'!$C$18+(K210&lt;=AC210)*'13_Mapa_Liq'!$C$19),0)</f>
        <v>0</v>
      </c>
      <c r="AI210" s="151" t="n">
        <f aca="false">IF(ISNUMBER(B210),E210*(1-F210)*((L210&gt;=O210)*'13_Mapa_Liq'!$C$15+(L210&gt;=S210)*'13_Mapa_Liq'!$C$16+(L210&gt;=W210)*'13_Mapa_Liq'!$C$17+(L210&gt;=AA210)*'13_Mapa_Liq'!$C$18+(L210&gt;=AE210)*'13_Mapa_Liq'!$C$19),0)</f>
        <v>0</v>
      </c>
    </row>
    <row r="211" customFormat="false" ht="15" hidden="false" customHeight="false" outlineLevel="0" collapsed="false">
      <c r="A211" s="151" t="str">
        <f aca="false">IF(ISNUMBER('12_Datos_5m'!F211),ROW()-4,"")</f>
        <v/>
      </c>
      <c r="B211" s="151" t="str">
        <f aca="false">IF(ISNUMBER('12_Datos_5m'!F211),'12_Datos_5m'!F211,"")</f>
        <v/>
      </c>
      <c r="C211" s="151" t="str">
        <f aca="false">IF(ISNUMBER('12_Datos_5m'!A211),'12_Datos_5m'!A211,"")</f>
        <v/>
      </c>
      <c r="D211" s="151" t="n">
        <f aca="false">IF(AND(ISNUMBER('12_Datos_5m'!I211),ISNUMBER('12_Datos_5m'!I210)),'12_Datos_5m'!I211-'12_Datos_5m'!I210,0)</f>
        <v>0</v>
      </c>
      <c r="E211" s="151" t="n">
        <f aca="false">MAX(0,D211)</f>
        <v>0</v>
      </c>
      <c r="F211" s="151" t="n">
        <f aca="false">IF(AND(ISNUMBER('12_Datos_5m'!G211),N('12_Datos_5m'!G211)&gt;0),'12_Datos_5m'!H211/'12_Datos_5m'!G211,0.5)</f>
        <v>0.5</v>
      </c>
      <c r="G211" s="151" t="n">
        <f aca="false">IF(ISNUMBER(C211),($C$2-C211)/3600000,0)</f>
        <v>0</v>
      </c>
      <c r="H211" s="151" t="n">
        <f aca="false">EXP(-G211/'13_Mapa_Liq'!$B$7)</f>
        <v>1</v>
      </c>
      <c r="I211" s="151" t="n">
        <f aca="false">E211*F211*H211</f>
        <v>0</v>
      </c>
      <c r="J211" s="151" t="n">
        <f aca="false">E211*(1-F211)*H211</f>
        <v>0</v>
      </c>
      <c r="K211" s="151" t="n">
        <f aca="false">IF(COUNT('12_Datos_5m'!E212:E$504)=0,1000000000000,MIN('12_Datos_5m'!E212:E$504))</f>
        <v>1000000000000</v>
      </c>
      <c r="L211" s="151" t="n">
        <f aca="false">IF(COUNT('12_Datos_5m'!D212:D$504)=0,0,MAX('12_Datos_5m'!D212:D$504))</f>
        <v>0</v>
      </c>
      <c r="M211" s="151" t="str">
        <f aca="false">IF(ISNUMBER(B211),B211*(1-1/'13_Mapa_Liq'!$B$15+'13_Mapa_Liq'!$B$6),"")</f>
        <v/>
      </c>
      <c r="N211" s="151" t="n">
        <f aca="false">IF(ISNUMBER(B211),IF(K211&gt;M211,I211*'13_Mapa_Liq'!$C$15,0),0)</f>
        <v>0</v>
      </c>
      <c r="O211" s="151" t="str">
        <f aca="false">IF(ISNUMBER(B211),B211*(1+1/'13_Mapa_Liq'!$B$15-'13_Mapa_Liq'!$B$6),"")</f>
        <v/>
      </c>
      <c r="P211" s="151" t="n">
        <f aca="false">IF(ISNUMBER(B211),IF(L211&lt;O211,J211*'13_Mapa_Liq'!$C$15,0),0)</f>
        <v>0</v>
      </c>
      <c r="Q211" s="151" t="str">
        <f aca="false">IF(ISNUMBER(B211),B211*(1-1/'13_Mapa_Liq'!$B$16+'13_Mapa_Liq'!$B$6),"")</f>
        <v/>
      </c>
      <c r="R211" s="151" t="n">
        <f aca="false">IF(ISNUMBER(B211),IF(K211&gt;Q211,I211*'13_Mapa_Liq'!$C$16,0),0)</f>
        <v>0</v>
      </c>
      <c r="S211" s="151" t="str">
        <f aca="false">IF(ISNUMBER(B211),B211*(1+1/'13_Mapa_Liq'!$B$16-'13_Mapa_Liq'!$B$6),"")</f>
        <v/>
      </c>
      <c r="T211" s="151" t="n">
        <f aca="false">IF(ISNUMBER(B211),IF(L211&lt;S211,J211*'13_Mapa_Liq'!$C$16,0),0)</f>
        <v>0</v>
      </c>
      <c r="U211" s="151" t="str">
        <f aca="false">IF(ISNUMBER(B211),B211*(1-1/'13_Mapa_Liq'!$B$17+'13_Mapa_Liq'!$B$6),"")</f>
        <v/>
      </c>
      <c r="V211" s="151" t="n">
        <f aca="false">IF(ISNUMBER(B211),IF(K211&gt;U211,I211*'13_Mapa_Liq'!$C$17,0),0)</f>
        <v>0</v>
      </c>
      <c r="W211" s="151" t="str">
        <f aca="false">IF(ISNUMBER(B211),B211*(1+1/'13_Mapa_Liq'!$B$17-'13_Mapa_Liq'!$B$6),"")</f>
        <v/>
      </c>
      <c r="X211" s="151" t="n">
        <f aca="false">IF(ISNUMBER(B211),IF(L211&lt;W211,J211*'13_Mapa_Liq'!$C$17,0),0)</f>
        <v>0</v>
      </c>
      <c r="Y211" s="151" t="str">
        <f aca="false">IF(ISNUMBER(B211),B211*(1-1/'13_Mapa_Liq'!$B$18+'13_Mapa_Liq'!$B$6),"")</f>
        <v/>
      </c>
      <c r="Z211" s="151" t="n">
        <f aca="false">IF(ISNUMBER(B211),IF(K211&gt;Y211,I211*'13_Mapa_Liq'!$C$18,0),0)</f>
        <v>0</v>
      </c>
      <c r="AA211" s="151" t="str">
        <f aca="false">IF(ISNUMBER(B211),B211*(1+1/'13_Mapa_Liq'!$B$18-'13_Mapa_Liq'!$B$6),"")</f>
        <v/>
      </c>
      <c r="AB211" s="151" t="n">
        <f aca="false">IF(ISNUMBER(B211),IF(L211&lt;AA211,J211*'13_Mapa_Liq'!$C$18,0),0)</f>
        <v>0</v>
      </c>
      <c r="AC211" s="151" t="str">
        <f aca="false">IF(ISNUMBER(B211),B211*(1-1/'13_Mapa_Liq'!$B$19+'13_Mapa_Liq'!$B$6),"")</f>
        <v/>
      </c>
      <c r="AD211" s="151" t="n">
        <f aca="false">IF(ISNUMBER(B211),IF(K211&gt;AC211,I211*'13_Mapa_Liq'!$C$19,0),0)</f>
        <v>0</v>
      </c>
      <c r="AE211" s="151" t="str">
        <f aca="false">IF(ISNUMBER(B211),B211*(1+1/'13_Mapa_Liq'!$B$19-'13_Mapa_Liq'!$B$6),"")</f>
        <v/>
      </c>
      <c r="AF211" s="151" t="n">
        <f aca="false">IF(ISNUMBER(B211),IF(L211&lt;AE211,J211*'13_Mapa_Liq'!$C$19,0),0)</f>
        <v>0</v>
      </c>
      <c r="AG211" s="151"/>
      <c r="AH211" s="151" t="n">
        <f aca="false">IF(ISNUMBER(B211),E211*F211*((K211&lt;=M211)*'13_Mapa_Liq'!$C$15+(K211&lt;=Q211)*'13_Mapa_Liq'!$C$16+(K211&lt;=U211)*'13_Mapa_Liq'!$C$17+(K211&lt;=Y211)*'13_Mapa_Liq'!$C$18+(K211&lt;=AC211)*'13_Mapa_Liq'!$C$19),0)</f>
        <v>0</v>
      </c>
      <c r="AI211" s="151" t="n">
        <f aca="false">IF(ISNUMBER(B211),E211*(1-F211)*((L211&gt;=O211)*'13_Mapa_Liq'!$C$15+(L211&gt;=S211)*'13_Mapa_Liq'!$C$16+(L211&gt;=W211)*'13_Mapa_Liq'!$C$17+(L211&gt;=AA211)*'13_Mapa_Liq'!$C$18+(L211&gt;=AE211)*'13_Mapa_Liq'!$C$19),0)</f>
        <v>0</v>
      </c>
    </row>
    <row r="212" customFormat="false" ht="15" hidden="false" customHeight="false" outlineLevel="0" collapsed="false">
      <c r="A212" s="151" t="str">
        <f aca="false">IF(ISNUMBER('12_Datos_5m'!F212),ROW()-4,"")</f>
        <v/>
      </c>
      <c r="B212" s="151" t="str">
        <f aca="false">IF(ISNUMBER('12_Datos_5m'!F212),'12_Datos_5m'!F212,"")</f>
        <v/>
      </c>
      <c r="C212" s="151" t="str">
        <f aca="false">IF(ISNUMBER('12_Datos_5m'!A212),'12_Datos_5m'!A212,"")</f>
        <v/>
      </c>
      <c r="D212" s="151" t="n">
        <f aca="false">IF(AND(ISNUMBER('12_Datos_5m'!I212),ISNUMBER('12_Datos_5m'!I211)),'12_Datos_5m'!I212-'12_Datos_5m'!I211,0)</f>
        <v>0</v>
      </c>
      <c r="E212" s="151" t="n">
        <f aca="false">MAX(0,D212)</f>
        <v>0</v>
      </c>
      <c r="F212" s="151" t="n">
        <f aca="false">IF(AND(ISNUMBER('12_Datos_5m'!G212),N('12_Datos_5m'!G212)&gt;0),'12_Datos_5m'!H212/'12_Datos_5m'!G212,0.5)</f>
        <v>0.5</v>
      </c>
      <c r="G212" s="151" t="n">
        <f aca="false">IF(ISNUMBER(C212),($C$2-C212)/3600000,0)</f>
        <v>0</v>
      </c>
      <c r="H212" s="151" t="n">
        <f aca="false">EXP(-G212/'13_Mapa_Liq'!$B$7)</f>
        <v>1</v>
      </c>
      <c r="I212" s="151" t="n">
        <f aca="false">E212*F212*H212</f>
        <v>0</v>
      </c>
      <c r="J212" s="151" t="n">
        <f aca="false">E212*(1-F212)*H212</f>
        <v>0</v>
      </c>
      <c r="K212" s="151" t="n">
        <f aca="false">IF(COUNT('12_Datos_5m'!E213:E$504)=0,1000000000000,MIN('12_Datos_5m'!E213:E$504))</f>
        <v>1000000000000</v>
      </c>
      <c r="L212" s="151" t="n">
        <f aca="false">IF(COUNT('12_Datos_5m'!D213:D$504)=0,0,MAX('12_Datos_5m'!D213:D$504))</f>
        <v>0</v>
      </c>
      <c r="M212" s="151" t="str">
        <f aca="false">IF(ISNUMBER(B212),B212*(1-1/'13_Mapa_Liq'!$B$15+'13_Mapa_Liq'!$B$6),"")</f>
        <v/>
      </c>
      <c r="N212" s="151" t="n">
        <f aca="false">IF(ISNUMBER(B212),IF(K212&gt;M212,I212*'13_Mapa_Liq'!$C$15,0),0)</f>
        <v>0</v>
      </c>
      <c r="O212" s="151" t="str">
        <f aca="false">IF(ISNUMBER(B212),B212*(1+1/'13_Mapa_Liq'!$B$15-'13_Mapa_Liq'!$B$6),"")</f>
        <v/>
      </c>
      <c r="P212" s="151" t="n">
        <f aca="false">IF(ISNUMBER(B212),IF(L212&lt;O212,J212*'13_Mapa_Liq'!$C$15,0),0)</f>
        <v>0</v>
      </c>
      <c r="Q212" s="151" t="str">
        <f aca="false">IF(ISNUMBER(B212),B212*(1-1/'13_Mapa_Liq'!$B$16+'13_Mapa_Liq'!$B$6),"")</f>
        <v/>
      </c>
      <c r="R212" s="151" t="n">
        <f aca="false">IF(ISNUMBER(B212),IF(K212&gt;Q212,I212*'13_Mapa_Liq'!$C$16,0),0)</f>
        <v>0</v>
      </c>
      <c r="S212" s="151" t="str">
        <f aca="false">IF(ISNUMBER(B212),B212*(1+1/'13_Mapa_Liq'!$B$16-'13_Mapa_Liq'!$B$6),"")</f>
        <v/>
      </c>
      <c r="T212" s="151" t="n">
        <f aca="false">IF(ISNUMBER(B212),IF(L212&lt;S212,J212*'13_Mapa_Liq'!$C$16,0),0)</f>
        <v>0</v>
      </c>
      <c r="U212" s="151" t="str">
        <f aca="false">IF(ISNUMBER(B212),B212*(1-1/'13_Mapa_Liq'!$B$17+'13_Mapa_Liq'!$B$6),"")</f>
        <v/>
      </c>
      <c r="V212" s="151" t="n">
        <f aca="false">IF(ISNUMBER(B212),IF(K212&gt;U212,I212*'13_Mapa_Liq'!$C$17,0),0)</f>
        <v>0</v>
      </c>
      <c r="W212" s="151" t="str">
        <f aca="false">IF(ISNUMBER(B212),B212*(1+1/'13_Mapa_Liq'!$B$17-'13_Mapa_Liq'!$B$6),"")</f>
        <v/>
      </c>
      <c r="X212" s="151" t="n">
        <f aca="false">IF(ISNUMBER(B212),IF(L212&lt;W212,J212*'13_Mapa_Liq'!$C$17,0),0)</f>
        <v>0</v>
      </c>
      <c r="Y212" s="151" t="str">
        <f aca="false">IF(ISNUMBER(B212),B212*(1-1/'13_Mapa_Liq'!$B$18+'13_Mapa_Liq'!$B$6),"")</f>
        <v/>
      </c>
      <c r="Z212" s="151" t="n">
        <f aca="false">IF(ISNUMBER(B212),IF(K212&gt;Y212,I212*'13_Mapa_Liq'!$C$18,0),0)</f>
        <v>0</v>
      </c>
      <c r="AA212" s="151" t="str">
        <f aca="false">IF(ISNUMBER(B212),B212*(1+1/'13_Mapa_Liq'!$B$18-'13_Mapa_Liq'!$B$6),"")</f>
        <v/>
      </c>
      <c r="AB212" s="151" t="n">
        <f aca="false">IF(ISNUMBER(B212),IF(L212&lt;AA212,J212*'13_Mapa_Liq'!$C$18,0),0)</f>
        <v>0</v>
      </c>
      <c r="AC212" s="151" t="str">
        <f aca="false">IF(ISNUMBER(B212),B212*(1-1/'13_Mapa_Liq'!$B$19+'13_Mapa_Liq'!$B$6),"")</f>
        <v/>
      </c>
      <c r="AD212" s="151" t="n">
        <f aca="false">IF(ISNUMBER(B212),IF(K212&gt;AC212,I212*'13_Mapa_Liq'!$C$19,0),0)</f>
        <v>0</v>
      </c>
      <c r="AE212" s="151" t="str">
        <f aca="false">IF(ISNUMBER(B212),B212*(1+1/'13_Mapa_Liq'!$B$19-'13_Mapa_Liq'!$B$6),"")</f>
        <v/>
      </c>
      <c r="AF212" s="151" t="n">
        <f aca="false">IF(ISNUMBER(B212),IF(L212&lt;AE212,J212*'13_Mapa_Liq'!$C$19,0),0)</f>
        <v>0</v>
      </c>
      <c r="AG212" s="151"/>
      <c r="AH212" s="151" t="n">
        <f aca="false">IF(ISNUMBER(B212),E212*F212*((K212&lt;=M212)*'13_Mapa_Liq'!$C$15+(K212&lt;=Q212)*'13_Mapa_Liq'!$C$16+(K212&lt;=U212)*'13_Mapa_Liq'!$C$17+(K212&lt;=Y212)*'13_Mapa_Liq'!$C$18+(K212&lt;=AC212)*'13_Mapa_Liq'!$C$19),0)</f>
        <v>0</v>
      </c>
      <c r="AI212" s="151" t="n">
        <f aca="false">IF(ISNUMBER(B212),E212*(1-F212)*((L212&gt;=O212)*'13_Mapa_Liq'!$C$15+(L212&gt;=S212)*'13_Mapa_Liq'!$C$16+(L212&gt;=W212)*'13_Mapa_Liq'!$C$17+(L212&gt;=AA212)*'13_Mapa_Liq'!$C$18+(L212&gt;=AE212)*'13_Mapa_Liq'!$C$19),0)</f>
        <v>0</v>
      </c>
    </row>
    <row r="213" customFormat="false" ht="15" hidden="false" customHeight="false" outlineLevel="0" collapsed="false">
      <c r="A213" s="151" t="str">
        <f aca="false">IF(ISNUMBER('12_Datos_5m'!F213),ROW()-4,"")</f>
        <v/>
      </c>
      <c r="B213" s="151" t="str">
        <f aca="false">IF(ISNUMBER('12_Datos_5m'!F213),'12_Datos_5m'!F213,"")</f>
        <v/>
      </c>
      <c r="C213" s="151" t="str">
        <f aca="false">IF(ISNUMBER('12_Datos_5m'!A213),'12_Datos_5m'!A213,"")</f>
        <v/>
      </c>
      <c r="D213" s="151" t="n">
        <f aca="false">IF(AND(ISNUMBER('12_Datos_5m'!I213),ISNUMBER('12_Datos_5m'!I212)),'12_Datos_5m'!I213-'12_Datos_5m'!I212,0)</f>
        <v>0</v>
      </c>
      <c r="E213" s="151" t="n">
        <f aca="false">MAX(0,D213)</f>
        <v>0</v>
      </c>
      <c r="F213" s="151" t="n">
        <f aca="false">IF(AND(ISNUMBER('12_Datos_5m'!G213),N('12_Datos_5m'!G213)&gt;0),'12_Datos_5m'!H213/'12_Datos_5m'!G213,0.5)</f>
        <v>0.5</v>
      </c>
      <c r="G213" s="151" t="n">
        <f aca="false">IF(ISNUMBER(C213),($C$2-C213)/3600000,0)</f>
        <v>0</v>
      </c>
      <c r="H213" s="151" t="n">
        <f aca="false">EXP(-G213/'13_Mapa_Liq'!$B$7)</f>
        <v>1</v>
      </c>
      <c r="I213" s="151" t="n">
        <f aca="false">E213*F213*H213</f>
        <v>0</v>
      </c>
      <c r="J213" s="151" t="n">
        <f aca="false">E213*(1-F213)*H213</f>
        <v>0</v>
      </c>
      <c r="K213" s="151" t="n">
        <f aca="false">IF(COUNT('12_Datos_5m'!E214:E$504)=0,1000000000000,MIN('12_Datos_5m'!E214:E$504))</f>
        <v>1000000000000</v>
      </c>
      <c r="L213" s="151" t="n">
        <f aca="false">IF(COUNT('12_Datos_5m'!D214:D$504)=0,0,MAX('12_Datos_5m'!D214:D$504))</f>
        <v>0</v>
      </c>
      <c r="M213" s="151" t="str">
        <f aca="false">IF(ISNUMBER(B213),B213*(1-1/'13_Mapa_Liq'!$B$15+'13_Mapa_Liq'!$B$6),"")</f>
        <v/>
      </c>
      <c r="N213" s="151" t="n">
        <f aca="false">IF(ISNUMBER(B213),IF(K213&gt;M213,I213*'13_Mapa_Liq'!$C$15,0),0)</f>
        <v>0</v>
      </c>
      <c r="O213" s="151" t="str">
        <f aca="false">IF(ISNUMBER(B213),B213*(1+1/'13_Mapa_Liq'!$B$15-'13_Mapa_Liq'!$B$6),"")</f>
        <v/>
      </c>
      <c r="P213" s="151" t="n">
        <f aca="false">IF(ISNUMBER(B213),IF(L213&lt;O213,J213*'13_Mapa_Liq'!$C$15,0),0)</f>
        <v>0</v>
      </c>
      <c r="Q213" s="151" t="str">
        <f aca="false">IF(ISNUMBER(B213),B213*(1-1/'13_Mapa_Liq'!$B$16+'13_Mapa_Liq'!$B$6),"")</f>
        <v/>
      </c>
      <c r="R213" s="151" t="n">
        <f aca="false">IF(ISNUMBER(B213),IF(K213&gt;Q213,I213*'13_Mapa_Liq'!$C$16,0),0)</f>
        <v>0</v>
      </c>
      <c r="S213" s="151" t="str">
        <f aca="false">IF(ISNUMBER(B213),B213*(1+1/'13_Mapa_Liq'!$B$16-'13_Mapa_Liq'!$B$6),"")</f>
        <v/>
      </c>
      <c r="T213" s="151" t="n">
        <f aca="false">IF(ISNUMBER(B213),IF(L213&lt;S213,J213*'13_Mapa_Liq'!$C$16,0),0)</f>
        <v>0</v>
      </c>
      <c r="U213" s="151" t="str">
        <f aca="false">IF(ISNUMBER(B213),B213*(1-1/'13_Mapa_Liq'!$B$17+'13_Mapa_Liq'!$B$6),"")</f>
        <v/>
      </c>
      <c r="V213" s="151" t="n">
        <f aca="false">IF(ISNUMBER(B213),IF(K213&gt;U213,I213*'13_Mapa_Liq'!$C$17,0),0)</f>
        <v>0</v>
      </c>
      <c r="W213" s="151" t="str">
        <f aca="false">IF(ISNUMBER(B213),B213*(1+1/'13_Mapa_Liq'!$B$17-'13_Mapa_Liq'!$B$6),"")</f>
        <v/>
      </c>
      <c r="X213" s="151" t="n">
        <f aca="false">IF(ISNUMBER(B213),IF(L213&lt;W213,J213*'13_Mapa_Liq'!$C$17,0),0)</f>
        <v>0</v>
      </c>
      <c r="Y213" s="151" t="str">
        <f aca="false">IF(ISNUMBER(B213),B213*(1-1/'13_Mapa_Liq'!$B$18+'13_Mapa_Liq'!$B$6),"")</f>
        <v/>
      </c>
      <c r="Z213" s="151" t="n">
        <f aca="false">IF(ISNUMBER(B213),IF(K213&gt;Y213,I213*'13_Mapa_Liq'!$C$18,0),0)</f>
        <v>0</v>
      </c>
      <c r="AA213" s="151" t="str">
        <f aca="false">IF(ISNUMBER(B213),B213*(1+1/'13_Mapa_Liq'!$B$18-'13_Mapa_Liq'!$B$6),"")</f>
        <v/>
      </c>
      <c r="AB213" s="151" t="n">
        <f aca="false">IF(ISNUMBER(B213),IF(L213&lt;AA213,J213*'13_Mapa_Liq'!$C$18,0),0)</f>
        <v>0</v>
      </c>
      <c r="AC213" s="151" t="str">
        <f aca="false">IF(ISNUMBER(B213),B213*(1-1/'13_Mapa_Liq'!$B$19+'13_Mapa_Liq'!$B$6),"")</f>
        <v/>
      </c>
      <c r="AD213" s="151" t="n">
        <f aca="false">IF(ISNUMBER(B213),IF(K213&gt;AC213,I213*'13_Mapa_Liq'!$C$19,0),0)</f>
        <v>0</v>
      </c>
      <c r="AE213" s="151" t="str">
        <f aca="false">IF(ISNUMBER(B213),B213*(1+1/'13_Mapa_Liq'!$B$19-'13_Mapa_Liq'!$B$6),"")</f>
        <v/>
      </c>
      <c r="AF213" s="151" t="n">
        <f aca="false">IF(ISNUMBER(B213),IF(L213&lt;AE213,J213*'13_Mapa_Liq'!$C$19,0),0)</f>
        <v>0</v>
      </c>
      <c r="AG213" s="151"/>
      <c r="AH213" s="151" t="n">
        <f aca="false">IF(ISNUMBER(B213),E213*F213*((K213&lt;=M213)*'13_Mapa_Liq'!$C$15+(K213&lt;=Q213)*'13_Mapa_Liq'!$C$16+(K213&lt;=U213)*'13_Mapa_Liq'!$C$17+(K213&lt;=Y213)*'13_Mapa_Liq'!$C$18+(K213&lt;=AC213)*'13_Mapa_Liq'!$C$19),0)</f>
        <v>0</v>
      </c>
      <c r="AI213" s="151" t="n">
        <f aca="false">IF(ISNUMBER(B213),E213*(1-F213)*((L213&gt;=O213)*'13_Mapa_Liq'!$C$15+(L213&gt;=S213)*'13_Mapa_Liq'!$C$16+(L213&gt;=W213)*'13_Mapa_Liq'!$C$17+(L213&gt;=AA213)*'13_Mapa_Liq'!$C$18+(L213&gt;=AE213)*'13_Mapa_Liq'!$C$19),0)</f>
        <v>0</v>
      </c>
    </row>
    <row r="214" customFormat="false" ht="15" hidden="false" customHeight="false" outlineLevel="0" collapsed="false">
      <c r="A214" s="151" t="str">
        <f aca="false">IF(ISNUMBER('12_Datos_5m'!F214),ROW()-4,"")</f>
        <v/>
      </c>
      <c r="B214" s="151" t="str">
        <f aca="false">IF(ISNUMBER('12_Datos_5m'!F214),'12_Datos_5m'!F214,"")</f>
        <v/>
      </c>
      <c r="C214" s="151" t="str">
        <f aca="false">IF(ISNUMBER('12_Datos_5m'!A214),'12_Datos_5m'!A214,"")</f>
        <v/>
      </c>
      <c r="D214" s="151" t="n">
        <f aca="false">IF(AND(ISNUMBER('12_Datos_5m'!I214),ISNUMBER('12_Datos_5m'!I213)),'12_Datos_5m'!I214-'12_Datos_5m'!I213,0)</f>
        <v>0</v>
      </c>
      <c r="E214" s="151" t="n">
        <f aca="false">MAX(0,D214)</f>
        <v>0</v>
      </c>
      <c r="F214" s="151" t="n">
        <f aca="false">IF(AND(ISNUMBER('12_Datos_5m'!G214),N('12_Datos_5m'!G214)&gt;0),'12_Datos_5m'!H214/'12_Datos_5m'!G214,0.5)</f>
        <v>0.5</v>
      </c>
      <c r="G214" s="151" t="n">
        <f aca="false">IF(ISNUMBER(C214),($C$2-C214)/3600000,0)</f>
        <v>0</v>
      </c>
      <c r="H214" s="151" t="n">
        <f aca="false">EXP(-G214/'13_Mapa_Liq'!$B$7)</f>
        <v>1</v>
      </c>
      <c r="I214" s="151" t="n">
        <f aca="false">E214*F214*H214</f>
        <v>0</v>
      </c>
      <c r="J214" s="151" t="n">
        <f aca="false">E214*(1-F214)*H214</f>
        <v>0</v>
      </c>
      <c r="K214" s="151" t="n">
        <f aca="false">IF(COUNT('12_Datos_5m'!E215:E$504)=0,1000000000000,MIN('12_Datos_5m'!E215:E$504))</f>
        <v>1000000000000</v>
      </c>
      <c r="L214" s="151" t="n">
        <f aca="false">IF(COUNT('12_Datos_5m'!D215:D$504)=0,0,MAX('12_Datos_5m'!D215:D$504))</f>
        <v>0</v>
      </c>
      <c r="M214" s="151" t="str">
        <f aca="false">IF(ISNUMBER(B214),B214*(1-1/'13_Mapa_Liq'!$B$15+'13_Mapa_Liq'!$B$6),"")</f>
        <v/>
      </c>
      <c r="N214" s="151" t="n">
        <f aca="false">IF(ISNUMBER(B214),IF(K214&gt;M214,I214*'13_Mapa_Liq'!$C$15,0),0)</f>
        <v>0</v>
      </c>
      <c r="O214" s="151" t="str">
        <f aca="false">IF(ISNUMBER(B214),B214*(1+1/'13_Mapa_Liq'!$B$15-'13_Mapa_Liq'!$B$6),"")</f>
        <v/>
      </c>
      <c r="P214" s="151" t="n">
        <f aca="false">IF(ISNUMBER(B214),IF(L214&lt;O214,J214*'13_Mapa_Liq'!$C$15,0),0)</f>
        <v>0</v>
      </c>
      <c r="Q214" s="151" t="str">
        <f aca="false">IF(ISNUMBER(B214),B214*(1-1/'13_Mapa_Liq'!$B$16+'13_Mapa_Liq'!$B$6),"")</f>
        <v/>
      </c>
      <c r="R214" s="151" t="n">
        <f aca="false">IF(ISNUMBER(B214),IF(K214&gt;Q214,I214*'13_Mapa_Liq'!$C$16,0),0)</f>
        <v>0</v>
      </c>
      <c r="S214" s="151" t="str">
        <f aca="false">IF(ISNUMBER(B214),B214*(1+1/'13_Mapa_Liq'!$B$16-'13_Mapa_Liq'!$B$6),"")</f>
        <v/>
      </c>
      <c r="T214" s="151" t="n">
        <f aca="false">IF(ISNUMBER(B214),IF(L214&lt;S214,J214*'13_Mapa_Liq'!$C$16,0),0)</f>
        <v>0</v>
      </c>
      <c r="U214" s="151" t="str">
        <f aca="false">IF(ISNUMBER(B214),B214*(1-1/'13_Mapa_Liq'!$B$17+'13_Mapa_Liq'!$B$6),"")</f>
        <v/>
      </c>
      <c r="V214" s="151" t="n">
        <f aca="false">IF(ISNUMBER(B214),IF(K214&gt;U214,I214*'13_Mapa_Liq'!$C$17,0),0)</f>
        <v>0</v>
      </c>
      <c r="W214" s="151" t="str">
        <f aca="false">IF(ISNUMBER(B214),B214*(1+1/'13_Mapa_Liq'!$B$17-'13_Mapa_Liq'!$B$6),"")</f>
        <v/>
      </c>
      <c r="X214" s="151" t="n">
        <f aca="false">IF(ISNUMBER(B214),IF(L214&lt;W214,J214*'13_Mapa_Liq'!$C$17,0),0)</f>
        <v>0</v>
      </c>
      <c r="Y214" s="151" t="str">
        <f aca="false">IF(ISNUMBER(B214),B214*(1-1/'13_Mapa_Liq'!$B$18+'13_Mapa_Liq'!$B$6),"")</f>
        <v/>
      </c>
      <c r="Z214" s="151" t="n">
        <f aca="false">IF(ISNUMBER(B214),IF(K214&gt;Y214,I214*'13_Mapa_Liq'!$C$18,0),0)</f>
        <v>0</v>
      </c>
      <c r="AA214" s="151" t="str">
        <f aca="false">IF(ISNUMBER(B214),B214*(1+1/'13_Mapa_Liq'!$B$18-'13_Mapa_Liq'!$B$6),"")</f>
        <v/>
      </c>
      <c r="AB214" s="151" t="n">
        <f aca="false">IF(ISNUMBER(B214),IF(L214&lt;AA214,J214*'13_Mapa_Liq'!$C$18,0),0)</f>
        <v>0</v>
      </c>
      <c r="AC214" s="151" t="str">
        <f aca="false">IF(ISNUMBER(B214),B214*(1-1/'13_Mapa_Liq'!$B$19+'13_Mapa_Liq'!$B$6),"")</f>
        <v/>
      </c>
      <c r="AD214" s="151" t="n">
        <f aca="false">IF(ISNUMBER(B214),IF(K214&gt;AC214,I214*'13_Mapa_Liq'!$C$19,0),0)</f>
        <v>0</v>
      </c>
      <c r="AE214" s="151" t="str">
        <f aca="false">IF(ISNUMBER(B214),B214*(1+1/'13_Mapa_Liq'!$B$19-'13_Mapa_Liq'!$B$6),"")</f>
        <v/>
      </c>
      <c r="AF214" s="151" t="n">
        <f aca="false">IF(ISNUMBER(B214),IF(L214&lt;AE214,J214*'13_Mapa_Liq'!$C$19,0),0)</f>
        <v>0</v>
      </c>
      <c r="AG214" s="151"/>
      <c r="AH214" s="151" t="n">
        <f aca="false">IF(ISNUMBER(B214),E214*F214*((K214&lt;=M214)*'13_Mapa_Liq'!$C$15+(K214&lt;=Q214)*'13_Mapa_Liq'!$C$16+(K214&lt;=U214)*'13_Mapa_Liq'!$C$17+(K214&lt;=Y214)*'13_Mapa_Liq'!$C$18+(K214&lt;=AC214)*'13_Mapa_Liq'!$C$19),0)</f>
        <v>0</v>
      </c>
      <c r="AI214" s="151" t="n">
        <f aca="false">IF(ISNUMBER(B214),E214*(1-F214)*((L214&gt;=O214)*'13_Mapa_Liq'!$C$15+(L214&gt;=S214)*'13_Mapa_Liq'!$C$16+(L214&gt;=W214)*'13_Mapa_Liq'!$C$17+(L214&gt;=AA214)*'13_Mapa_Liq'!$C$18+(L214&gt;=AE214)*'13_Mapa_Liq'!$C$19),0)</f>
        <v>0</v>
      </c>
    </row>
    <row r="215" customFormat="false" ht="15" hidden="false" customHeight="false" outlineLevel="0" collapsed="false">
      <c r="A215" s="151" t="str">
        <f aca="false">IF(ISNUMBER('12_Datos_5m'!F215),ROW()-4,"")</f>
        <v/>
      </c>
      <c r="B215" s="151" t="str">
        <f aca="false">IF(ISNUMBER('12_Datos_5m'!F215),'12_Datos_5m'!F215,"")</f>
        <v/>
      </c>
      <c r="C215" s="151" t="str">
        <f aca="false">IF(ISNUMBER('12_Datos_5m'!A215),'12_Datos_5m'!A215,"")</f>
        <v/>
      </c>
      <c r="D215" s="151" t="n">
        <f aca="false">IF(AND(ISNUMBER('12_Datos_5m'!I215),ISNUMBER('12_Datos_5m'!I214)),'12_Datos_5m'!I215-'12_Datos_5m'!I214,0)</f>
        <v>0</v>
      </c>
      <c r="E215" s="151" t="n">
        <f aca="false">MAX(0,D215)</f>
        <v>0</v>
      </c>
      <c r="F215" s="151" t="n">
        <f aca="false">IF(AND(ISNUMBER('12_Datos_5m'!G215),N('12_Datos_5m'!G215)&gt;0),'12_Datos_5m'!H215/'12_Datos_5m'!G215,0.5)</f>
        <v>0.5</v>
      </c>
      <c r="G215" s="151" t="n">
        <f aca="false">IF(ISNUMBER(C215),($C$2-C215)/3600000,0)</f>
        <v>0</v>
      </c>
      <c r="H215" s="151" t="n">
        <f aca="false">EXP(-G215/'13_Mapa_Liq'!$B$7)</f>
        <v>1</v>
      </c>
      <c r="I215" s="151" t="n">
        <f aca="false">E215*F215*H215</f>
        <v>0</v>
      </c>
      <c r="J215" s="151" t="n">
        <f aca="false">E215*(1-F215)*H215</f>
        <v>0</v>
      </c>
      <c r="K215" s="151" t="n">
        <f aca="false">IF(COUNT('12_Datos_5m'!E216:E$504)=0,1000000000000,MIN('12_Datos_5m'!E216:E$504))</f>
        <v>1000000000000</v>
      </c>
      <c r="L215" s="151" t="n">
        <f aca="false">IF(COUNT('12_Datos_5m'!D216:D$504)=0,0,MAX('12_Datos_5m'!D216:D$504))</f>
        <v>0</v>
      </c>
      <c r="M215" s="151" t="str">
        <f aca="false">IF(ISNUMBER(B215),B215*(1-1/'13_Mapa_Liq'!$B$15+'13_Mapa_Liq'!$B$6),"")</f>
        <v/>
      </c>
      <c r="N215" s="151" t="n">
        <f aca="false">IF(ISNUMBER(B215),IF(K215&gt;M215,I215*'13_Mapa_Liq'!$C$15,0),0)</f>
        <v>0</v>
      </c>
      <c r="O215" s="151" t="str">
        <f aca="false">IF(ISNUMBER(B215),B215*(1+1/'13_Mapa_Liq'!$B$15-'13_Mapa_Liq'!$B$6),"")</f>
        <v/>
      </c>
      <c r="P215" s="151" t="n">
        <f aca="false">IF(ISNUMBER(B215),IF(L215&lt;O215,J215*'13_Mapa_Liq'!$C$15,0),0)</f>
        <v>0</v>
      </c>
      <c r="Q215" s="151" t="str">
        <f aca="false">IF(ISNUMBER(B215),B215*(1-1/'13_Mapa_Liq'!$B$16+'13_Mapa_Liq'!$B$6),"")</f>
        <v/>
      </c>
      <c r="R215" s="151" t="n">
        <f aca="false">IF(ISNUMBER(B215),IF(K215&gt;Q215,I215*'13_Mapa_Liq'!$C$16,0),0)</f>
        <v>0</v>
      </c>
      <c r="S215" s="151" t="str">
        <f aca="false">IF(ISNUMBER(B215),B215*(1+1/'13_Mapa_Liq'!$B$16-'13_Mapa_Liq'!$B$6),"")</f>
        <v/>
      </c>
      <c r="T215" s="151" t="n">
        <f aca="false">IF(ISNUMBER(B215),IF(L215&lt;S215,J215*'13_Mapa_Liq'!$C$16,0),0)</f>
        <v>0</v>
      </c>
      <c r="U215" s="151" t="str">
        <f aca="false">IF(ISNUMBER(B215),B215*(1-1/'13_Mapa_Liq'!$B$17+'13_Mapa_Liq'!$B$6),"")</f>
        <v/>
      </c>
      <c r="V215" s="151" t="n">
        <f aca="false">IF(ISNUMBER(B215),IF(K215&gt;U215,I215*'13_Mapa_Liq'!$C$17,0),0)</f>
        <v>0</v>
      </c>
      <c r="W215" s="151" t="str">
        <f aca="false">IF(ISNUMBER(B215),B215*(1+1/'13_Mapa_Liq'!$B$17-'13_Mapa_Liq'!$B$6),"")</f>
        <v/>
      </c>
      <c r="X215" s="151" t="n">
        <f aca="false">IF(ISNUMBER(B215),IF(L215&lt;W215,J215*'13_Mapa_Liq'!$C$17,0),0)</f>
        <v>0</v>
      </c>
      <c r="Y215" s="151" t="str">
        <f aca="false">IF(ISNUMBER(B215),B215*(1-1/'13_Mapa_Liq'!$B$18+'13_Mapa_Liq'!$B$6),"")</f>
        <v/>
      </c>
      <c r="Z215" s="151" t="n">
        <f aca="false">IF(ISNUMBER(B215),IF(K215&gt;Y215,I215*'13_Mapa_Liq'!$C$18,0),0)</f>
        <v>0</v>
      </c>
      <c r="AA215" s="151" t="str">
        <f aca="false">IF(ISNUMBER(B215),B215*(1+1/'13_Mapa_Liq'!$B$18-'13_Mapa_Liq'!$B$6),"")</f>
        <v/>
      </c>
      <c r="AB215" s="151" t="n">
        <f aca="false">IF(ISNUMBER(B215),IF(L215&lt;AA215,J215*'13_Mapa_Liq'!$C$18,0),0)</f>
        <v>0</v>
      </c>
      <c r="AC215" s="151" t="str">
        <f aca="false">IF(ISNUMBER(B215),B215*(1-1/'13_Mapa_Liq'!$B$19+'13_Mapa_Liq'!$B$6),"")</f>
        <v/>
      </c>
      <c r="AD215" s="151" t="n">
        <f aca="false">IF(ISNUMBER(B215),IF(K215&gt;AC215,I215*'13_Mapa_Liq'!$C$19,0),0)</f>
        <v>0</v>
      </c>
      <c r="AE215" s="151" t="str">
        <f aca="false">IF(ISNUMBER(B215),B215*(1+1/'13_Mapa_Liq'!$B$19-'13_Mapa_Liq'!$B$6),"")</f>
        <v/>
      </c>
      <c r="AF215" s="151" t="n">
        <f aca="false">IF(ISNUMBER(B215),IF(L215&lt;AE215,J215*'13_Mapa_Liq'!$C$19,0),0)</f>
        <v>0</v>
      </c>
      <c r="AG215" s="151"/>
      <c r="AH215" s="151" t="n">
        <f aca="false">IF(ISNUMBER(B215),E215*F215*((K215&lt;=M215)*'13_Mapa_Liq'!$C$15+(K215&lt;=Q215)*'13_Mapa_Liq'!$C$16+(K215&lt;=U215)*'13_Mapa_Liq'!$C$17+(K215&lt;=Y215)*'13_Mapa_Liq'!$C$18+(K215&lt;=AC215)*'13_Mapa_Liq'!$C$19),0)</f>
        <v>0</v>
      </c>
      <c r="AI215" s="151" t="n">
        <f aca="false">IF(ISNUMBER(B215),E215*(1-F215)*((L215&gt;=O215)*'13_Mapa_Liq'!$C$15+(L215&gt;=S215)*'13_Mapa_Liq'!$C$16+(L215&gt;=W215)*'13_Mapa_Liq'!$C$17+(L215&gt;=AA215)*'13_Mapa_Liq'!$C$18+(L215&gt;=AE215)*'13_Mapa_Liq'!$C$19),0)</f>
        <v>0</v>
      </c>
    </row>
    <row r="216" customFormat="false" ht="15" hidden="false" customHeight="false" outlineLevel="0" collapsed="false">
      <c r="A216" s="151" t="str">
        <f aca="false">IF(ISNUMBER('12_Datos_5m'!F216),ROW()-4,"")</f>
        <v/>
      </c>
      <c r="B216" s="151" t="str">
        <f aca="false">IF(ISNUMBER('12_Datos_5m'!F216),'12_Datos_5m'!F216,"")</f>
        <v/>
      </c>
      <c r="C216" s="151" t="str">
        <f aca="false">IF(ISNUMBER('12_Datos_5m'!A216),'12_Datos_5m'!A216,"")</f>
        <v/>
      </c>
      <c r="D216" s="151" t="n">
        <f aca="false">IF(AND(ISNUMBER('12_Datos_5m'!I216),ISNUMBER('12_Datos_5m'!I215)),'12_Datos_5m'!I216-'12_Datos_5m'!I215,0)</f>
        <v>0</v>
      </c>
      <c r="E216" s="151" t="n">
        <f aca="false">MAX(0,D216)</f>
        <v>0</v>
      </c>
      <c r="F216" s="151" t="n">
        <f aca="false">IF(AND(ISNUMBER('12_Datos_5m'!G216),N('12_Datos_5m'!G216)&gt;0),'12_Datos_5m'!H216/'12_Datos_5m'!G216,0.5)</f>
        <v>0.5</v>
      </c>
      <c r="G216" s="151" t="n">
        <f aca="false">IF(ISNUMBER(C216),($C$2-C216)/3600000,0)</f>
        <v>0</v>
      </c>
      <c r="H216" s="151" t="n">
        <f aca="false">EXP(-G216/'13_Mapa_Liq'!$B$7)</f>
        <v>1</v>
      </c>
      <c r="I216" s="151" t="n">
        <f aca="false">E216*F216*H216</f>
        <v>0</v>
      </c>
      <c r="J216" s="151" t="n">
        <f aca="false">E216*(1-F216)*H216</f>
        <v>0</v>
      </c>
      <c r="K216" s="151" t="n">
        <f aca="false">IF(COUNT('12_Datos_5m'!E217:E$504)=0,1000000000000,MIN('12_Datos_5m'!E217:E$504))</f>
        <v>1000000000000</v>
      </c>
      <c r="L216" s="151" t="n">
        <f aca="false">IF(COUNT('12_Datos_5m'!D217:D$504)=0,0,MAX('12_Datos_5m'!D217:D$504))</f>
        <v>0</v>
      </c>
      <c r="M216" s="151" t="str">
        <f aca="false">IF(ISNUMBER(B216),B216*(1-1/'13_Mapa_Liq'!$B$15+'13_Mapa_Liq'!$B$6),"")</f>
        <v/>
      </c>
      <c r="N216" s="151" t="n">
        <f aca="false">IF(ISNUMBER(B216),IF(K216&gt;M216,I216*'13_Mapa_Liq'!$C$15,0),0)</f>
        <v>0</v>
      </c>
      <c r="O216" s="151" t="str">
        <f aca="false">IF(ISNUMBER(B216),B216*(1+1/'13_Mapa_Liq'!$B$15-'13_Mapa_Liq'!$B$6),"")</f>
        <v/>
      </c>
      <c r="P216" s="151" t="n">
        <f aca="false">IF(ISNUMBER(B216),IF(L216&lt;O216,J216*'13_Mapa_Liq'!$C$15,0),0)</f>
        <v>0</v>
      </c>
      <c r="Q216" s="151" t="str">
        <f aca="false">IF(ISNUMBER(B216),B216*(1-1/'13_Mapa_Liq'!$B$16+'13_Mapa_Liq'!$B$6),"")</f>
        <v/>
      </c>
      <c r="R216" s="151" t="n">
        <f aca="false">IF(ISNUMBER(B216),IF(K216&gt;Q216,I216*'13_Mapa_Liq'!$C$16,0),0)</f>
        <v>0</v>
      </c>
      <c r="S216" s="151" t="str">
        <f aca="false">IF(ISNUMBER(B216),B216*(1+1/'13_Mapa_Liq'!$B$16-'13_Mapa_Liq'!$B$6),"")</f>
        <v/>
      </c>
      <c r="T216" s="151" t="n">
        <f aca="false">IF(ISNUMBER(B216),IF(L216&lt;S216,J216*'13_Mapa_Liq'!$C$16,0),0)</f>
        <v>0</v>
      </c>
      <c r="U216" s="151" t="str">
        <f aca="false">IF(ISNUMBER(B216),B216*(1-1/'13_Mapa_Liq'!$B$17+'13_Mapa_Liq'!$B$6),"")</f>
        <v/>
      </c>
      <c r="V216" s="151" t="n">
        <f aca="false">IF(ISNUMBER(B216),IF(K216&gt;U216,I216*'13_Mapa_Liq'!$C$17,0),0)</f>
        <v>0</v>
      </c>
      <c r="W216" s="151" t="str">
        <f aca="false">IF(ISNUMBER(B216),B216*(1+1/'13_Mapa_Liq'!$B$17-'13_Mapa_Liq'!$B$6),"")</f>
        <v/>
      </c>
      <c r="X216" s="151" t="n">
        <f aca="false">IF(ISNUMBER(B216),IF(L216&lt;W216,J216*'13_Mapa_Liq'!$C$17,0),0)</f>
        <v>0</v>
      </c>
      <c r="Y216" s="151" t="str">
        <f aca="false">IF(ISNUMBER(B216),B216*(1-1/'13_Mapa_Liq'!$B$18+'13_Mapa_Liq'!$B$6),"")</f>
        <v/>
      </c>
      <c r="Z216" s="151" t="n">
        <f aca="false">IF(ISNUMBER(B216),IF(K216&gt;Y216,I216*'13_Mapa_Liq'!$C$18,0),0)</f>
        <v>0</v>
      </c>
      <c r="AA216" s="151" t="str">
        <f aca="false">IF(ISNUMBER(B216),B216*(1+1/'13_Mapa_Liq'!$B$18-'13_Mapa_Liq'!$B$6),"")</f>
        <v/>
      </c>
      <c r="AB216" s="151" t="n">
        <f aca="false">IF(ISNUMBER(B216),IF(L216&lt;AA216,J216*'13_Mapa_Liq'!$C$18,0),0)</f>
        <v>0</v>
      </c>
      <c r="AC216" s="151" t="str">
        <f aca="false">IF(ISNUMBER(B216),B216*(1-1/'13_Mapa_Liq'!$B$19+'13_Mapa_Liq'!$B$6),"")</f>
        <v/>
      </c>
      <c r="AD216" s="151" t="n">
        <f aca="false">IF(ISNUMBER(B216),IF(K216&gt;AC216,I216*'13_Mapa_Liq'!$C$19,0),0)</f>
        <v>0</v>
      </c>
      <c r="AE216" s="151" t="str">
        <f aca="false">IF(ISNUMBER(B216),B216*(1+1/'13_Mapa_Liq'!$B$19-'13_Mapa_Liq'!$B$6),"")</f>
        <v/>
      </c>
      <c r="AF216" s="151" t="n">
        <f aca="false">IF(ISNUMBER(B216),IF(L216&lt;AE216,J216*'13_Mapa_Liq'!$C$19,0),0)</f>
        <v>0</v>
      </c>
      <c r="AG216" s="151"/>
      <c r="AH216" s="151" t="n">
        <f aca="false">IF(ISNUMBER(B216),E216*F216*((K216&lt;=M216)*'13_Mapa_Liq'!$C$15+(K216&lt;=Q216)*'13_Mapa_Liq'!$C$16+(K216&lt;=U216)*'13_Mapa_Liq'!$C$17+(K216&lt;=Y216)*'13_Mapa_Liq'!$C$18+(K216&lt;=AC216)*'13_Mapa_Liq'!$C$19),0)</f>
        <v>0</v>
      </c>
      <c r="AI216" s="151" t="n">
        <f aca="false">IF(ISNUMBER(B216),E216*(1-F216)*((L216&gt;=O216)*'13_Mapa_Liq'!$C$15+(L216&gt;=S216)*'13_Mapa_Liq'!$C$16+(L216&gt;=W216)*'13_Mapa_Liq'!$C$17+(L216&gt;=AA216)*'13_Mapa_Liq'!$C$18+(L216&gt;=AE216)*'13_Mapa_Liq'!$C$19),0)</f>
        <v>0</v>
      </c>
    </row>
    <row r="217" customFormat="false" ht="15" hidden="false" customHeight="false" outlineLevel="0" collapsed="false">
      <c r="A217" s="151" t="str">
        <f aca="false">IF(ISNUMBER('12_Datos_5m'!F217),ROW()-4,"")</f>
        <v/>
      </c>
      <c r="B217" s="151" t="str">
        <f aca="false">IF(ISNUMBER('12_Datos_5m'!F217),'12_Datos_5m'!F217,"")</f>
        <v/>
      </c>
      <c r="C217" s="151" t="str">
        <f aca="false">IF(ISNUMBER('12_Datos_5m'!A217),'12_Datos_5m'!A217,"")</f>
        <v/>
      </c>
      <c r="D217" s="151" t="n">
        <f aca="false">IF(AND(ISNUMBER('12_Datos_5m'!I217),ISNUMBER('12_Datos_5m'!I216)),'12_Datos_5m'!I217-'12_Datos_5m'!I216,0)</f>
        <v>0</v>
      </c>
      <c r="E217" s="151" t="n">
        <f aca="false">MAX(0,D217)</f>
        <v>0</v>
      </c>
      <c r="F217" s="151" t="n">
        <f aca="false">IF(AND(ISNUMBER('12_Datos_5m'!G217),N('12_Datos_5m'!G217)&gt;0),'12_Datos_5m'!H217/'12_Datos_5m'!G217,0.5)</f>
        <v>0.5</v>
      </c>
      <c r="G217" s="151" t="n">
        <f aca="false">IF(ISNUMBER(C217),($C$2-C217)/3600000,0)</f>
        <v>0</v>
      </c>
      <c r="H217" s="151" t="n">
        <f aca="false">EXP(-G217/'13_Mapa_Liq'!$B$7)</f>
        <v>1</v>
      </c>
      <c r="I217" s="151" t="n">
        <f aca="false">E217*F217*H217</f>
        <v>0</v>
      </c>
      <c r="J217" s="151" t="n">
        <f aca="false">E217*(1-F217)*H217</f>
        <v>0</v>
      </c>
      <c r="K217" s="151" t="n">
        <f aca="false">IF(COUNT('12_Datos_5m'!E218:E$504)=0,1000000000000,MIN('12_Datos_5m'!E218:E$504))</f>
        <v>1000000000000</v>
      </c>
      <c r="L217" s="151" t="n">
        <f aca="false">IF(COUNT('12_Datos_5m'!D218:D$504)=0,0,MAX('12_Datos_5m'!D218:D$504))</f>
        <v>0</v>
      </c>
      <c r="M217" s="151" t="str">
        <f aca="false">IF(ISNUMBER(B217),B217*(1-1/'13_Mapa_Liq'!$B$15+'13_Mapa_Liq'!$B$6),"")</f>
        <v/>
      </c>
      <c r="N217" s="151" t="n">
        <f aca="false">IF(ISNUMBER(B217),IF(K217&gt;M217,I217*'13_Mapa_Liq'!$C$15,0),0)</f>
        <v>0</v>
      </c>
      <c r="O217" s="151" t="str">
        <f aca="false">IF(ISNUMBER(B217),B217*(1+1/'13_Mapa_Liq'!$B$15-'13_Mapa_Liq'!$B$6),"")</f>
        <v/>
      </c>
      <c r="P217" s="151" t="n">
        <f aca="false">IF(ISNUMBER(B217),IF(L217&lt;O217,J217*'13_Mapa_Liq'!$C$15,0),0)</f>
        <v>0</v>
      </c>
      <c r="Q217" s="151" t="str">
        <f aca="false">IF(ISNUMBER(B217),B217*(1-1/'13_Mapa_Liq'!$B$16+'13_Mapa_Liq'!$B$6),"")</f>
        <v/>
      </c>
      <c r="R217" s="151" t="n">
        <f aca="false">IF(ISNUMBER(B217),IF(K217&gt;Q217,I217*'13_Mapa_Liq'!$C$16,0),0)</f>
        <v>0</v>
      </c>
      <c r="S217" s="151" t="str">
        <f aca="false">IF(ISNUMBER(B217),B217*(1+1/'13_Mapa_Liq'!$B$16-'13_Mapa_Liq'!$B$6),"")</f>
        <v/>
      </c>
      <c r="T217" s="151" t="n">
        <f aca="false">IF(ISNUMBER(B217),IF(L217&lt;S217,J217*'13_Mapa_Liq'!$C$16,0),0)</f>
        <v>0</v>
      </c>
      <c r="U217" s="151" t="str">
        <f aca="false">IF(ISNUMBER(B217),B217*(1-1/'13_Mapa_Liq'!$B$17+'13_Mapa_Liq'!$B$6),"")</f>
        <v/>
      </c>
      <c r="V217" s="151" t="n">
        <f aca="false">IF(ISNUMBER(B217),IF(K217&gt;U217,I217*'13_Mapa_Liq'!$C$17,0),0)</f>
        <v>0</v>
      </c>
      <c r="W217" s="151" t="str">
        <f aca="false">IF(ISNUMBER(B217),B217*(1+1/'13_Mapa_Liq'!$B$17-'13_Mapa_Liq'!$B$6),"")</f>
        <v/>
      </c>
      <c r="X217" s="151" t="n">
        <f aca="false">IF(ISNUMBER(B217),IF(L217&lt;W217,J217*'13_Mapa_Liq'!$C$17,0),0)</f>
        <v>0</v>
      </c>
      <c r="Y217" s="151" t="str">
        <f aca="false">IF(ISNUMBER(B217),B217*(1-1/'13_Mapa_Liq'!$B$18+'13_Mapa_Liq'!$B$6),"")</f>
        <v/>
      </c>
      <c r="Z217" s="151" t="n">
        <f aca="false">IF(ISNUMBER(B217),IF(K217&gt;Y217,I217*'13_Mapa_Liq'!$C$18,0),0)</f>
        <v>0</v>
      </c>
      <c r="AA217" s="151" t="str">
        <f aca="false">IF(ISNUMBER(B217),B217*(1+1/'13_Mapa_Liq'!$B$18-'13_Mapa_Liq'!$B$6),"")</f>
        <v/>
      </c>
      <c r="AB217" s="151" t="n">
        <f aca="false">IF(ISNUMBER(B217),IF(L217&lt;AA217,J217*'13_Mapa_Liq'!$C$18,0),0)</f>
        <v>0</v>
      </c>
      <c r="AC217" s="151" t="str">
        <f aca="false">IF(ISNUMBER(B217),B217*(1-1/'13_Mapa_Liq'!$B$19+'13_Mapa_Liq'!$B$6),"")</f>
        <v/>
      </c>
      <c r="AD217" s="151" t="n">
        <f aca="false">IF(ISNUMBER(B217),IF(K217&gt;AC217,I217*'13_Mapa_Liq'!$C$19,0),0)</f>
        <v>0</v>
      </c>
      <c r="AE217" s="151" t="str">
        <f aca="false">IF(ISNUMBER(B217),B217*(1+1/'13_Mapa_Liq'!$B$19-'13_Mapa_Liq'!$B$6),"")</f>
        <v/>
      </c>
      <c r="AF217" s="151" t="n">
        <f aca="false">IF(ISNUMBER(B217),IF(L217&lt;AE217,J217*'13_Mapa_Liq'!$C$19,0),0)</f>
        <v>0</v>
      </c>
      <c r="AG217" s="151"/>
      <c r="AH217" s="151" t="n">
        <f aca="false">IF(ISNUMBER(B217),E217*F217*((K217&lt;=M217)*'13_Mapa_Liq'!$C$15+(K217&lt;=Q217)*'13_Mapa_Liq'!$C$16+(K217&lt;=U217)*'13_Mapa_Liq'!$C$17+(K217&lt;=Y217)*'13_Mapa_Liq'!$C$18+(K217&lt;=AC217)*'13_Mapa_Liq'!$C$19),0)</f>
        <v>0</v>
      </c>
      <c r="AI217" s="151" t="n">
        <f aca="false">IF(ISNUMBER(B217),E217*(1-F217)*((L217&gt;=O217)*'13_Mapa_Liq'!$C$15+(L217&gt;=S217)*'13_Mapa_Liq'!$C$16+(L217&gt;=W217)*'13_Mapa_Liq'!$C$17+(L217&gt;=AA217)*'13_Mapa_Liq'!$C$18+(L217&gt;=AE217)*'13_Mapa_Liq'!$C$19),0)</f>
        <v>0</v>
      </c>
    </row>
    <row r="218" customFormat="false" ht="15" hidden="false" customHeight="false" outlineLevel="0" collapsed="false">
      <c r="A218" s="151" t="str">
        <f aca="false">IF(ISNUMBER('12_Datos_5m'!F218),ROW()-4,"")</f>
        <v/>
      </c>
      <c r="B218" s="151" t="str">
        <f aca="false">IF(ISNUMBER('12_Datos_5m'!F218),'12_Datos_5m'!F218,"")</f>
        <v/>
      </c>
      <c r="C218" s="151" t="str">
        <f aca="false">IF(ISNUMBER('12_Datos_5m'!A218),'12_Datos_5m'!A218,"")</f>
        <v/>
      </c>
      <c r="D218" s="151" t="n">
        <f aca="false">IF(AND(ISNUMBER('12_Datos_5m'!I218),ISNUMBER('12_Datos_5m'!I217)),'12_Datos_5m'!I218-'12_Datos_5m'!I217,0)</f>
        <v>0</v>
      </c>
      <c r="E218" s="151" t="n">
        <f aca="false">MAX(0,D218)</f>
        <v>0</v>
      </c>
      <c r="F218" s="151" t="n">
        <f aca="false">IF(AND(ISNUMBER('12_Datos_5m'!G218),N('12_Datos_5m'!G218)&gt;0),'12_Datos_5m'!H218/'12_Datos_5m'!G218,0.5)</f>
        <v>0.5</v>
      </c>
      <c r="G218" s="151" t="n">
        <f aca="false">IF(ISNUMBER(C218),($C$2-C218)/3600000,0)</f>
        <v>0</v>
      </c>
      <c r="H218" s="151" t="n">
        <f aca="false">EXP(-G218/'13_Mapa_Liq'!$B$7)</f>
        <v>1</v>
      </c>
      <c r="I218" s="151" t="n">
        <f aca="false">E218*F218*H218</f>
        <v>0</v>
      </c>
      <c r="J218" s="151" t="n">
        <f aca="false">E218*(1-F218)*H218</f>
        <v>0</v>
      </c>
      <c r="K218" s="151" t="n">
        <f aca="false">IF(COUNT('12_Datos_5m'!E219:E$504)=0,1000000000000,MIN('12_Datos_5m'!E219:E$504))</f>
        <v>1000000000000</v>
      </c>
      <c r="L218" s="151" t="n">
        <f aca="false">IF(COUNT('12_Datos_5m'!D219:D$504)=0,0,MAX('12_Datos_5m'!D219:D$504))</f>
        <v>0</v>
      </c>
      <c r="M218" s="151" t="str">
        <f aca="false">IF(ISNUMBER(B218),B218*(1-1/'13_Mapa_Liq'!$B$15+'13_Mapa_Liq'!$B$6),"")</f>
        <v/>
      </c>
      <c r="N218" s="151" t="n">
        <f aca="false">IF(ISNUMBER(B218),IF(K218&gt;M218,I218*'13_Mapa_Liq'!$C$15,0),0)</f>
        <v>0</v>
      </c>
      <c r="O218" s="151" t="str">
        <f aca="false">IF(ISNUMBER(B218),B218*(1+1/'13_Mapa_Liq'!$B$15-'13_Mapa_Liq'!$B$6),"")</f>
        <v/>
      </c>
      <c r="P218" s="151" t="n">
        <f aca="false">IF(ISNUMBER(B218),IF(L218&lt;O218,J218*'13_Mapa_Liq'!$C$15,0),0)</f>
        <v>0</v>
      </c>
      <c r="Q218" s="151" t="str">
        <f aca="false">IF(ISNUMBER(B218),B218*(1-1/'13_Mapa_Liq'!$B$16+'13_Mapa_Liq'!$B$6),"")</f>
        <v/>
      </c>
      <c r="R218" s="151" t="n">
        <f aca="false">IF(ISNUMBER(B218),IF(K218&gt;Q218,I218*'13_Mapa_Liq'!$C$16,0),0)</f>
        <v>0</v>
      </c>
      <c r="S218" s="151" t="str">
        <f aca="false">IF(ISNUMBER(B218),B218*(1+1/'13_Mapa_Liq'!$B$16-'13_Mapa_Liq'!$B$6),"")</f>
        <v/>
      </c>
      <c r="T218" s="151" t="n">
        <f aca="false">IF(ISNUMBER(B218),IF(L218&lt;S218,J218*'13_Mapa_Liq'!$C$16,0),0)</f>
        <v>0</v>
      </c>
      <c r="U218" s="151" t="str">
        <f aca="false">IF(ISNUMBER(B218),B218*(1-1/'13_Mapa_Liq'!$B$17+'13_Mapa_Liq'!$B$6),"")</f>
        <v/>
      </c>
      <c r="V218" s="151" t="n">
        <f aca="false">IF(ISNUMBER(B218),IF(K218&gt;U218,I218*'13_Mapa_Liq'!$C$17,0),0)</f>
        <v>0</v>
      </c>
      <c r="W218" s="151" t="str">
        <f aca="false">IF(ISNUMBER(B218),B218*(1+1/'13_Mapa_Liq'!$B$17-'13_Mapa_Liq'!$B$6),"")</f>
        <v/>
      </c>
      <c r="X218" s="151" t="n">
        <f aca="false">IF(ISNUMBER(B218),IF(L218&lt;W218,J218*'13_Mapa_Liq'!$C$17,0),0)</f>
        <v>0</v>
      </c>
      <c r="Y218" s="151" t="str">
        <f aca="false">IF(ISNUMBER(B218),B218*(1-1/'13_Mapa_Liq'!$B$18+'13_Mapa_Liq'!$B$6),"")</f>
        <v/>
      </c>
      <c r="Z218" s="151" t="n">
        <f aca="false">IF(ISNUMBER(B218),IF(K218&gt;Y218,I218*'13_Mapa_Liq'!$C$18,0),0)</f>
        <v>0</v>
      </c>
      <c r="AA218" s="151" t="str">
        <f aca="false">IF(ISNUMBER(B218),B218*(1+1/'13_Mapa_Liq'!$B$18-'13_Mapa_Liq'!$B$6),"")</f>
        <v/>
      </c>
      <c r="AB218" s="151" t="n">
        <f aca="false">IF(ISNUMBER(B218),IF(L218&lt;AA218,J218*'13_Mapa_Liq'!$C$18,0),0)</f>
        <v>0</v>
      </c>
      <c r="AC218" s="151" t="str">
        <f aca="false">IF(ISNUMBER(B218),B218*(1-1/'13_Mapa_Liq'!$B$19+'13_Mapa_Liq'!$B$6),"")</f>
        <v/>
      </c>
      <c r="AD218" s="151" t="n">
        <f aca="false">IF(ISNUMBER(B218),IF(K218&gt;AC218,I218*'13_Mapa_Liq'!$C$19,0),0)</f>
        <v>0</v>
      </c>
      <c r="AE218" s="151" t="str">
        <f aca="false">IF(ISNUMBER(B218),B218*(1+1/'13_Mapa_Liq'!$B$19-'13_Mapa_Liq'!$B$6),"")</f>
        <v/>
      </c>
      <c r="AF218" s="151" t="n">
        <f aca="false">IF(ISNUMBER(B218),IF(L218&lt;AE218,J218*'13_Mapa_Liq'!$C$19,0),0)</f>
        <v>0</v>
      </c>
      <c r="AG218" s="151"/>
      <c r="AH218" s="151" t="n">
        <f aca="false">IF(ISNUMBER(B218),E218*F218*((K218&lt;=M218)*'13_Mapa_Liq'!$C$15+(K218&lt;=Q218)*'13_Mapa_Liq'!$C$16+(K218&lt;=U218)*'13_Mapa_Liq'!$C$17+(K218&lt;=Y218)*'13_Mapa_Liq'!$C$18+(K218&lt;=AC218)*'13_Mapa_Liq'!$C$19),0)</f>
        <v>0</v>
      </c>
      <c r="AI218" s="151" t="n">
        <f aca="false">IF(ISNUMBER(B218),E218*(1-F218)*((L218&gt;=O218)*'13_Mapa_Liq'!$C$15+(L218&gt;=S218)*'13_Mapa_Liq'!$C$16+(L218&gt;=W218)*'13_Mapa_Liq'!$C$17+(L218&gt;=AA218)*'13_Mapa_Liq'!$C$18+(L218&gt;=AE218)*'13_Mapa_Liq'!$C$19),0)</f>
        <v>0</v>
      </c>
    </row>
    <row r="219" customFormat="false" ht="15" hidden="false" customHeight="false" outlineLevel="0" collapsed="false">
      <c r="A219" s="151" t="str">
        <f aca="false">IF(ISNUMBER('12_Datos_5m'!F219),ROW()-4,"")</f>
        <v/>
      </c>
      <c r="B219" s="151" t="str">
        <f aca="false">IF(ISNUMBER('12_Datos_5m'!F219),'12_Datos_5m'!F219,"")</f>
        <v/>
      </c>
      <c r="C219" s="151" t="str">
        <f aca="false">IF(ISNUMBER('12_Datos_5m'!A219),'12_Datos_5m'!A219,"")</f>
        <v/>
      </c>
      <c r="D219" s="151" t="n">
        <f aca="false">IF(AND(ISNUMBER('12_Datos_5m'!I219),ISNUMBER('12_Datos_5m'!I218)),'12_Datos_5m'!I219-'12_Datos_5m'!I218,0)</f>
        <v>0</v>
      </c>
      <c r="E219" s="151" t="n">
        <f aca="false">MAX(0,D219)</f>
        <v>0</v>
      </c>
      <c r="F219" s="151" t="n">
        <f aca="false">IF(AND(ISNUMBER('12_Datos_5m'!G219),N('12_Datos_5m'!G219)&gt;0),'12_Datos_5m'!H219/'12_Datos_5m'!G219,0.5)</f>
        <v>0.5</v>
      </c>
      <c r="G219" s="151" t="n">
        <f aca="false">IF(ISNUMBER(C219),($C$2-C219)/3600000,0)</f>
        <v>0</v>
      </c>
      <c r="H219" s="151" t="n">
        <f aca="false">EXP(-G219/'13_Mapa_Liq'!$B$7)</f>
        <v>1</v>
      </c>
      <c r="I219" s="151" t="n">
        <f aca="false">E219*F219*H219</f>
        <v>0</v>
      </c>
      <c r="J219" s="151" t="n">
        <f aca="false">E219*(1-F219)*H219</f>
        <v>0</v>
      </c>
      <c r="K219" s="151" t="n">
        <f aca="false">IF(COUNT('12_Datos_5m'!E220:E$504)=0,1000000000000,MIN('12_Datos_5m'!E220:E$504))</f>
        <v>1000000000000</v>
      </c>
      <c r="L219" s="151" t="n">
        <f aca="false">IF(COUNT('12_Datos_5m'!D220:D$504)=0,0,MAX('12_Datos_5m'!D220:D$504))</f>
        <v>0</v>
      </c>
      <c r="M219" s="151" t="str">
        <f aca="false">IF(ISNUMBER(B219),B219*(1-1/'13_Mapa_Liq'!$B$15+'13_Mapa_Liq'!$B$6),"")</f>
        <v/>
      </c>
      <c r="N219" s="151" t="n">
        <f aca="false">IF(ISNUMBER(B219),IF(K219&gt;M219,I219*'13_Mapa_Liq'!$C$15,0),0)</f>
        <v>0</v>
      </c>
      <c r="O219" s="151" t="str">
        <f aca="false">IF(ISNUMBER(B219),B219*(1+1/'13_Mapa_Liq'!$B$15-'13_Mapa_Liq'!$B$6),"")</f>
        <v/>
      </c>
      <c r="P219" s="151" t="n">
        <f aca="false">IF(ISNUMBER(B219),IF(L219&lt;O219,J219*'13_Mapa_Liq'!$C$15,0),0)</f>
        <v>0</v>
      </c>
      <c r="Q219" s="151" t="str">
        <f aca="false">IF(ISNUMBER(B219),B219*(1-1/'13_Mapa_Liq'!$B$16+'13_Mapa_Liq'!$B$6),"")</f>
        <v/>
      </c>
      <c r="R219" s="151" t="n">
        <f aca="false">IF(ISNUMBER(B219),IF(K219&gt;Q219,I219*'13_Mapa_Liq'!$C$16,0),0)</f>
        <v>0</v>
      </c>
      <c r="S219" s="151" t="str">
        <f aca="false">IF(ISNUMBER(B219),B219*(1+1/'13_Mapa_Liq'!$B$16-'13_Mapa_Liq'!$B$6),"")</f>
        <v/>
      </c>
      <c r="T219" s="151" t="n">
        <f aca="false">IF(ISNUMBER(B219),IF(L219&lt;S219,J219*'13_Mapa_Liq'!$C$16,0),0)</f>
        <v>0</v>
      </c>
      <c r="U219" s="151" t="str">
        <f aca="false">IF(ISNUMBER(B219),B219*(1-1/'13_Mapa_Liq'!$B$17+'13_Mapa_Liq'!$B$6),"")</f>
        <v/>
      </c>
      <c r="V219" s="151" t="n">
        <f aca="false">IF(ISNUMBER(B219),IF(K219&gt;U219,I219*'13_Mapa_Liq'!$C$17,0),0)</f>
        <v>0</v>
      </c>
      <c r="W219" s="151" t="str">
        <f aca="false">IF(ISNUMBER(B219),B219*(1+1/'13_Mapa_Liq'!$B$17-'13_Mapa_Liq'!$B$6),"")</f>
        <v/>
      </c>
      <c r="X219" s="151" t="n">
        <f aca="false">IF(ISNUMBER(B219),IF(L219&lt;W219,J219*'13_Mapa_Liq'!$C$17,0),0)</f>
        <v>0</v>
      </c>
      <c r="Y219" s="151" t="str">
        <f aca="false">IF(ISNUMBER(B219),B219*(1-1/'13_Mapa_Liq'!$B$18+'13_Mapa_Liq'!$B$6),"")</f>
        <v/>
      </c>
      <c r="Z219" s="151" t="n">
        <f aca="false">IF(ISNUMBER(B219),IF(K219&gt;Y219,I219*'13_Mapa_Liq'!$C$18,0),0)</f>
        <v>0</v>
      </c>
      <c r="AA219" s="151" t="str">
        <f aca="false">IF(ISNUMBER(B219),B219*(1+1/'13_Mapa_Liq'!$B$18-'13_Mapa_Liq'!$B$6),"")</f>
        <v/>
      </c>
      <c r="AB219" s="151" t="n">
        <f aca="false">IF(ISNUMBER(B219),IF(L219&lt;AA219,J219*'13_Mapa_Liq'!$C$18,0),0)</f>
        <v>0</v>
      </c>
      <c r="AC219" s="151" t="str">
        <f aca="false">IF(ISNUMBER(B219),B219*(1-1/'13_Mapa_Liq'!$B$19+'13_Mapa_Liq'!$B$6),"")</f>
        <v/>
      </c>
      <c r="AD219" s="151" t="n">
        <f aca="false">IF(ISNUMBER(B219),IF(K219&gt;AC219,I219*'13_Mapa_Liq'!$C$19,0),0)</f>
        <v>0</v>
      </c>
      <c r="AE219" s="151" t="str">
        <f aca="false">IF(ISNUMBER(B219),B219*(1+1/'13_Mapa_Liq'!$B$19-'13_Mapa_Liq'!$B$6),"")</f>
        <v/>
      </c>
      <c r="AF219" s="151" t="n">
        <f aca="false">IF(ISNUMBER(B219),IF(L219&lt;AE219,J219*'13_Mapa_Liq'!$C$19,0),0)</f>
        <v>0</v>
      </c>
      <c r="AG219" s="151"/>
      <c r="AH219" s="151" t="n">
        <f aca="false">IF(ISNUMBER(B219),E219*F219*((K219&lt;=M219)*'13_Mapa_Liq'!$C$15+(K219&lt;=Q219)*'13_Mapa_Liq'!$C$16+(K219&lt;=U219)*'13_Mapa_Liq'!$C$17+(K219&lt;=Y219)*'13_Mapa_Liq'!$C$18+(K219&lt;=AC219)*'13_Mapa_Liq'!$C$19),0)</f>
        <v>0</v>
      </c>
      <c r="AI219" s="151" t="n">
        <f aca="false">IF(ISNUMBER(B219),E219*(1-F219)*((L219&gt;=O219)*'13_Mapa_Liq'!$C$15+(L219&gt;=S219)*'13_Mapa_Liq'!$C$16+(L219&gt;=W219)*'13_Mapa_Liq'!$C$17+(L219&gt;=AA219)*'13_Mapa_Liq'!$C$18+(L219&gt;=AE219)*'13_Mapa_Liq'!$C$19),0)</f>
        <v>0</v>
      </c>
    </row>
    <row r="220" customFormat="false" ht="15" hidden="false" customHeight="false" outlineLevel="0" collapsed="false">
      <c r="A220" s="151" t="str">
        <f aca="false">IF(ISNUMBER('12_Datos_5m'!F220),ROW()-4,"")</f>
        <v/>
      </c>
      <c r="B220" s="151" t="str">
        <f aca="false">IF(ISNUMBER('12_Datos_5m'!F220),'12_Datos_5m'!F220,"")</f>
        <v/>
      </c>
      <c r="C220" s="151" t="str">
        <f aca="false">IF(ISNUMBER('12_Datos_5m'!A220),'12_Datos_5m'!A220,"")</f>
        <v/>
      </c>
      <c r="D220" s="151" t="n">
        <f aca="false">IF(AND(ISNUMBER('12_Datos_5m'!I220),ISNUMBER('12_Datos_5m'!I219)),'12_Datos_5m'!I220-'12_Datos_5m'!I219,0)</f>
        <v>0</v>
      </c>
      <c r="E220" s="151" t="n">
        <f aca="false">MAX(0,D220)</f>
        <v>0</v>
      </c>
      <c r="F220" s="151" t="n">
        <f aca="false">IF(AND(ISNUMBER('12_Datos_5m'!G220),N('12_Datos_5m'!G220)&gt;0),'12_Datos_5m'!H220/'12_Datos_5m'!G220,0.5)</f>
        <v>0.5</v>
      </c>
      <c r="G220" s="151" t="n">
        <f aca="false">IF(ISNUMBER(C220),($C$2-C220)/3600000,0)</f>
        <v>0</v>
      </c>
      <c r="H220" s="151" t="n">
        <f aca="false">EXP(-G220/'13_Mapa_Liq'!$B$7)</f>
        <v>1</v>
      </c>
      <c r="I220" s="151" t="n">
        <f aca="false">E220*F220*H220</f>
        <v>0</v>
      </c>
      <c r="J220" s="151" t="n">
        <f aca="false">E220*(1-F220)*H220</f>
        <v>0</v>
      </c>
      <c r="K220" s="151" t="n">
        <f aca="false">IF(COUNT('12_Datos_5m'!E221:E$504)=0,1000000000000,MIN('12_Datos_5m'!E221:E$504))</f>
        <v>1000000000000</v>
      </c>
      <c r="L220" s="151" t="n">
        <f aca="false">IF(COUNT('12_Datos_5m'!D221:D$504)=0,0,MAX('12_Datos_5m'!D221:D$504))</f>
        <v>0</v>
      </c>
      <c r="M220" s="151" t="str">
        <f aca="false">IF(ISNUMBER(B220),B220*(1-1/'13_Mapa_Liq'!$B$15+'13_Mapa_Liq'!$B$6),"")</f>
        <v/>
      </c>
      <c r="N220" s="151" t="n">
        <f aca="false">IF(ISNUMBER(B220),IF(K220&gt;M220,I220*'13_Mapa_Liq'!$C$15,0),0)</f>
        <v>0</v>
      </c>
      <c r="O220" s="151" t="str">
        <f aca="false">IF(ISNUMBER(B220),B220*(1+1/'13_Mapa_Liq'!$B$15-'13_Mapa_Liq'!$B$6),"")</f>
        <v/>
      </c>
      <c r="P220" s="151" t="n">
        <f aca="false">IF(ISNUMBER(B220),IF(L220&lt;O220,J220*'13_Mapa_Liq'!$C$15,0),0)</f>
        <v>0</v>
      </c>
      <c r="Q220" s="151" t="str">
        <f aca="false">IF(ISNUMBER(B220),B220*(1-1/'13_Mapa_Liq'!$B$16+'13_Mapa_Liq'!$B$6),"")</f>
        <v/>
      </c>
      <c r="R220" s="151" t="n">
        <f aca="false">IF(ISNUMBER(B220),IF(K220&gt;Q220,I220*'13_Mapa_Liq'!$C$16,0),0)</f>
        <v>0</v>
      </c>
      <c r="S220" s="151" t="str">
        <f aca="false">IF(ISNUMBER(B220),B220*(1+1/'13_Mapa_Liq'!$B$16-'13_Mapa_Liq'!$B$6),"")</f>
        <v/>
      </c>
      <c r="T220" s="151" t="n">
        <f aca="false">IF(ISNUMBER(B220),IF(L220&lt;S220,J220*'13_Mapa_Liq'!$C$16,0),0)</f>
        <v>0</v>
      </c>
      <c r="U220" s="151" t="str">
        <f aca="false">IF(ISNUMBER(B220),B220*(1-1/'13_Mapa_Liq'!$B$17+'13_Mapa_Liq'!$B$6),"")</f>
        <v/>
      </c>
      <c r="V220" s="151" t="n">
        <f aca="false">IF(ISNUMBER(B220),IF(K220&gt;U220,I220*'13_Mapa_Liq'!$C$17,0),0)</f>
        <v>0</v>
      </c>
      <c r="W220" s="151" t="str">
        <f aca="false">IF(ISNUMBER(B220),B220*(1+1/'13_Mapa_Liq'!$B$17-'13_Mapa_Liq'!$B$6),"")</f>
        <v/>
      </c>
      <c r="X220" s="151" t="n">
        <f aca="false">IF(ISNUMBER(B220),IF(L220&lt;W220,J220*'13_Mapa_Liq'!$C$17,0),0)</f>
        <v>0</v>
      </c>
      <c r="Y220" s="151" t="str">
        <f aca="false">IF(ISNUMBER(B220),B220*(1-1/'13_Mapa_Liq'!$B$18+'13_Mapa_Liq'!$B$6),"")</f>
        <v/>
      </c>
      <c r="Z220" s="151" t="n">
        <f aca="false">IF(ISNUMBER(B220),IF(K220&gt;Y220,I220*'13_Mapa_Liq'!$C$18,0),0)</f>
        <v>0</v>
      </c>
      <c r="AA220" s="151" t="str">
        <f aca="false">IF(ISNUMBER(B220),B220*(1+1/'13_Mapa_Liq'!$B$18-'13_Mapa_Liq'!$B$6),"")</f>
        <v/>
      </c>
      <c r="AB220" s="151" t="n">
        <f aca="false">IF(ISNUMBER(B220),IF(L220&lt;AA220,J220*'13_Mapa_Liq'!$C$18,0),0)</f>
        <v>0</v>
      </c>
      <c r="AC220" s="151" t="str">
        <f aca="false">IF(ISNUMBER(B220),B220*(1-1/'13_Mapa_Liq'!$B$19+'13_Mapa_Liq'!$B$6),"")</f>
        <v/>
      </c>
      <c r="AD220" s="151" t="n">
        <f aca="false">IF(ISNUMBER(B220),IF(K220&gt;AC220,I220*'13_Mapa_Liq'!$C$19,0),0)</f>
        <v>0</v>
      </c>
      <c r="AE220" s="151" t="str">
        <f aca="false">IF(ISNUMBER(B220),B220*(1+1/'13_Mapa_Liq'!$B$19-'13_Mapa_Liq'!$B$6),"")</f>
        <v/>
      </c>
      <c r="AF220" s="151" t="n">
        <f aca="false">IF(ISNUMBER(B220),IF(L220&lt;AE220,J220*'13_Mapa_Liq'!$C$19,0),0)</f>
        <v>0</v>
      </c>
      <c r="AG220" s="151"/>
      <c r="AH220" s="151" t="n">
        <f aca="false">IF(ISNUMBER(B220),E220*F220*((K220&lt;=M220)*'13_Mapa_Liq'!$C$15+(K220&lt;=Q220)*'13_Mapa_Liq'!$C$16+(K220&lt;=U220)*'13_Mapa_Liq'!$C$17+(K220&lt;=Y220)*'13_Mapa_Liq'!$C$18+(K220&lt;=AC220)*'13_Mapa_Liq'!$C$19),0)</f>
        <v>0</v>
      </c>
      <c r="AI220" s="151" t="n">
        <f aca="false">IF(ISNUMBER(B220),E220*(1-F220)*((L220&gt;=O220)*'13_Mapa_Liq'!$C$15+(L220&gt;=S220)*'13_Mapa_Liq'!$C$16+(L220&gt;=W220)*'13_Mapa_Liq'!$C$17+(L220&gt;=AA220)*'13_Mapa_Liq'!$C$18+(L220&gt;=AE220)*'13_Mapa_Liq'!$C$19),0)</f>
        <v>0</v>
      </c>
    </row>
    <row r="221" customFormat="false" ht="15" hidden="false" customHeight="false" outlineLevel="0" collapsed="false">
      <c r="A221" s="151" t="str">
        <f aca="false">IF(ISNUMBER('12_Datos_5m'!F221),ROW()-4,"")</f>
        <v/>
      </c>
      <c r="B221" s="151" t="str">
        <f aca="false">IF(ISNUMBER('12_Datos_5m'!F221),'12_Datos_5m'!F221,"")</f>
        <v/>
      </c>
      <c r="C221" s="151" t="str">
        <f aca="false">IF(ISNUMBER('12_Datos_5m'!A221),'12_Datos_5m'!A221,"")</f>
        <v/>
      </c>
      <c r="D221" s="151" t="n">
        <f aca="false">IF(AND(ISNUMBER('12_Datos_5m'!I221),ISNUMBER('12_Datos_5m'!I220)),'12_Datos_5m'!I221-'12_Datos_5m'!I220,0)</f>
        <v>0</v>
      </c>
      <c r="E221" s="151" t="n">
        <f aca="false">MAX(0,D221)</f>
        <v>0</v>
      </c>
      <c r="F221" s="151" t="n">
        <f aca="false">IF(AND(ISNUMBER('12_Datos_5m'!G221),N('12_Datos_5m'!G221)&gt;0),'12_Datos_5m'!H221/'12_Datos_5m'!G221,0.5)</f>
        <v>0.5</v>
      </c>
      <c r="G221" s="151" t="n">
        <f aca="false">IF(ISNUMBER(C221),($C$2-C221)/3600000,0)</f>
        <v>0</v>
      </c>
      <c r="H221" s="151" t="n">
        <f aca="false">EXP(-G221/'13_Mapa_Liq'!$B$7)</f>
        <v>1</v>
      </c>
      <c r="I221" s="151" t="n">
        <f aca="false">E221*F221*H221</f>
        <v>0</v>
      </c>
      <c r="J221" s="151" t="n">
        <f aca="false">E221*(1-F221)*H221</f>
        <v>0</v>
      </c>
      <c r="K221" s="151" t="n">
        <f aca="false">IF(COUNT('12_Datos_5m'!E222:E$504)=0,1000000000000,MIN('12_Datos_5m'!E222:E$504))</f>
        <v>1000000000000</v>
      </c>
      <c r="L221" s="151" t="n">
        <f aca="false">IF(COUNT('12_Datos_5m'!D222:D$504)=0,0,MAX('12_Datos_5m'!D222:D$504))</f>
        <v>0</v>
      </c>
      <c r="M221" s="151" t="str">
        <f aca="false">IF(ISNUMBER(B221),B221*(1-1/'13_Mapa_Liq'!$B$15+'13_Mapa_Liq'!$B$6),"")</f>
        <v/>
      </c>
      <c r="N221" s="151" t="n">
        <f aca="false">IF(ISNUMBER(B221),IF(K221&gt;M221,I221*'13_Mapa_Liq'!$C$15,0),0)</f>
        <v>0</v>
      </c>
      <c r="O221" s="151" t="str">
        <f aca="false">IF(ISNUMBER(B221),B221*(1+1/'13_Mapa_Liq'!$B$15-'13_Mapa_Liq'!$B$6),"")</f>
        <v/>
      </c>
      <c r="P221" s="151" t="n">
        <f aca="false">IF(ISNUMBER(B221),IF(L221&lt;O221,J221*'13_Mapa_Liq'!$C$15,0),0)</f>
        <v>0</v>
      </c>
      <c r="Q221" s="151" t="str">
        <f aca="false">IF(ISNUMBER(B221),B221*(1-1/'13_Mapa_Liq'!$B$16+'13_Mapa_Liq'!$B$6),"")</f>
        <v/>
      </c>
      <c r="R221" s="151" t="n">
        <f aca="false">IF(ISNUMBER(B221),IF(K221&gt;Q221,I221*'13_Mapa_Liq'!$C$16,0),0)</f>
        <v>0</v>
      </c>
      <c r="S221" s="151" t="str">
        <f aca="false">IF(ISNUMBER(B221),B221*(1+1/'13_Mapa_Liq'!$B$16-'13_Mapa_Liq'!$B$6),"")</f>
        <v/>
      </c>
      <c r="T221" s="151" t="n">
        <f aca="false">IF(ISNUMBER(B221),IF(L221&lt;S221,J221*'13_Mapa_Liq'!$C$16,0),0)</f>
        <v>0</v>
      </c>
      <c r="U221" s="151" t="str">
        <f aca="false">IF(ISNUMBER(B221),B221*(1-1/'13_Mapa_Liq'!$B$17+'13_Mapa_Liq'!$B$6),"")</f>
        <v/>
      </c>
      <c r="V221" s="151" t="n">
        <f aca="false">IF(ISNUMBER(B221),IF(K221&gt;U221,I221*'13_Mapa_Liq'!$C$17,0),0)</f>
        <v>0</v>
      </c>
      <c r="W221" s="151" t="str">
        <f aca="false">IF(ISNUMBER(B221),B221*(1+1/'13_Mapa_Liq'!$B$17-'13_Mapa_Liq'!$B$6),"")</f>
        <v/>
      </c>
      <c r="X221" s="151" t="n">
        <f aca="false">IF(ISNUMBER(B221),IF(L221&lt;W221,J221*'13_Mapa_Liq'!$C$17,0),0)</f>
        <v>0</v>
      </c>
      <c r="Y221" s="151" t="str">
        <f aca="false">IF(ISNUMBER(B221),B221*(1-1/'13_Mapa_Liq'!$B$18+'13_Mapa_Liq'!$B$6),"")</f>
        <v/>
      </c>
      <c r="Z221" s="151" t="n">
        <f aca="false">IF(ISNUMBER(B221),IF(K221&gt;Y221,I221*'13_Mapa_Liq'!$C$18,0),0)</f>
        <v>0</v>
      </c>
      <c r="AA221" s="151" t="str">
        <f aca="false">IF(ISNUMBER(B221),B221*(1+1/'13_Mapa_Liq'!$B$18-'13_Mapa_Liq'!$B$6),"")</f>
        <v/>
      </c>
      <c r="AB221" s="151" t="n">
        <f aca="false">IF(ISNUMBER(B221),IF(L221&lt;AA221,J221*'13_Mapa_Liq'!$C$18,0),0)</f>
        <v>0</v>
      </c>
      <c r="AC221" s="151" t="str">
        <f aca="false">IF(ISNUMBER(B221),B221*(1-1/'13_Mapa_Liq'!$B$19+'13_Mapa_Liq'!$B$6),"")</f>
        <v/>
      </c>
      <c r="AD221" s="151" t="n">
        <f aca="false">IF(ISNUMBER(B221),IF(K221&gt;AC221,I221*'13_Mapa_Liq'!$C$19,0),0)</f>
        <v>0</v>
      </c>
      <c r="AE221" s="151" t="str">
        <f aca="false">IF(ISNUMBER(B221),B221*(1+1/'13_Mapa_Liq'!$B$19-'13_Mapa_Liq'!$B$6),"")</f>
        <v/>
      </c>
      <c r="AF221" s="151" t="n">
        <f aca="false">IF(ISNUMBER(B221),IF(L221&lt;AE221,J221*'13_Mapa_Liq'!$C$19,0),0)</f>
        <v>0</v>
      </c>
      <c r="AG221" s="151"/>
      <c r="AH221" s="151" t="n">
        <f aca="false">IF(ISNUMBER(B221),E221*F221*((K221&lt;=M221)*'13_Mapa_Liq'!$C$15+(K221&lt;=Q221)*'13_Mapa_Liq'!$C$16+(K221&lt;=U221)*'13_Mapa_Liq'!$C$17+(K221&lt;=Y221)*'13_Mapa_Liq'!$C$18+(K221&lt;=AC221)*'13_Mapa_Liq'!$C$19),0)</f>
        <v>0</v>
      </c>
      <c r="AI221" s="151" t="n">
        <f aca="false">IF(ISNUMBER(B221),E221*(1-F221)*((L221&gt;=O221)*'13_Mapa_Liq'!$C$15+(L221&gt;=S221)*'13_Mapa_Liq'!$C$16+(L221&gt;=W221)*'13_Mapa_Liq'!$C$17+(L221&gt;=AA221)*'13_Mapa_Liq'!$C$18+(L221&gt;=AE221)*'13_Mapa_Liq'!$C$19),0)</f>
        <v>0</v>
      </c>
    </row>
    <row r="222" customFormat="false" ht="15" hidden="false" customHeight="false" outlineLevel="0" collapsed="false">
      <c r="A222" s="151" t="str">
        <f aca="false">IF(ISNUMBER('12_Datos_5m'!F222),ROW()-4,"")</f>
        <v/>
      </c>
      <c r="B222" s="151" t="str">
        <f aca="false">IF(ISNUMBER('12_Datos_5m'!F222),'12_Datos_5m'!F222,"")</f>
        <v/>
      </c>
      <c r="C222" s="151" t="str">
        <f aca="false">IF(ISNUMBER('12_Datos_5m'!A222),'12_Datos_5m'!A222,"")</f>
        <v/>
      </c>
      <c r="D222" s="151" t="n">
        <f aca="false">IF(AND(ISNUMBER('12_Datos_5m'!I222),ISNUMBER('12_Datos_5m'!I221)),'12_Datos_5m'!I222-'12_Datos_5m'!I221,0)</f>
        <v>0</v>
      </c>
      <c r="E222" s="151" t="n">
        <f aca="false">MAX(0,D222)</f>
        <v>0</v>
      </c>
      <c r="F222" s="151" t="n">
        <f aca="false">IF(AND(ISNUMBER('12_Datos_5m'!G222),N('12_Datos_5m'!G222)&gt;0),'12_Datos_5m'!H222/'12_Datos_5m'!G222,0.5)</f>
        <v>0.5</v>
      </c>
      <c r="G222" s="151" t="n">
        <f aca="false">IF(ISNUMBER(C222),($C$2-C222)/3600000,0)</f>
        <v>0</v>
      </c>
      <c r="H222" s="151" t="n">
        <f aca="false">EXP(-G222/'13_Mapa_Liq'!$B$7)</f>
        <v>1</v>
      </c>
      <c r="I222" s="151" t="n">
        <f aca="false">E222*F222*H222</f>
        <v>0</v>
      </c>
      <c r="J222" s="151" t="n">
        <f aca="false">E222*(1-F222)*H222</f>
        <v>0</v>
      </c>
      <c r="K222" s="151" t="n">
        <f aca="false">IF(COUNT('12_Datos_5m'!E223:E$504)=0,1000000000000,MIN('12_Datos_5m'!E223:E$504))</f>
        <v>1000000000000</v>
      </c>
      <c r="L222" s="151" t="n">
        <f aca="false">IF(COUNT('12_Datos_5m'!D223:D$504)=0,0,MAX('12_Datos_5m'!D223:D$504))</f>
        <v>0</v>
      </c>
      <c r="M222" s="151" t="str">
        <f aca="false">IF(ISNUMBER(B222),B222*(1-1/'13_Mapa_Liq'!$B$15+'13_Mapa_Liq'!$B$6),"")</f>
        <v/>
      </c>
      <c r="N222" s="151" t="n">
        <f aca="false">IF(ISNUMBER(B222),IF(K222&gt;M222,I222*'13_Mapa_Liq'!$C$15,0),0)</f>
        <v>0</v>
      </c>
      <c r="O222" s="151" t="str">
        <f aca="false">IF(ISNUMBER(B222),B222*(1+1/'13_Mapa_Liq'!$B$15-'13_Mapa_Liq'!$B$6),"")</f>
        <v/>
      </c>
      <c r="P222" s="151" t="n">
        <f aca="false">IF(ISNUMBER(B222),IF(L222&lt;O222,J222*'13_Mapa_Liq'!$C$15,0),0)</f>
        <v>0</v>
      </c>
      <c r="Q222" s="151" t="str">
        <f aca="false">IF(ISNUMBER(B222),B222*(1-1/'13_Mapa_Liq'!$B$16+'13_Mapa_Liq'!$B$6),"")</f>
        <v/>
      </c>
      <c r="R222" s="151" t="n">
        <f aca="false">IF(ISNUMBER(B222),IF(K222&gt;Q222,I222*'13_Mapa_Liq'!$C$16,0),0)</f>
        <v>0</v>
      </c>
      <c r="S222" s="151" t="str">
        <f aca="false">IF(ISNUMBER(B222),B222*(1+1/'13_Mapa_Liq'!$B$16-'13_Mapa_Liq'!$B$6),"")</f>
        <v/>
      </c>
      <c r="T222" s="151" t="n">
        <f aca="false">IF(ISNUMBER(B222),IF(L222&lt;S222,J222*'13_Mapa_Liq'!$C$16,0),0)</f>
        <v>0</v>
      </c>
      <c r="U222" s="151" t="str">
        <f aca="false">IF(ISNUMBER(B222),B222*(1-1/'13_Mapa_Liq'!$B$17+'13_Mapa_Liq'!$B$6),"")</f>
        <v/>
      </c>
      <c r="V222" s="151" t="n">
        <f aca="false">IF(ISNUMBER(B222),IF(K222&gt;U222,I222*'13_Mapa_Liq'!$C$17,0),0)</f>
        <v>0</v>
      </c>
      <c r="W222" s="151" t="str">
        <f aca="false">IF(ISNUMBER(B222),B222*(1+1/'13_Mapa_Liq'!$B$17-'13_Mapa_Liq'!$B$6),"")</f>
        <v/>
      </c>
      <c r="X222" s="151" t="n">
        <f aca="false">IF(ISNUMBER(B222),IF(L222&lt;W222,J222*'13_Mapa_Liq'!$C$17,0),0)</f>
        <v>0</v>
      </c>
      <c r="Y222" s="151" t="str">
        <f aca="false">IF(ISNUMBER(B222),B222*(1-1/'13_Mapa_Liq'!$B$18+'13_Mapa_Liq'!$B$6),"")</f>
        <v/>
      </c>
      <c r="Z222" s="151" t="n">
        <f aca="false">IF(ISNUMBER(B222),IF(K222&gt;Y222,I222*'13_Mapa_Liq'!$C$18,0),0)</f>
        <v>0</v>
      </c>
      <c r="AA222" s="151" t="str">
        <f aca="false">IF(ISNUMBER(B222),B222*(1+1/'13_Mapa_Liq'!$B$18-'13_Mapa_Liq'!$B$6),"")</f>
        <v/>
      </c>
      <c r="AB222" s="151" t="n">
        <f aca="false">IF(ISNUMBER(B222),IF(L222&lt;AA222,J222*'13_Mapa_Liq'!$C$18,0),0)</f>
        <v>0</v>
      </c>
      <c r="AC222" s="151" t="str">
        <f aca="false">IF(ISNUMBER(B222),B222*(1-1/'13_Mapa_Liq'!$B$19+'13_Mapa_Liq'!$B$6),"")</f>
        <v/>
      </c>
      <c r="AD222" s="151" t="n">
        <f aca="false">IF(ISNUMBER(B222),IF(K222&gt;AC222,I222*'13_Mapa_Liq'!$C$19,0),0)</f>
        <v>0</v>
      </c>
      <c r="AE222" s="151" t="str">
        <f aca="false">IF(ISNUMBER(B222),B222*(1+1/'13_Mapa_Liq'!$B$19-'13_Mapa_Liq'!$B$6),"")</f>
        <v/>
      </c>
      <c r="AF222" s="151" t="n">
        <f aca="false">IF(ISNUMBER(B222),IF(L222&lt;AE222,J222*'13_Mapa_Liq'!$C$19,0),0)</f>
        <v>0</v>
      </c>
      <c r="AG222" s="151"/>
      <c r="AH222" s="151" t="n">
        <f aca="false">IF(ISNUMBER(B222),E222*F222*((K222&lt;=M222)*'13_Mapa_Liq'!$C$15+(K222&lt;=Q222)*'13_Mapa_Liq'!$C$16+(K222&lt;=U222)*'13_Mapa_Liq'!$C$17+(K222&lt;=Y222)*'13_Mapa_Liq'!$C$18+(K222&lt;=AC222)*'13_Mapa_Liq'!$C$19),0)</f>
        <v>0</v>
      </c>
      <c r="AI222" s="151" t="n">
        <f aca="false">IF(ISNUMBER(B222),E222*(1-F222)*((L222&gt;=O222)*'13_Mapa_Liq'!$C$15+(L222&gt;=S222)*'13_Mapa_Liq'!$C$16+(L222&gt;=W222)*'13_Mapa_Liq'!$C$17+(L222&gt;=AA222)*'13_Mapa_Liq'!$C$18+(L222&gt;=AE222)*'13_Mapa_Liq'!$C$19),0)</f>
        <v>0</v>
      </c>
    </row>
    <row r="223" customFormat="false" ht="15" hidden="false" customHeight="false" outlineLevel="0" collapsed="false">
      <c r="A223" s="151" t="str">
        <f aca="false">IF(ISNUMBER('12_Datos_5m'!F223),ROW()-4,"")</f>
        <v/>
      </c>
      <c r="B223" s="151" t="str">
        <f aca="false">IF(ISNUMBER('12_Datos_5m'!F223),'12_Datos_5m'!F223,"")</f>
        <v/>
      </c>
      <c r="C223" s="151" t="str">
        <f aca="false">IF(ISNUMBER('12_Datos_5m'!A223),'12_Datos_5m'!A223,"")</f>
        <v/>
      </c>
      <c r="D223" s="151" t="n">
        <f aca="false">IF(AND(ISNUMBER('12_Datos_5m'!I223),ISNUMBER('12_Datos_5m'!I222)),'12_Datos_5m'!I223-'12_Datos_5m'!I222,0)</f>
        <v>0</v>
      </c>
      <c r="E223" s="151" t="n">
        <f aca="false">MAX(0,D223)</f>
        <v>0</v>
      </c>
      <c r="F223" s="151" t="n">
        <f aca="false">IF(AND(ISNUMBER('12_Datos_5m'!G223),N('12_Datos_5m'!G223)&gt;0),'12_Datos_5m'!H223/'12_Datos_5m'!G223,0.5)</f>
        <v>0.5</v>
      </c>
      <c r="G223" s="151" t="n">
        <f aca="false">IF(ISNUMBER(C223),($C$2-C223)/3600000,0)</f>
        <v>0</v>
      </c>
      <c r="H223" s="151" t="n">
        <f aca="false">EXP(-G223/'13_Mapa_Liq'!$B$7)</f>
        <v>1</v>
      </c>
      <c r="I223" s="151" t="n">
        <f aca="false">E223*F223*H223</f>
        <v>0</v>
      </c>
      <c r="J223" s="151" t="n">
        <f aca="false">E223*(1-F223)*H223</f>
        <v>0</v>
      </c>
      <c r="K223" s="151" t="n">
        <f aca="false">IF(COUNT('12_Datos_5m'!E224:E$504)=0,1000000000000,MIN('12_Datos_5m'!E224:E$504))</f>
        <v>1000000000000</v>
      </c>
      <c r="L223" s="151" t="n">
        <f aca="false">IF(COUNT('12_Datos_5m'!D224:D$504)=0,0,MAX('12_Datos_5m'!D224:D$504))</f>
        <v>0</v>
      </c>
      <c r="M223" s="151" t="str">
        <f aca="false">IF(ISNUMBER(B223),B223*(1-1/'13_Mapa_Liq'!$B$15+'13_Mapa_Liq'!$B$6),"")</f>
        <v/>
      </c>
      <c r="N223" s="151" t="n">
        <f aca="false">IF(ISNUMBER(B223),IF(K223&gt;M223,I223*'13_Mapa_Liq'!$C$15,0),0)</f>
        <v>0</v>
      </c>
      <c r="O223" s="151" t="str">
        <f aca="false">IF(ISNUMBER(B223),B223*(1+1/'13_Mapa_Liq'!$B$15-'13_Mapa_Liq'!$B$6),"")</f>
        <v/>
      </c>
      <c r="P223" s="151" t="n">
        <f aca="false">IF(ISNUMBER(B223),IF(L223&lt;O223,J223*'13_Mapa_Liq'!$C$15,0),0)</f>
        <v>0</v>
      </c>
      <c r="Q223" s="151" t="str">
        <f aca="false">IF(ISNUMBER(B223),B223*(1-1/'13_Mapa_Liq'!$B$16+'13_Mapa_Liq'!$B$6),"")</f>
        <v/>
      </c>
      <c r="R223" s="151" t="n">
        <f aca="false">IF(ISNUMBER(B223),IF(K223&gt;Q223,I223*'13_Mapa_Liq'!$C$16,0),0)</f>
        <v>0</v>
      </c>
      <c r="S223" s="151" t="str">
        <f aca="false">IF(ISNUMBER(B223),B223*(1+1/'13_Mapa_Liq'!$B$16-'13_Mapa_Liq'!$B$6),"")</f>
        <v/>
      </c>
      <c r="T223" s="151" t="n">
        <f aca="false">IF(ISNUMBER(B223),IF(L223&lt;S223,J223*'13_Mapa_Liq'!$C$16,0),0)</f>
        <v>0</v>
      </c>
      <c r="U223" s="151" t="str">
        <f aca="false">IF(ISNUMBER(B223),B223*(1-1/'13_Mapa_Liq'!$B$17+'13_Mapa_Liq'!$B$6),"")</f>
        <v/>
      </c>
      <c r="V223" s="151" t="n">
        <f aca="false">IF(ISNUMBER(B223),IF(K223&gt;U223,I223*'13_Mapa_Liq'!$C$17,0),0)</f>
        <v>0</v>
      </c>
      <c r="W223" s="151" t="str">
        <f aca="false">IF(ISNUMBER(B223),B223*(1+1/'13_Mapa_Liq'!$B$17-'13_Mapa_Liq'!$B$6),"")</f>
        <v/>
      </c>
      <c r="X223" s="151" t="n">
        <f aca="false">IF(ISNUMBER(B223),IF(L223&lt;W223,J223*'13_Mapa_Liq'!$C$17,0),0)</f>
        <v>0</v>
      </c>
      <c r="Y223" s="151" t="str">
        <f aca="false">IF(ISNUMBER(B223),B223*(1-1/'13_Mapa_Liq'!$B$18+'13_Mapa_Liq'!$B$6),"")</f>
        <v/>
      </c>
      <c r="Z223" s="151" t="n">
        <f aca="false">IF(ISNUMBER(B223),IF(K223&gt;Y223,I223*'13_Mapa_Liq'!$C$18,0),0)</f>
        <v>0</v>
      </c>
      <c r="AA223" s="151" t="str">
        <f aca="false">IF(ISNUMBER(B223),B223*(1+1/'13_Mapa_Liq'!$B$18-'13_Mapa_Liq'!$B$6),"")</f>
        <v/>
      </c>
      <c r="AB223" s="151" t="n">
        <f aca="false">IF(ISNUMBER(B223),IF(L223&lt;AA223,J223*'13_Mapa_Liq'!$C$18,0),0)</f>
        <v>0</v>
      </c>
      <c r="AC223" s="151" t="str">
        <f aca="false">IF(ISNUMBER(B223),B223*(1-1/'13_Mapa_Liq'!$B$19+'13_Mapa_Liq'!$B$6),"")</f>
        <v/>
      </c>
      <c r="AD223" s="151" t="n">
        <f aca="false">IF(ISNUMBER(B223),IF(K223&gt;AC223,I223*'13_Mapa_Liq'!$C$19,0),0)</f>
        <v>0</v>
      </c>
      <c r="AE223" s="151" t="str">
        <f aca="false">IF(ISNUMBER(B223),B223*(1+1/'13_Mapa_Liq'!$B$19-'13_Mapa_Liq'!$B$6),"")</f>
        <v/>
      </c>
      <c r="AF223" s="151" t="n">
        <f aca="false">IF(ISNUMBER(B223),IF(L223&lt;AE223,J223*'13_Mapa_Liq'!$C$19,0),0)</f>
        <v>0</v>
      </c>
      <c r="AG223" s="151"/>
      <c r="AH223" s="151" t="n">
        <f aca="false">IF(ISNUMBER(B223),E223*F223*((K223&lt;=M223)*'13_Mapa_Liq'!$C$15+(K223&lt;=Q223)*'13_Mapa_Liq'!$C$16+(K223&lt;=U223)*'13_Mapa_Liq'!$C$17+(K223&lt;=Y223)*'13_Mapa_Liq'!$C$18+(K223&lt;=AC223)*'13_Mapa_Liq'!$C$19),0)</f>
        <v>0</v>
      </c>
      <c r="AI223" s="151" t="n">
        <f aca="false">IF(ISNUMBER(B223),E223*(1-F223)*((L223&gt;=O223)*'13_Mapa_Liq'!$C$15+(L223&gt;=S223)*'13_Mapa_Liq'!$C$16+(L223&gt;=W223)*'13_Mapa_Liq'!$C$17+(L223&gt;=AA223)*'13_Mapa_Liq'!$C$18+(L223&gt;=AE223)*'13_Mapa_Liq'!$C$19),0)</f>
        <v>0</v>
      </c>
    </row>
    <row r="224" customFormat="false" ht="15" hidden="false" customHeight="false" outlineLevel="0" collapsed="false">
      <c r="A224" s="151" t="str">
        <f aca="false">IF(ISNUMBER('12_Datos_5m'!F224),ROW()-4,"")</f>
        <v/>
      </c>
      <c r="B224" s="151" t="str">
        <f aca="false">IF(ISNUMBER('12_Datos_5m'!F224),'12_Datos_5m'!F224,"")</f>
        <v/>
      </c>
      <c r="C224" s="151" t="str">
        <f aca="false">IF(ISNUMBER('12_Datos_5m'!A224),'12_Datos_5m'!A224,"")</f>
        <v/>
      </c>
      <c r="D224" s="151" t="n">
        <f aca="false">IF(AND(ISNUMBER('12_Datos_5m'!I224),ISNUMBER('12_Datos_5m'!I223)),'12_Datos_5m'!I224-'12_Datos_5m'!I223,0)</f>
        <v>0</v>
      </c>
      <c r="E224" s="151" t="n">
        <f aca="false">MAX(0,D224)</f>
        <v>0</v>
      </c>
      <c r="F224" s="151" t="n">
        <f aca="false">IF(AND(ISNUMBER('12_Datos_5m'!G224),N('12_Datos_5m'!G224)&gt;0),'12_Datos_5m'!H224/'12_Datos_5m'!G224,0.5)</f>
        <v>0.5</v>
      </c>
      <c r="G224" s="151" t="n">
        <f aca="false">IF(ISNUMBER(C224),($C$2-C224)/3600000,0)</f>
        <v>0</v>
      </c>
      <c r="H224" s="151" t="n">
        <f aca="false">EXP(-G224/'13_Mapa_Liq'!$B$7)</f>
        <v>1</v>
      </c>
      <c r="I224" s="151" t="n">
        <f aca="false">E224*F224*H224</f>
        <v>0</v>
      </c>
      <c r="J224" s="151" t="n">
        <f aca="false">E224*(1-F224)*H224</f>
        <v>0</v>
      </c>
      <c r="K224" s="151" t="n">
        <f aca="false">IF(COUNT('12_Datos_5m'!E225:E$504)=0,1000000000000,MIN('12_Datos_5m'!E225:E$504))</f>
        <v>1000000000000</v>
      </c>
      <c r="L224" s="151" t="n">
        <f aca="false">IF(COUNT('12_Datos_5m'!D225:D$504)=0,0,MAX('12_Datos_5m'!D225:D$504))</f>
        <v>0</v>
      </c>
      <c r="M224" s="151" t="str">
        <f aca="false">IF(ISNUMBER(B224),B224*(1-1/'13_Mapa_Liq'!$B$15+'13_Mapa_Liq'!$B$6),"")</f>
        <v/>
      </c>
      <c r="N224" s="151" t="n">
        <f aca="false">IF(ISNUMBER(B224),IF(K224&gt;M224,I224*'13_Mapa_Liq'!$C$15,0),0)</f>
        <v>0</v>
      </c>
      <c r="O224" s="151" t="str">
        <f aca="false">IF(ISNUMBER(B224),B224*(1+1/'13_Mapa_Liq'!$B$15-'13_Mapa_Liq'!$B$6),"")</f>
        <v/>
      </c>
      <c r="P224" s="151" t="n">
        <f aca="false">IF(ISNUMBER(B224),IF(L224&lt;O224,J224*'13_Mapa_Liq'!$C$15,0),0)</f>
        <v>0</v>
      </c>
      <c r="Q224" s="151" t="str">
        <f aca="false">IF(ISNUMBER(B224),B224*(1-1/'13_Mapa_Liq'!$B$16+'13_Mapa_Liq'!$B$6),"")</f>
        <v/>
      </c>
      <c r="R224" s="151" t="n">
        <f aca="false">IF(ISNUMBER(B224),IF(K224&gt;Q224,I224*'13_Mapa_Liq'!$C$16,0),0)</f>
        <v>0</v>
      </c>
      <c r="S224" s="151" t="str">
        <f aca="false">IF(ISNUMBER(B224),B224*(1+1/'13_Mapa_Liq'!$B$16-'13_Mapa_Liq'!$B$6),"")</f>
        <v/>
      </c>
      <c r="T224" s="151" t="n">
        <f aca="false">IF(ISNUMBER(B224),IF(L224&lt;S224,J224*'13_Mapa_Liq'!$C$16,0),0)</f>
        <v>0</v>
      </c>
      <c r="U224" s="151" t="str">
        <f aca="false">IF(ISNUMBER(B224),B224*(1-1/'13_Mapa_Liq'!$B$17+'13_Mapa_Liq'!$B$6),"")</f>
        <v/>
      </c>
      <c r="V224" s="151" t="n">
        <f aca="false">IF(ISNUMBER(B224),IF(K224&gt;U224,I224*'13_Mapa_Liq'!$C$17,0),0)</f>
        <v>0</v>
      </c>
      <c r="W224" s="151" t="str">
        <f aca="false">IF(ISNUMBER(B224),B224*(1+1/'13_Mapa_Liq'!$B$17-'13_Mapa_Liq'!$B$6),"")</f>
        <v/>
      </c>
      <c r="X224" s="151" t="n">
        <f aca="false">IF(ISNUMBER(B224),IF(L224&lt;W224,J224*'13_Mapa_Liq'!$C$17,0),0)</f>
        <v>0</v>
      </c>
      <c r="Y224" s="151" t="str">
        <f aca="false">IF(ISNUMBER(B224),B224*(1-1/'13_Mapa_Liq'!$B$18+'13_Mapa_Liq'!$B$6),"")</f>
        <v/>
      </c>
      <c r="Z224" s="151" t="n">
        <f aca="false">IF(ISNUMBER(B224),IF(K224&gt;Y224,I224*'13_Mapa_Liq'!$C$18,0),0)</f>
        <v>0</v>
      </c>
      <c r="AA224" s="151" t="str">
        <f aca="false">IF(ISNUMBER(B224),B224*(1+1/'13_Mapa_Liq'!$B$18-'13_Mapa_Liq'!$B$6),"")</f>
        <v/>
      </c>
      <c r="AB224" s="151" t="n">
        <f aca="false">IF(ISNUMBER(B224),IF(L224&lt;AA224,J224*'13_Mapa_Liq'!$C$18,0),0)</f>
        <v>0</v>
      </c>
      <c r="AC224" s="151" t="str">
        <f aca="false">IF(ISNUMBER(B224),B224*(1-1/'13_Mapa_Liq'!$B$19+'13_Mapa_Liq'!$B$6),"")</f>
        <v/>
      </c>
      <c r="AD224" s="151" t="n">
        <f aca="false">IF(ISNUMBER(B224),IF(K224&gt;AC224,I224*'13_Mapa_Liq'!$C$19,0),0)</f>
        <v>0</v>
      </c>
      <c r="AE224" s="151" t="str">
        <f aca="false">IF(ISNUMBER(B224),B224*(1+1/'13_Mapa_Liq'!$B$19-'13_Mapa_Liq'!$B$6),"")</f>
        <v/>
      </c>
      <c r="AF224" s="151" t="n">
        <f aca="false">IF(ISNUMBER(B224),IF(L224&lt;AE224,J224*'13_Mapa_Liq'!$C$19,0),0)</f>
        <v>0</v>
      </c>
      <c r="AG224" s="151"/>
      <c r="AH224" s="151" t="n">
        <f aca="false">IF(ISNUMBER(B224),E224*F224*((K224&lt;=M224)*'13_Mapa_Liq'!$C$15+(K224&lt;=Q224)*'13_Mapa_Liq'!$C$16+(K224&lt;=U224)*'13_Mapa_Liq'!$C$17+(K224&lt;=Y224)*'13_Mapa_Liq'!$C$18+(K224&lt;=AC224)*'13_Mapa_Liq'!$C$19),0)</f>
        <v>0</v>
      </c>
      <c r="AI224" s="151" t="n">
        <f aca="false">IF(ISNUMBER(B224),E224*(1-F224)*((L224&gt;=O224)*'13_Mapa_Liq'!$C$15+(L224&gt;=S224)*'13_Mapa_Liq'!$C$16+(L224&gt;=W224)*'13_Mapa_Liq'!$C$17+(L224&gt;=AA224)*'13_Mapa_Liq'!$C$18+(L224&gt;=AE224)*'13_Mapa_Liq'!$C$19),0)</f>
        <v>0</v>
      </c>
    </row>
    <row r="225" customFormat="false" ht="15" hidden="false" customHeight="false" outlineLevel="0" collapsed="false">
      <c r="A225" s="151" t="str">
        <f aca="false">IF(ISNUMBER('12_Datos_5m'!F225),ROW()-4,"")</f>
        <v/>
      </c>
      <c r="B225" s="151" t="str">
        <f aca="false">IF(ISNUMBER('12_Datos_5m'!F225),'12_Datos_5m'!F225,"")</f>
        <v/>
      </c>
      <c r="C225" s="151" t="str">
        <f aca="false">IF(ISNUMBER('12_Datos_5m'!A225),'12_Datos_5m'!A225,"")</f>
        <v/>
      </c>
      <c r="D225" s="151" t="n">
        <f aca="false">IF(AND(ISNUMBER('12_Datos_5m'!I225),ISNUMBER('12_Datos_5m'!I224)),'12_Datos_5m'!I225-'12_Datos_5m'!I224,0)</f>
        <v>0</v>
      </c>
      <c r="E225" s="151" t="n">
        <f aca="false">MAX(0,D225)</f>
        <v>0</v>
      </c>
      <c r="F225" s="151" t="n">
        <f aca="false">IF(AND(ISNUMBER('12_Datos_5m'!G225),N('12_Datos_5m'!G225)&gt;0),'12_Datos_5m'!H225/'12_Datos_5m'!G225,0.5)</f>
        <v>0.5</v>
      </c>
      <c r="G225" s="151" t="n">
        <f aca="false">IF(ISNUMBER(C225),($C$2-C225)/3600000,0)</f>
        <v>0</v>
      </c>
      <c r="H225" s="151" t="n">
        <f aca="false">EXP(-G225/'13_Mapa_Liq'!$B$7)</f>
        <v>1</v>
      </c>
      <c r="I225" s="151" t="n">
        <f aca="false">E225*F225*H225</f>
        <v>0</v>
      </c>
      <c r="J225" s="151" t="n">
        <f aca="false">E225*(1-F225)*H225</f>
        <v>0</v>
      </c>
      <c r="K225" s="151" t="n">
        <f aca="false">IF(COUNT('12_Datos_5m'!E226:E$504)=0,1000000000000,MIN('12_Datos_5m'!E226:E$504))</f>
        <v>1000000000000</v>
      </c>
      <c r="L225" s="151" t="n">
        <f aca="false">IF(COUNT('12_Datos_5m'!D226:D$504)=0,0,MAX('12_Datos_5m'!D226:D$504))</f>
        <v>0</v>
      </c>
      <c r="M225" s="151" t="str">
        <f aca="false">IF(ISNUMBER(B225),B225*(1-1/'13_Mapa_Liq'!$B$15+'13_Mapa_Liq'!$B$6),"")</f>
        <v/>
      </c>
      <c r="N225" s="151" t="n">
        <f aca="false">IF(ISNUMBER(B225),IF(K225&gt;M225,I225*'13_Mapa_Liq'!$C$15,0),0)</f>
        <v>0</v>
      </c>
      <c r="O225" s="151" t="str">
        <f aca="false">IF(ISNUMBER(B225),B225*(1+1/'13_Mapa_Liq'!$B$15-'13_Mapa_Liq'!$B$6),"")</f>
        <v/>
      </c>
      <c r="P225" s="151" t="n">
        <f aca="false">IF(ISNUMBER(B225),IF(L225&lt;O225,J225*'13_Mapa_Liq'!$C$15,0),0)</f>
        <v>0</v>
      </c>
      <c r="Q225" s="151" t="str">
        <f aca="false">IF(ISNUMBER(B225),B225*(1-1/'13_Mapa_Liq'!$B$16+'13_Mapa_Liq'!$B$6),"")</f>
        <v/>
      </c>
      <c r="R225" s="151" t="n">
        <f aca="false">IF(ISNUMBER(B225),IF(K225&gt;Q225,I225*'13_Mapa_Liq'!$C$16,0),0)</f>
        <v>0</v>
      </c>
      <c r="S225" s="151" t="str">
        <f aca="false">IF(ISNUMBER(B225),B225*(1+1/'13_Mapa_Liq'!$B$16-'13_Mapa_Liq'!$B$6),"")</f>
        <v/>
      </c>
      <c r="T225" s="151" t="n">
        <f aca="false">IF(ISNUMBER(B225),IF(L225&lt;S225,J225*'13_Mapa_Liq'!$C$16,0),0)</f>
        <v>0</v>
      </c>
      <c r="U225" s="151" t="str">
        <f aca="false">IF(ISNUMBER(B225),B225*(1-1/'13_Mapa_Liq'!$B$17+'13_Mapa_Liq'!$B$6),"")</f>
        <v/>
      </c>
      <c r="V225" s="151" t="n">
        <f aca="false">IF(ISNUMBER(B225),IF(K225&gt;U225,I225*'13_Mapa_Liq'!$C$17,0),0)</f>
        <v>0</v>
      </c>
      <c r="W225" s="151" t="str">
        <f aca="false">IF(ISNUMBER(B225),B225*(1+1/'13_Mapa_Liq'!$B$17-'13_Mapa_Liq'!$B$6),"")</f>
        <v/>
      </c>
      <c r="X225" s="151" t="n">
        <f aca="false">IF(ISNUMBER(B225),IF(L225&lt;W225,J225*'13_Mapa_Liq'!$C$17,0),0)</f>
        <v>0</v>
      </c>
      <c r="Y225" s="151" t="str">
        <f aca="false">IF(ISNUMBER(B225),B225*(1-1/'13_Mapa_Liq'!$B$18+'13_Mapa_Liq'!$B$6),"")</f>
        <v/>
      </c>
      <c r="Z225" s="151" t="n">
        <f aca="false">IF(ISNUMBER(B225),IF(K225&gt;Y225,I225*'13_Mapa_Liq'!$C$18,0),0)</f>
        <v>0</v>
      </c>
      <c r="AA225" s="151" t="str">
        <f aca="false">IF(ISNUMBER(B225),B225*(1+1/'13_Mapa_Liq'!$B$18-'13_Mapa_Liq'!$B$6),"")</f>
        <v/>
      </c>
      <c r="AB225" s="151" t="n">
        <f aca="false">IF(ISNUMBER(B225),IF(L225&lt;AA225,J225*'13_Mapa_Liq'!$C$18,0),0)</f>
        <v>0</v>
      </c>
      <c r="AC225" s="151" t="str">
        <f aca="false">IF(ISNUMBER(B225),B225*(1-1/'13_Mapa_Liq'!$B$19+'13_Mapa_Liq'!$B$6),"")</f>
        <v/>
      </c>
      <c r="AD225" s="151" t="n">
        <f aca="false">IF(ISNUMBER(B225),IF(K225&gt;AC225,I225*'13_Mapa_Liq'!$C$19,0),0)</f>
        <v>0</v>
      </c>
      <c r="AE225" s="151" t="str">
        <f aca="false">IF(ISNUMBER(B225),B225*(1+1/'13_Mapa_Liq'!$B$19-'13_Mapa_Liq'!$B$6),"")</f>
        <v/>
      </c>
      <c r="AF225" s="151" t="n">
        <f aca="false">IF(ISNUMBER(B225),IF(L225&lt;AE225,J225*'13_Mapa_Liq'!$C$19,0),0)</f>
        <v>0</v>
      </c>
      <c r="AG225" s="151"/>
      <c r="AH225" s="151" t="n">
        <f aca="false">IF(ISNUMBER(B225),E225*F225*((K225&lt;=M225)*'13_Mapa_Liq'!$C$15+(K225&lt;=Q225)*'13_Mapa_Liq'!$C$16+(K225&lt;=U225)*'13_Mapa_Liq'!$C$17+(K225&lt;=Y225)*'13_Mapa_Liq'!$C$18+(K225&lt;=AC225)*'13_Mapa_Liq'!$C$19),0)</f>
        <v>0</v>
      </c>
      <c r="AI225" s="151" t="n">
        <f aca="false">IF(ISNUMBER(B225),E225*(1-F225)*((L225&gt;=O225)*'13_Mapa_Liq'!$C$15+(L225&gt;=S225)*'13_Mapa_Liq'!$C$16+(L225&gt;=W225)*'13_Mapa_Liq'!$C$17+(L225&gt;=AA225)*'13_Mapa_Liq'!$C$18+(L225&gt;=AE225)*'13_Mapa_Liq'!$C$19),0)</f>
        <v>0</v>
      </c>
    </row>
    <row r="226" customFormat="false" ht="15" hidden="false" customHeight="false" outlineLevel="0" collapsed="false">
      <c r="A226" s="151" t="str">
        <f aca="false">IF(ISNUMBER('12_Datos_5m'!F226),ROW()-4,"")</f>
        <v/>
      </c>
      <c r="B226" s="151" t="str">
        <f aca="false">IF(ISNUMBER('12_Datos_5m'!F226),'12_Datos_5m'!F226,"")</f>
        <v/>
      </c>
      <c r="C226" s="151" t="str">
        <f aca="false">IF(ISNUMBER('12_Datos_5m'!A226),'12_Datos_5m'!A226,"")</f>
        <v/>
      </c>
      <c r="D226" s="151" t="n">
        <f aca="false">IF(AND(ISNUMBER('12_Datos_5m'!I226),ISNUMBER('12_Datos_5m'!I225)),'12_Datos_5m'!I226-'12_Datos_5m'!I225,0)</f>
        <v>0</v>
      </c>
      <c r="E226" s="151" t="n">
        <f aca="false">MAX(0,D226)</f>
        <v>0</v>
      </c>
      <c r="F226" s="151" t="n">
        <f aca="false">IF(AND(ISNUMBER('12_Datos_5m'!G226),N('12_Datos_5m'!G226)&gt;0),'12_Datos_5m'!H226/'12_Datos_5m'!G226,0.5)</f>
        <v>0.5</v>
      </c>
      <c r="G226" s="151" t="n">
        <f aca="false">IF(ISNUMBER(C226),($C$2-C226)/3600000,0)</f>
        <v>0</v>
      </c>
      <c r="H226" s="151" t="n">
        <f aca="false">EXP(-G226/'13_Mapa_Liq'!$B$7)</f>
        <v>1</v>
      </c>
      <c r="I226" s="151" t="n">
        <f aca="false">E226*F226*H226</f>
        <v>0</v>
      </c>
      <c r="J226" s="151" t="n">
        <f aca="false">E226*(1-F226)*H226</f>
        <v>0</v>
      </c>
      <c r="K226" s="151" t="n">
        <f aca="false">IF(COUNT('12_Datos_5m'!E227:E$504)=0,1000000000000,MIN('12_Datos_5m'!E227:E$504))</f>
        <v>1000000000000</v>
      </c>
      <c r="L226" s="151" t="n">
        <f aca="false">IF(COUNT('12_Datos_5m'!D227:D$504)=0,0,MAX('12_Datos_5m'!D227:D$504))</f>
        <v>0</v>
      </c>
      <c r="M226" s="151" t="str">
        <f aca="false">IF(ISNUMBER(B226),B226*(1-1/'13_Mapa_Liq'!$B$15+'13_Mapa_Liq'!$B$6),"")</f>
        <v/>
      </c>
      <c r="N226" s="151" t="n">
        <f aca="false">IF(ISNUMBER(B226),IF(K226&gt;M226,I226*'13_Mapa_Liq'!$C$15,0),0)</f>
        <v>0</v>
      </c>
      <c r="O226" s="151" t="str">
        <f aca="false">IF(ISNUMBER(B226),B226*(1+1/'13_Mapa_Liq'!$B$15-'13_Mapa_Liq'!$B$6),"")</f>
        <v/>
      </c>
      <c r="P226" s="151" t="n">
        <f aca="false">IF(ISNUMBER(B226),IF(L226&lt;O226,J226*'13_Mapa_Liq'!$C$15,0),0)</f>
        <v>0</v>
      </c>
      <c r="Q226" s="151" t="str">
        <f aca="false">IF(ISNUMBER(B226),B226*(1-1/'13_Mapa_Liq'!$B$16+'13_Mapa_Liq'!$B$6),"")</f>
        <v/>
      </c>
      <c r="R226" s="151" t="n">
        <f aca="false">IF(ISNUMBER(B226),IF(K226&gt;Q226,I226*'13_Mapa_Liq'!$C$16,0),0)</f>
        <v>0</v>
      </c>
      <c r="S226" s="151" t="str">
        <f aca="false">IF(ISNUMBER(B226),B226*(1+1/'13_Mapa_Liq'!$B$16-'13_Mapa_Liq'!$B$6),"")</f>
        <v/>
      </c>
      <c r="T226" s="151" t="n">
        <f aca="false">IF(ISNUMBER(B226),IF(L226&lt;S226,J226*'13_Mapa_Liq'!$C$16,0),0)</f>
        <v>0</v>
      </c>
      <c r="U226" s="151" t="str">
        <f aca="false">IF(ISNUMBER(B226),B226*(1-1/'13_Mapa_Liq'!$B$17+'13_Mapa_Liq'!$B$6),"")</f>
        <v/>
      </c>
      <c r="V226" s="151" t="n">
        <f aca="false">IF(ISNUMBER(B226),IF(K226&gt;U226,I226*'13_Mapa_Liq'!$C$17,0),0)</f>
        <v>0</v>
      </c>
      <c r="W226" s="151" t="str">
        <f aca="false">IF(ISNUMBER(B226),B226*(1+1/'13_Mapa_Liq'!$B$17-'13_Mapa_Liq'!$B$6),"")</f>
        <v/>
      </c>
      <c r="X226" s="151" t="n">
        <f aca="false">IF(ISNUMBER(B226),IF(L226&lt;W226,J226*'13_Mapa_Liq'!$C$17,0),0)</f>
        <v>0</v>
      </c>
      <c r="Y226" s="151" t="str">
        <f aca="false">IF(ISNUMBER(B226),B226*(1-1/'13_Mapa_Liq'!$B$18+'13_Mapa_Liq'!$B$6),"")</f>
        <v/>
      </c>
      <c r="Z226" s="151" t="n">
        <f aca="false">IF(ISNUMBER(B226),IF(K226&gt;Y226,I226*'13_Mapa_Liq'!$C$18,0),0)</f>
        <v>0</v>
      </c>
      <c r="AA226" s="151" t="str">
        <f aca="false">IF(ISNUMBER(B226),B226*(1+1/'13_Mapa_Liq'!$B$18-'13_Mapa_Liq'!$B$6),"")</f>
        <v/>
      </c>
      <c r="AB226" s="151" t="n">
        <f aca="false">IF(ISNUMBER(B226),IF(L226&lt;AA226,J226*'13_Mapa_Liq'!$C$18,0),0)</f>
        <v>0</v>
      </c>
      <c r="AC226" s="151" t="str">
        <f aca="false">IF(ISNUMBER(B226),B226*(1-1/'13_Mapa_Liq'!$B$19+'13_Mapa_Liq'!$B$6),"")</f>
        <v/>
      </c>
      <c r="AD226" s="151" t="n">
        <f aca="false">IF(ISNUMBER(B226),IF(K226&gt;AC226,I226*'13_Mapa_Liq'!$C$19,0),0)</f>
        <v>0</v>
      </c>
      <c r="AE226" s="151" t="str">
        <f aca="false">IF(ISNUMBER(B226),B226*(1+1/'13_Mapa_Liq'!$B$19-'13_Mapa_Liq'!$B$6),"")</f>
        <v/>
      </c>
      <c r="AF226" s="151" t="n">
        <f aca="false">IF(ISNUMBER(B226),IF(L226&lt;AE226,J226*'13_Mapa_Liq'!$C$19,0),0)</f>
        <v>0</v>
      </c>
      <c r="AG226" s="151"/>
      <c r="AH226" s="151" t="n">
        <f aca="false">IF(ISNUMBER(B226),E226*F226*((K226&lt;=M226)*'13_Mapa_Liq'!$C$15+(K226&lt;=Q226)*'13_Mapa_Liq'!$C$16+(K226&lt;=U226)*'13_Mapa_Liq'!$C$17+(K226&lt;=Y226)*'13_Mapa_Liq'!$C$18+(K226&lt;=AC226)*'13_Mapa_Liq'!$C$19),0)</f>
        <v>0</v>
      </c>
      <c r="AI226" s="151" t="n">
        <f aca="false">IF(ISNUMBER(B226),E226*(1-F226)*((L226&gt;=O226)*'13_Mapa_Liq'!$C$15+(L226&gt;=S226)*'13_Mapa_Liq'!$C$16+(L226&gt;=W226)*'13_Mapa_Liq'!$C$17+(L226&gt;=AA226)*'13_Mapa_Liq'!$C$18+(L226&gt;=AE226)*'13_Mapa_Liq'!$C$19),0)</f>
        <v>0</v>
      </c>
    </row>
    <row r="227" customFormat="false" ht="15" hidden="false" customHeight="false" outlineLevel="0" collapsed="false">
      <c r="A227" s="151" t="str">
        <f aca="false">IF(ISNUMBER('12_Datos_5m'!F227),ROW()-4,"")</f>
        <v/>
      </c>
      <c r="B227" s="151" t="str">
        <f aca="false">IF(ISNUMBER('12_Datos_5m'!F227),'12_Datos_5m'!F227,"")</f>
        <v/>
      </c>
      <c r="C227" s="151" t="str">
        <f aca="false">IF(ISNUMBER('12_Datos_5m'!A227),'12_Datos_5m'!A227,"")</f>
        <v/>
      </c>
      <c r="D227" s="151" t="n">
        <f aca="false">IF(AND(ISNUMBER('12_Datos_5m'!I227),ISNUMBER('12_Datos_5m'!I226)),'12_Datos_5m'!I227-'12_Datos_5m'!I226,0)</f>
        <v>0</v>
      </c>
      <c r="E227" s="151" t="n">
        <f aca="false">MAX(0,D227)</f>
        <v>0</v>
      </c>
      <c r="F227" s="151" t="n">
        <f aca="false">IF(AND(ISNUMBER('12_Datos_5m'!G227),N('12_Datos_5m'!G227)&gt;0),'12_Datos_5m'!H227/'12_Datos_5m'!G227,0.5)</f>
        <v>0.5</v>
      </c>
      <c r="G227" s="151" t="n">
        <f aca="false">IF(ISNUMBER(C227),($C$2-C227)/3600000,0)</f>
        <v>0</v>
      </c>
      <c r="H227" s="151" t="n">
        <f aca="false">EXP(-G227/'13_Mapa_Liq'!$B$7)</f>
        <v>1</v>
      </c>
      <c r="I227" s="151" t="n">
        <f aca="false">E227*F227*H227</f>
        <v>0</v>
      </c>
      <c r="J227" s="151" t="n">
        <f aca="false">E227*(1-F227)*H227</f>
        <v>0</v>
      </c>
      <c r="K227" s="151" t="n">
        <f aca="false">IF(COUNT('12_Datos_5m'!E228:E$504)=0,1000000000000,MIN('12_Datos_5m'!E228:E$504))</f>
        <v>1000000000000</v>
      </c>
      <c r="L227" s="151" t="n">
        <f aca="false">IF(COUNT('12_Datos_5m'!D228:D$504)=0,0,MAX('12_Datos_5m'!D228:D$504))</f>
        <v>0</v>
      </c>
      <c r="M227" s="151" t="str">
        <f aca="false">IF(ISNUMBER(B227),B227*(1-1/'13_Mapa_Liq'!$B$15+'13_Mapa_Liq'!$B$6),"")</f>
        <v/>
      </c>
      <c r="N227" s="151" t="n">
        <f aca="false">IF(ISNUMBER(B227),IF(K227&gt;M227,I227*'13_Mapa_Liq'!$C$15,0),0)</f>
        <v>0</v>
      </c>
      <c r="O227" s="151" t="str">
        <f aca="false">IF(ISNUMBER(B227),B227*(1+1/'13_Mapa_Liq'!$B$15-'13_Mapa_Liq'!$B$6),"")</f>
        <v/>
      </c>
      <c r="P227" s="151" t="n">
        <f aca="false">IF(ISNUMBER(B227),IF(L227&lt;O227,J227*'13_Mapa_Liq'!$C$15,0),0)</f>
        <v>0</v>
      </c>
      <c r="Q227" s="151" t="str">
        <f aca="false">IF(ISNUMBER(B227),B227*(1-1/'13_Mapa_Liq'!$B$16+'13_Mapa_Liq'!$B$6),"")</f>
        <v/>
      </c>
      <c r="R227" s="151" t="n">
        <f aca="false">IF(ISNUMBER(B227),IF(K227&gt;Q227,I227*'13_Mapa_Liq'!$C$16,0),0)</f>
        <v>0</v>
      </c>
      <c r="S227" s="151" t="str">
        <f aca="false">IF(ISNUMBER(B227),B227*(1+1/'13_Mapa_Liq'!$B$16-'13_Mapa_Liq'!$B$6),"")</f>
        <v/>
      </c>
      <c r="T227" s="151" t="n">
        <f aca="false">IF(ISNUMBER(B227),IF(L227&lt;S227,J227*'13_Mapa_Liq'!$C$16,0),0)</f>
        <v>0</v>
      </c>
      <c r="U227" s="151" t="str">
        <f aca="false">IF(ISNUMBER(B227),B227*(1-1/'13_Mapa_Liq'!$B$17+'13_Mapa_Liq'!$B$6),"")</f>
        <v/>
      </c>
      <c r="V227" s="151" t="n">
        <f aca="false">IF(ISNUMBER(B227),IF(K227&gt;U227,I227*'13_Mapa_Liq'!$C$17,0),0)</f>
        <v>0</v>
      </c>
      <c r="W227" s="151" t="str">
        <f aca="false">IF(ISNUMBER(B227),B227*(1+1/'13_Mapa_Liq'!$B$17-'13_Mapa_Liq'!$B$6),"")</f>
        <v/>
      </c>
      <c r="X227" s="151" t="n">
        <f aca="false">IF(ISNUMBER(B227),IF(L227&lt;W227,J227*'13_Mapa_Liq'!$C$17,0),0)</f>
        <v>0</v>
      </c>
      <c r="Y227" s="151" t="str">
        <f aca="false">IF(ISNUMBER(B227),B227*(1-1/'13_Mapa_Liq'!$B$18+'13_Mapa_Liq'!$B$6),"")</f>
        <v/>
      </c>
      <c r="Z227" s="151" t="n">
        <f aca="false">IF(ISNUMBER(B227),IF(K227&gt;Y227,I227*'13_Mapa_Liq'!$C$18,0),0)</f>
        <v>0</v>
      </c>
      <c r="AA227" s="151" t="str">
        <f aca="false">IF(ISNUMBER(B227),B227*(1+1/'13_Mapa_Liq'!$B$18-'13_Mapa_Liq'!$B$6),"")</f>
        <v/>
      </c>
      <c r="AB227" s="151" t="n">
        <f aca="false">IF(ISNUMBER(B227),IF(L227&lt;AA227,J227*'13_Mapa_Liq'!$C$18,0),0)</f>
        <v>0</v>
      </c>
      <c r="AC227" s="151" t="str">
        <f aca="false">IF(ISNUMBER(B227),B227*(1-1/'13_Mapa_Liq'!$B$19+'13_Mapa_Liq'!$B$6),"")</f>
        <v/>
      </c>
      <c r="AD227" s="151" t="n">
        <f aca="false">IF(ISNUMBER(B227),IF(K227&gt;AC227,I227*'13_Mapa_Liq'!$C$19,0),0)</f>
        <v>0</v>
      </c>
      <c r="AE227" s="151" t="str">
        <f aca="false">IF(ISNUMBER(B227),B227*(1+1/'13_Mapa_Liq'!$B$19-'13_Mapa_Liq'!$B$6),"")</f>
        <v/>
      </c>
      <c r="AF227" s="151" t="n">
        <f aca="false">IF(ISNUMBER(B227),IF(L227&lt;AE227,J227*'13_Mapa_Liq'!$C$19,0),0)</f>
        <v>0</v>
      </c>
      <c r="AG227" s="151"/>
      <c r="AH227" s="151" t="n">
        <f aca="false">IF(ISNUMBER(B227),E227*F227*((K227&lt;=M227)*'13_Mapa_Liq'!$C$15+(K227&lt;=Q227)*'13_Mapa_Liq'!$C$16+(K227&lt;=U227)*'13_Mapa_Liq'!$C$17+(K227&lt;=Y227)*'13_Mapa_Liq'!$C$18+(K227&lt;=AC227)*'13_Mapa_Liq'!$C$19),0)</f>
        <v>0</v>
      </c>
      <c r="AI227" s="151" t="n">
        <f aca="false">IF(ISNUMBER(B227),E227*(1-F227)*((L227&gt;=O227)*'13_Mapa_Liq'!$C$15+(L227&gt;=S227)*'13_Mapa_Liq'!$C$16+(L227&gt;=W227)*'13_Mapa_Liq'!$C$17+(L227&gt;=AA227)*'13_Mapa_Liq'!$C$18+(L227&gt;=AE227)*'13_Mapa_Liq'!$C$19),0)</f>
        <v>0</v>
      </c>
    </row>
    <row r="228" customFormat="false" ht="15" hidden="false" customHeight="false" outlineLevel="0" collapsed="false">
      <c r="A228" s="151" t="str">
        <f aca="false">IF(ISNUMBER('12_Datos_5m'!F228),ROW()-4,"")</f>
        <v/>
      </c>
      <c r="B228" s="151" t="str">
        <f aca="false">IF(ISNUMBER('12_Datos_5m'!F228),'12_Datos_5m'!F228,"")</f>
        <v/>
      </c>
      <c r="C228" s="151" t="str">
        <f aca="false">IF(ISNUMBER('12_Datos_5m'!A228),'12_Datos_5m'!A228,"")</f>
        <v/>
      </c>
      <c r="D228" s="151" t="n">
        <f aca="false">IF(AND(ISNUMBER('12_Datos_5m'!I228),ISNUMBER('12_Datos_5m'!I227)),'12_Datos_5m'!I228-'12_Datos_5m'!I227,0)</f>
        <v>0</v>
      </c>
      <c r="E228" s="151" t="n">
        <f aca="false">MAX(0,D228)</f>
        <v>0</v>
      </c>
      <c r="F228" s="151" t="n">
        <f aca="false">IF(AND(ISNUMBER('12_Datos_5m'!G228),N('12_Datos_5m'!G228)&gt;0),'12_Datos_5m'!H228/'12_Datos_5m'!G228,0.5)</f>
        <v>0.5</v>
      </c>
      <c r="G228" s="151" t="n">
        <f aca="false">IF(ISNUMBER(C228),($C$2-C228)/3600000,0)</f>
        <v>0</v>
      </c>
      <c r="H228" s="151" t="n">
        <f aca="false">EXP(-G228/'13_Mapa_Liq'!$B$7)</f>
        <v>1</v>
      </c>
      <c r="I228" s="151" t="n">
        <f aca="false">E228*F228*H228</f>
        <v>0</v>
      </c>
      <c r="J228" s="151" t="n">
        <f aca="false">E228*(1-F228)*H228</f>
        <v>0</v>
      </c>
      <c r="K228" s="151" t="n">
        <f aca="false">IF(COUNT('12_Datos_5m'!E229:E$504)=0,1000000000000,MIN('12_Datos_5m'!E229:E$504))</f>
        <v>1000000000000</v>
      </c>
      <c r="L228" s="151" t="n">
        <f aca="false">IF(COUNT('12_Datos_5m'!D229:D$504)=0,0,MAX('12_Datos_5m'!D229:D$504))</f>
        <v>0</v>
      </c>
      <c r="M228" s="151" t="str">
        <f aca="false">IF(ISNUMBER(B228),B228*(1-1/'13_Mapa_Liq'!$B$15+'13_Mapa_Liq'!$B$6),"")</f>
        <v/>
      </c>
      <c r="N228" s="151" t="n">
        <f aca="false">IF(ISNUMBER(B228),IF(K228&gt;M228,I228*'13_Mapa_Liq'!$C$15,0),0)</f>
        <v>0</v>
      </c>
      <c r="O228" s="151" t="str">
        <f aca="false">IF(ISNUMBER(B228),B228*(1+1/'13_Mapa_Liq'!$B$15-'13_Mapa_Liq'!$B$6),"")</f>
        <v/>
      </c>
      <c r="P228" s="151" t="n">
        <f aca="false">IF(ISNUMBER(B228),IF(L228&lt;O228,J228*'13_Mapa_Liq'!$C$15,0),0)</f>
        <v>0</v>
      </c>
      <c r="Q228" s="151" t="str">
        <f aca="false">IF(ISNUMBER(B228),B228*(1-1/'13_Mapa_Liq'!$B$16+'13_Mapa_Liq'!$B$6),"")</f>
        <v/>
      </c>
      <c r="R228" s="151" t="n">
        <f aca="false">IF(ISNUMBER(B228),IF(K228&gt;Q228,I228*'13_Mapa_Liq'!$C$16,0),0)</f>
        <v>0</v>
      </c>
      <c r="S228" s="151" t="str">
        <f aca="false">IF(ISNUMBER(B228),B228*(1+1/'13_Mapa_Liq'!$B$16-'13_Mapa_Liq'!$B$6),"")</f>
        <v/>
      </c>
      <c r="T228" s="151" t="n">
        <f aca="false">IF(ISNUMBER(B228),IF(L228&lt;S228,J228*'13_Mapa_Liq'!$C$16,0),0)</f>
        <v>0</v>
      </c>
      <c r="U228" s="151" t="str">
        <f aca="false">IF(ISNUMBER(B228),B228*(1-1/'13_Mapa_Liq'!$B$17+'13_Mapa_Liq'!$B$6),"")</f>
        <v/>
      </c>
      <c r="V228" s="151" t="n">
        <f aca="false">IF(ISNUMBER(B228),IF(K228&gt;U228,I228*'13_Mapa_Liq'!$C$17,0),0)</f>
        <v>0</v>
      </c>
      <c r="W228" s="151" t="str">
        <f aca="false">IF(ISNUMBER(B228),B228*(1+1/'13_Mapa_Liq'!$B$17-'13_Mapa_Liq'!$B$6),"")</f>
        <v/>
      </c>
      <c r="X228" s="151" t="n">
        <f aca="false">IF(ISNUMBER(B228),IF(L228&lt;W228,J228*'13_Mapa_Liq'!$C$17,0),0)</f>
        <v>0</v>
      </c>
      <c r="Y228" s="151" t="str">
        <f aca="false">IF(ISNUMBER(B228),B228*(1-1/'13_Mapa_Liq'!$B$18+'13_Mapa_Liq'!$B$6),"")</f>
        <v/>
      </c>
      <c r="Z228" s="151" t="n">
        <f aca="false">IF(ISNUMBER(B228),IF(K228&gt;Y228,I228*'13_Mapa_Liq'!$C$18,0),0)</f>
        <v>0</v>
      </c>
      <c r="AA228" s="151" t="str">
        <f aca="false">IF(ISNUMBER(B228),B228*(1+1/'13_Mapa_Liq'!$B$18-'13_Mapa_Liq'!$B$6),"")</f>
        <v/>
      </c>
      <c r="AB228" s="151" t="n">
        <f aca="false">IF(ISNUMBER(B228),IF(L228&lt;AA228,J228*'13_Mapa_Liq'!$C$18,0),0)</f>
        <v>0</v>
      </c>
      <c r="AC228" s="151" t="str">
        <f aca="false">IF(ISNUMBER(B228),B228*(1-1/'13_Mapa_Liq'!$B$19+'13_Mapa_Liq'!$B$6),"")</f>
        <v/>
      </c>
      <c r="AD228" s="151" t="n">
        <f aca="false">IF(ISNUMBER(B228),IF(K228&gt;AC228,I228*'13_Mapa_Liq'!$C$19,0),0)</f>
        <v>0</v>
      </c>
      <c r="AE228" s="151" t="str">
        <f aca="false">IF(ISNUMBER(B228),B228*(1+1/'13_Mapa_Liq'!$B$19-'13_Mapa_Liq'!$B$6),"")</f>
        <v/>
      </c>
      <c r="AF228" s="151" t="n">
        <f aca="false">IF(ISNUMBER(B228),IF(L228&lt;AE228,J228*'13_Mapa_Liq'!$C$19,0),0)</f>
        <v>0</v>
      </c>
      <c r="AG228" s="151"/>
      <c r="AH228" s="151" t="n">
        <f aca="false">IF(ISNUMBER(B228),E228*F228*((K228&lt;=M228)*'13_Mapa_Liq'!$C$15+(K228&lt;=Q228)*'13_Mapa_Liq'!$C$16+(K228&lt;=U228)*'13_Mapa_Liq'!$C$17+(K228&lt;=Y228)*'13_Mapa_Liq'!$C$18+(K228&lt;=AC228)*'13_Mapa_Liq'!$C$19),0)</f>
        <v>0</v>
      </c>
      <c r="AI228" s="151" t="n">
        <f aca="false">IF(ISNUMBER(B228),E228*(1-F228)*((L228&gt;=O228)*'13_Mapa_Liq'!$C$15+(L228&gt;=S228)*'13_Mapa_Liq'!$C$16+(L228&gt;=W228)*'13_Mapa_Liq'!$C$17+(L228&gt;=AA228)*'13_Mapa_Liq'!$C$18+(L228&gt;=AE228)*'13_Mapa_Liq'!$C$19),0)</f>
        <v>0</v>
      </c>
    </row>
    <row r="229" customFormat="false" ht="15" hidden="false" customHeight="false" outlineLevel="0" collapsed="false">
      <c r="A229" s="151" t="str">
        <f aca="false">IF(ISNUMBER('12_Datos_5m'!F229),ROW()-4,"")</f>
        <v/>
      </c>
      <c r="B229" s="151" t="str">
        <f aca="false">IF(ISNUMBER('12_Datos_5m'!F229),'12_Datos_5m'!F229,"")</f>
        <v/>
      </c>
      <c r="C229" s="151" t="str">
        <f aca="false">IF(ISNUMBER('12_Datos_5m'!A229),'12_Datos_5m'!A229,"")</f>
        <v/>
      </c>
      <c r="D229" s="151" t="n">
        <f aca="false">IF(AND(ISNUMBER('12_Datos_5m'!I229),ISNUMBER('12_Datos_5m'!I228)),'12_Datos_5m'!I229-'12_Datos_5m'!I228,0)</f>
        <v>0</v>
      </c>
      <c r="E229" s="151" t="n">
        <f aca="false">MAX(0,D229)</f>
        <v>0</v>
      </c>
      <c r="F229" s="151" t="n">
        <f aca="false">IF(AND(ISNUMBER('12_Datos_5m'!G229),N('12_Datos_5m'!G229)&gt;0),'12_Datos_5m'!H229/'12_Datos_5m'!G229,0.5)</f>
        <v>0.5</v>
      </c>
      <c r="G229" s="151" t="n">
        <f aca="false">IF(ISNUMBER(C229),($C$2-C229)/3600000,0)</f>
        <v>0</v>
      </c>
      <c r="H229" s="151" t="n">
        <f aca="false">EXP(-G229/'13_Mapa_Liq'!$B$7)</f>
        <v>1</v>
      </c>
      <c r="I229" s="151" t="n">
        <f aca="false">E229*F229*H229</f>
        <v>0</v>
      </c>
      <c r="J229" s="151" t="n">
        <f aca="false">E229*(1-F229)*H229</f>
        <v>0</v>
      </c>
      <c r="K229" s="151" t="n">
        <f aca="false">IF(COUNT('12_Datos_5m'!E230:E$504)=0,1000000000000,MIN('12_Datos_5m'!E230:E$504))</f>
        <v>1000000000000</v>
      </c>
      <c r="L229" s="151" t="n">
        <f aca="false">IF(COUNT('12_Datos_5m'!D230:D$504)=0,0,MAX('12_Datos_5m'!D230:D$504))</f>
        <v>0</v>
      </c>
      <c r="M229" s="151" t="str">
        <f aca="false">IF(ISNUMBER(B229),B229*(1-1/'13_Mapa_Liq'!$B$15+'13_Mapa_Liq'!$B$6),"")</f>
        <v/>
      </c>
      <c r="N229" s="151" t="n">
        <f aca="false">IF(ISNUMBER(B229),IF(K229&gt;M229,I229*'13_Mapa_Liq'!$C$15,0),0)</f>
        <v>0</v>
      </c>
      <c r="O229" s="151" t="str">
        <f aca="false">IF(ISNUMBER(B229),B229*(1+1/'13_Mapa_Liq'!$B$15-'13_Mapa_Liq'!$B$6),"")</f>
        <v/>
      </c>
      <c r="P229" s="151" t="n">
        <f aca="false">IF(ISNUMBER(B229),IF(L229&lt;O229,J229*'13_Mapa_Liq'!$C$15,0),0)</f>
        <v>0</v>
      </c>
      <c r="Q229" s="151" t="str">
        <f aca="false">IF(ISNUMBER(B229),B229*(1-1/'13_Mapa_Liq'!$B$16+'13_Mapa_Liq'!$B$6),"")</f>
        <v/>
      </c>
      <c r="R229" s="151" t="n">
        <f aca="false">IF(ISNUMBER(B229),IF(K229&gt;Q229,I229*'13_Mapa_Liq'!$C$16,0),0)</f>
        <v>0</v>
      </c>
      <c r="S229" s="151" t="str">
        <f aca="false">IF(ISNUMBER(B229),B229*(1+1/'13_Mapa_Liq'!$B$16-'13_Mapa_Liq'!$B$6),"")</f>
        <v/>
      </c>
      <c r="T229" s="151" t="n">
        <f aca="false">IF(ISNUMBER(B229),IF(L229&lt;S229,J229*'13_Mapa_Liq'!$C$16,0),0)</f>
        <v>0</v>
      </c>
      <c r="U229" s="151" t="str">
        <f aca="false">IF(ISNUMBER(B229),B229*(1-1/'13_Mapa_Liq'!$B$17+'13_Mapa_Liq'!$B$6),"")</f>
        <v/>
      </c>
      <c r="V229" s="151" t="n">
        <f aca="false">IF(ISNUMBER(B229),IF(K229&gt;U229,I229*'13_Mapa_Liq'!$C$17,0),0)</f>
        <v>0</v>
      </c>
      <c r="W229" s="151" t="str">
        <f aca="false">IF(ISNUMBER(B229),B229*(1+1/'13_Mapa_Liq'!$B$17-'13_Mapa_Liq'!$B$6),"")</f>
        <v/>
      </c>
      <c r="X229" s="151" t="n">
        <f aca="false">IF(ISNUMBER(B229),IF(L229&lt;W229,J229*'13_Mapa_Liq'!$C$17,0),0)</f>
        <v>0</v>
      </c>
      <c r="Y229" s="151" t="str">
        <f aca="false">IF(ISNUMBER(B229),B229*(1-1/'13_Mapa_Liq'!$B$18+'13_Mapa_Liq'!$B$6),"")</f>
        <v/>
      </c>
      <c r="Z229" s="151" t="n">
        <f aca="false">IF(ISNUMBER(B229),IF(K229&gt;Y229,I229*'13_Mapa_Liq'!$C$18,0),0)</f>
        <v>0</v>
      </c>
      <c r="AA229" s="151" t="str">
        <f aca="false">IF(ISNUMBER(B229),B229*(1+1/'13_Mapa_Liq'!$B$18-'13_Mapa_Liq'!$B$6),"")</f>
        <v/>
      </c>
      <c r="AB229" s="151" t="n">
        <f aca="false">IF(ISNUMBER(B229),IF(L229&lt;AA229,J229*'13_Mapa_Liq'!$C$18,0),0)</f>
        <v>0</v>
      </c>
      <c r="AC229" s="151" t="str">
        <f aca="false">IF(ISNUMBER(B229),B229*(1-1/'13_Mapa_Liq'!$B$19+'13_Mapa_Liq'!$B$6),"")</f>
        <v/>
      </c>
      <c r="AD229" s="151" t="n">
        <f aca="false">IF(ISNUMBER(B229),IF(K229&gt;AC229,I229*'13_Mapa_Liq'!$C$19,0),0)</f>
        <v>0</v>
      </c>
      <c r="AE229" s="151" t="str">
        <f aca="false">IF(ISNUMBER(B229),B229*(1+1/'13_Mapa_Liq'!$B$19-'13_Mapa_Liq'!$B$6),"")</f>
        <v/>
      </c>
      <c r="AF229" s="151" t="n">
        <f aca="false">IF(ISNUMBER(B229),IF(L229&lt;AE229,J229*'13_Mapa_Liq'!$C$19,0),0)</f>
        <v>0</v>
      </c>
      <c r="AG229" s="151"/>
      <c r="AH229" s="151" t="n">
        <f aca="false">IF(ISNUMBER(B229),E229*F229*((K229&lt;=M229)*'13_Mapa_Liq'!$C$15+(K229&lt;=Q229)*'13_Mapa_Liq'!$C$16+(K229&lt;=U229)*'13_Mapa_Liq'!$C$17+(K229&lt;=Y229)*'13_Mapa_Liq'!$C$18+(K229&lt;=AC229)*'13_Mapa_Liq'!$C$19),0)</f>
        <v>0</v>
      </c>
      <c r="AI229" s="151" t="n">
        <f aca="false">IF(ISNUMBER(B229),E229*(1-F229)*((L229&gt;=O229)*'13_Mapa_Liq'!$C$15+(L229&gt;=S229)*'13_Mapa_Liq'!$C$16+(L229&gt;=W229)*'13_Mapa_Liq'!$C$17+(L229&gt;=AA229)*'13_Mapa_Liq'!$C$18+(L229&gt;=AE229)*'13_Mapa_Liq'!$C$19),0)</f>
        <v>0</v>
      </c>
    </row>
    <row r="230" customFormat="false" ht="15" hidden="false" customHeight="false" outlineLevel="0" collapsed="false">
      <c r="A230" s="151" t="str">
        <f aca="false">IF(ISNUMBER('12_Datos_5m'!F230),ROW()-4,"")</f>
        <v/>
      </c>
      <c r="B230" s="151" t="str">
        <f aca="false">IF(ISNUMBER('12_Datos_5m'!F230),'12_Datos_5m'!F230,"")</f>
        <v/>
      </c>
      <c r="C230" s="151" t="str">
        <f aca="false">IF(ISNUMBER('12_Datos_5m'!A230),'12_Datos_5m'!A230,"")</f>
        <v/>
      </c>
      <c r="D230" s="151" t="n">
        <f aca="false">IF(AND(ISNUMBER('12_Datos_5m'!I230),ISNUMBER('12_Datos_5m'!I229)),'12_Datos_5m'!I230-'12_Datos_5m'!I229,0)</f>
        <v>0</v>
      </c>
      <c r="E230" s="151" t="n">
        <f aca="false">MAX(0,D230)</f>
        <v>0</v>
      </c>
      <c r="F230" s="151" t="n">
        <f aca="false">IF(AND(ISNUMBER('12_Datos_5m'!G230),N('12_Datos_5m'!G230)&gt;0),'12_Datos_5m'!H230/'12_Datos_5m'!G230,0.5)</f>
        <v>0.5</v>
      </c>
      <c r="G230" s="151" t="n">
        <f aca="false">IF(ISNUMBER(C230),($C$2-C230)/3600000,0)</f>
        <v>0</v>
      </c>
      <c r="H230" s="151" t="n">
        <f aca="false">EXP(-G230/'13_Mapa_Liq'!$B$7)</f>
        <v>1</v>
      </c>
      <c r="I230" s="151" t="n">
        <f aca="false">E230*F230*H230</f>
        <v>0</v>
      </c>
      <c r="J230" s="151" t="n">
        <f aca="false">E230*(1-F230)*H230</f>
        <v>0</v>
      </c>
      <c r="K230" s="151" t="n">
        <f aca="false">IF(COUNT('12_Datos_5m'!E231:E$504)=0,1000000000000,MIN('12_Datos_5m'!E231:E$504))</f>
        <v>1000000000000</v>
      </c>
      <c r="L230" s="151" t="n">
        <f aca="false">IF(COUNT('12_Datos_5m'!D231:D$504)=0,0,MAX('12_Datos_5m'!D231:D$504))</f>
        <v>0</v>
      </c>
      <c r="M230" s="151" t="str">
        <f aca="false">IF(ISNUMBER(B230),B230*(1-1/'13_Mapa_Liq'!$B$15+'13_Mapa_Liq'!$B$6),"")</f>
        <v/>
      </c>
      <c r="N230" s="151" t="n">
        <f aca="false">IF(ISNUMBER(B230),IF(K230&gt;M230,I230*'13_Mapa_Liq'!$C$15,0),0)</f>
        <v>0</v>
      </c>
      <c r="O230" s="151" t="str">
        <f aca="false">IF(ISNUMBER(B230),B230*(1+1/'13_Mapa_Liq'!$B$15-'13_Mapa_Liq'!$B$6),"")</f>
        <v/>
      </c>
      <c r="P230" s="151" t="n">
        <f aca="false">IF(ISNUMBER(B230),IF(L230&lt;O230,J230*'13_Mapa_Liq'!$C$15,0),0)</f>
        <v>0</v>
      </c>
      <c r="Q230" s="151" t="str">
        <f aca="false">IF(ISNUMBER(B230),B230*(1-1/'13_Mapa_Liq'!$B$16+'13_Mapa_Liq'!$B$6),"")</f>
        <v/>
      </c>
      <c r="R230" s="151" t="n">
        <f aca="false">IF(ISNUMBER(B230),IF(K230&gt;Q230,I230*'13_Mapa_Liq'!$C$16,0),0)</f>
        <v>0</v>
      </c>
      <c r="S230" s="151" t="str">
        <f aca="false">IF(ISNUMBER(B230),B230*(1+1/'13_Mapa_Liq'!$B$16-'13_Mapa_Liq'!$B$6),"")</f>
        <v/>
      </c>
      <c r="T230" s="151" t="n">
        <f aca="false">IF(ISNUMBER(B230),IF(L230&lt;S230,J230*'13_Mapa_Liq'!$C$16,0),0)</f>
        <v>0</v>
      </c>
      <c r="U230" s="151" t="str">
        <f aca="false">IF(ISNUMBER(B230),B230*(1-1/'13_Mapa_Liq'!$B$17+'13_Mapa_Liq'!$B$6),"")</f>
        <v/>
      </c>
      <c r="V230" s="151" t="n">
        <f aca="false">IF(ISNUMBER(B230),IF(K230&gt;U230,I230*'13_Mapa_Liq'!$C$17,0),0)</f>
        <v>0</v>
      </c>
      <c r="W230" s="151" t="str">
        <f aca="false">IF(ISNUMBER(B230),B230*(1+1/'13_Mapa_Liq'!$B$17-'13_Mapa_Liq'!$B$6),"")</f>
        <v/>
      </c>
      <c r="X230" s="151" t="n">
        <f aca="false">IF(ISNUMBER(B230),IF(L230&lt;W230,J230*'13_Mapa_Liq'!$C$17,0),0)</f>
        <v>0</v>
      </c>
      <c r="Y230" s="151" t="str">
        <f aca="false">IF(ISNUMBER(B230),B230*(1-1/'13_Mapa_Liq'!$B$18+'13_Mapa_Liq'!$B$6),"")</f>
        <v/>
      </c>
      <c r="Z230" s="151" t="n">
        <f aca="false">IF(ISNUMBER(B230),IF(K230&gt;Y230,I230*'13_Mapa_Liq'!$C$18,0),0)</f>
        <v>0</v>
      </c>
      <c r="AA230" s="151" t="str">
        <f aca="false">IF(ISNUMBER(B230),B230*(1+1/'13_Mapa_Liq'!$B$18-'13_Mapa_Liq'!$B$6),"")</f>
        <v/>
      </c>
      <c r="AB230" s="151" t="n">
        <f aca="false">IF(ISNUMBER(B230),IF(L230&lt;AA230,J230*'13_Mapa_Liq'!$C$18,0),0)</f>
        <v>0</v>
      </c>
      <c r="AC230" s="151" t="str">
        <f aca="false">IF(ISNUMBER(B230),B230*(1-1/'13_Mapa_Liq'!$B$19+'13_Mapa_Liq'!$B$6),"")</f>
        <v/>
      </c>
      <c r="AD230" s="151" t="n">
        <f aca="false">IF(ISNUMBER(B230),IF(K230&gt;AC230,I230*'13_Mapa_Liq'!$C$19,0),0)</f>
        <v>0</v>
      </c>
      <c r="AE230" s="151" t="str">
        <f aca="false">IF(ISNUMBER(B230),B230*(1+1/'13_Mapa_Liq'!$B$19-'13_Mapa_Liq'!$B$6),"")</f>
        <v/>
      </c>
      <c r="AF230" s="151" t="n">
        <f aca="false">IF(ISNUMBER(B230),IF(L230&lt;AE230,J230*'13_Mapa_Liq'!$C$19,0),0)</f>
        <v>0</v>
      </c>
      <c r="AG230" s="151"/>
      <c r="AH230" s="151" t="n">
        <f aca="false">IF(ISNUMBER(B230),E230*F230*((K230&lt;=M230)*'13_Mapa_Liq'!$C$15+(K230&lt;=Q230)*'13_Mapa_Liq'!$C$16+(K230&lt;=U230)*'13_Mapa_Liq'!$C$17+(K230&lt;=Y230)*'13_Mapa_Liq'!$C$18+(K230&lt;=AC230)*'13_Mapa_Liq'!$C$19),0)</f>
        <v>0</v>
      </c>
      <c r="AI230" s="151" t="n">
        <f aca="false">IF(ISNUMBER(B230),E230*(1-F230)*((L230&gt;=O230)*'13_Mapa_Liq'!$C$15+(L230&gt;=S230)*'13_Mapa_Liq'!$C$16+(L230&gt;=W230)*'13_Mapa_Liq'!$C$17+(L230&gt;=AA230)*'13_Mapa_Liq'!$C$18+(L230&gt;=AE230)*'13_Mapa_Liq'!$C$19),0)</f>
        <v>0</v>
      </c>
    </row>
    <row r="231" customFormat="false" ht="15" hidden="false" customHeight="false" outlineLevel="0" collapsed="false">
      <c r="A231" s="151" t="str">
        <f aca="false">IF(ISNUMBER('12_Datos_5m'!F231),ROW()-4,"")</f>
        <v/>
      </c>
      <c r="B231" s="151" t="str">
        <f aca="false">IF(ISNUMBER('12_Datos_5m'!F231),'12_Datos_5m'!F231,"")</f>
        <v/>
      </c>
      <c r="C231" s="151" t="str">
        <f aca="false">IF(ISNUMBER('12_Datos_5m'!A231),'12_Datos_5m'!A231,"")</f>
        <v/>
      </c>
      <c r="D231" s="151" t="n">
        <f aca="false">IF(AND(ISNUMBER('12_Datos_5m'!I231),ISNUMBER('12_Datos_5m'!I230)),'12_Datos_5m'!I231-'12_Datos_5m'!I230,0)</f>
        <v>0</v>
      </c>
      <c r="E231" s="151" t="n">
        <f aca="false">MAX(0,D231)</f>
        <v>0</v>
      </c>
      <c r="F231" s="151" t="n">
        <f aca="false">IF(AND(ISNUMBER('12_Datos_5m'!G231),N('12_Datos_5m'!G231)&gt;0),'12_Datos_5m'!H231/'12_Datos_5m'!G231,0.5)</f>
        <v>0.5</v>
      </c>
      <c r="G231" s="151" t="n">
        <f aca="false">IF(ISNUMBER(C231),($C$2-C231)/3600000,0)</f>
        <v>0</v>
      </c>
      <c r="H231" s="151" t="n">
        <f aca="false">EXP(-G231/'13_Mapa_Liq'!$B$7)</f>
        <v>1</v>
      </c>
      <c r="I231" s="151" t="n">
        <f aca="false">E231*F231*H231</f>
        <v>0</v>
      </c>
      <c r="J231" s="151" t="n">
        <f aca="false">E231*(1-F231)*H231</f>
        <v>0</v>
      </c>
      <c r="K231" s="151" t="n">
        <f aca="false">IF(COUNT('12_Datos_5m'!E232:E$504)=0,1000000000000,MIN('12_Datos_5m'!E232:E$504))</f>
        <v>1000000000000</v>
      </c>
      <c r="L231" s="151" t="n">
        <f aca="false">IF(COUNT('12_Datos_5m'!D232:D$504)=0,0,MAX('12_Datos_5m'!D232:D$504))</f>
        <v>0</v>
      </c>
      <c r="M231" s="151" t="str">
        <f aca="false">IF(ISNUMBER(B231),B231*(1-1/'13_Mapa_Liq'!$B$15+'13_Mapa_Liq'!$B$6),"")</f>
        <v/>
      </c>
      <c r="N231" s="151" t="n">
        <f aca="false">IF(ISNUMBER(B231),IF(K231&gt;M231,I231*'13_Mapa_Liq'!$C$15,0),0)</f>
        <v>0</v>
      </c>
      <c r="O231" s="151" t="str">
        <f aca="false">IF(ISNUMBER(B231),B231*(1+1/'13_Mapa_Liq'!$B$15-'13_Mapa_Liq'!$B$6),"")</f>
        <v/>
      </c>
      <c r="P231" s="151" t="n">
        <f aca="false">IF(ISNUMBER(B231),IF(L231&lt;O231,J231*'13_Mapa_Liq'!$C$15,0),0)</f>
        <v>0</v>
      </c>
      <c r="Q231" s="151" t="str">
        <f aca="false">IF(ISNUMBER(B231),B231*(1-1/'13_Mapa_Liq'!$B$16+'13_Mapa_Liq'!$B$6),"")</f>
        <v/>
      </c>
      <c r="R231" s="151" t="n">
        <f aca="false">IF(ISNUMBER(B231),IF(K231&gt;Q231,I231*'13_Mapa_Liq'!$C$16,0),0)</f>
        <v>0</v>
      </c>
      <c r="S231" s="151" t="str">
        <f aca="false">IF(ISNUMBER(B231),B231*(1+1/'13_Mapa_Liq'!$B$16-'13_Mapa_Liq'!$B$6),"")</f>
        <v/>
      </c>
      <c r="T231" s="151" t="n">
        <f aca="false">IF(ISNUMBER(B231),IF(L231&lt;S231,J231*'13_Mapa_Liq'!$C$16,0),0)</f>
        <v>0</v>
      </c>
      <c r="U231" s="151" t="str">
        <f aca="false">IF(ISNUMBER(B231),B231*(1-1/'13_Mapa_Liq'!$B$17+'13_Mapa_Liq'!$B$6),"")</f>
        <v/>
      </c>
      <c r="V231" s="151" t="n">
        <f aca="false">IF(ISNUMBER(B231),IF(K231&gt;U231,I231*'13_Mapa_Liq'!$C$17,0),0)</f>
        <v>0</v>
      </c>
      <c r="W231" s="151" t="str">
        <f aca="false">IF(ISNUMBER(B231),B231*(1+1/'13_Mapa_Liq'!$B$17-'13_Mapa_Liq'!$B$6),"")</f>
        <v/>
      </c>
      <c r="X231" s="151" t="n">
        <f aca="false">IF(ISNUMBER(B231),IF(L231&lt;W231,J231*'13_Mapa_Liq'!$C$17,0),0)</f>
        <v>0</v>
      </c>
      <c r="Y231" s="151" t="str">
        <f aca="false">IF(ISNUMBER(B231),B231*(1-1/'13_Mapa_Liq'!$B$18+'13_Mapa_Liq'!$B$6),"")</f>
        <v/>
      </c>
      <c r="Z231" s="151" t="n">
        <f aca="false">IF(ISNUMBER(B231),IF(K231&gt;Y231,I231*'13_Mapa_Liq'!$C$18,0),0)</f>
        <v>0</v>
      </c>
      <c r="AA231" s="151" t="str">
        <f aca="false">IF(ISNUMBER(B231),B231*(1+1/'13_Mapa_Liq'!$B$18-'13_Mapa_Liq'!$B$6),"")</f>
        <v/>
      </c>
      <c r="AB231" s="151" t="n">
        <f aca="false">IF(ISNUMBER(B231),IF(L231&lt;AA231,J231*'13_Mapa_Liq'!$C$18,0),0)</f>
        <v>0</v>
      </c>
      <c r="AC231" s="151" t="str">
        <f aca="false">IF(ISNUMBER(B231),B231*(1-1/'13_Mapa_Liq'!$B$19+'13_Mapa_Liq'!$B$6),"")</f>
        <v/>
      </c>
      <c r="AD231" s="151" t="n">
        <f aca="false">IF(ISNUMBER(B231),IF(K231&gt;AC231,I231*'13_Mapa_Liq'!$C$19,0),0)</f>
        <v>0</v>
      </c>
      <c r="AE231" s="151" t="str">
        <f aca="false">IF(ISNUMBER(B231),B231*(1+1/'13_Mapa_Liq'!$B$19-'13_Mapa_Liq'!$B$6),"")</f>
        <v/>
      </c>
      <c r="AF231" s="151" t="n">
        <f aca="false">IF(ISNUMBER(B231),IF(L231&lt;AE231,J231*'13_Mapa_Liq'!$C$19,0),0)</f>
        <v>0</v>
      </c>
      <c r="AG231" s="151"/>
      <c r="AH231" s="151" t="n">
        <f aca="false">IF(ISNUMBER(B231),E231*F231*((K231&lt;=M231)*'13_Mapa_Liq'!$C$15+(K231&lt;=Q231)*'13_Mapa_Liq'!$C$16+(K231&lt;=U231)*'13_Mapa_Liq'!$C$17+(K231&lt;=Y231)*'13_Mapa_Liq'!$C$18+(K231&lt;=AC231)*'13_Mapa_Liq'!$C$19),0)</f>
        <v>0</v>
      </c>
      <c r="AI231" s="151" t="n">
        <f aca="false">IF(ISNUMBER(B231),E231*(1-F231)*((L231&gt;=O231)*'13_Mapa_Liq'!$C$15+(L231&gt;=S231)*'13_Mapa_Liq'!$C$16+(L231&gt;=W231)*'13_Mapa_Liq'!$C$17+(L231&gt;=AA231)*'13_Mapa_Liq'!$C$18+(L231&gt;=AE231)*'13_Mapa_Liq'!$C$19),0)</f>
        <v>0</v>
      </c>
    </row>
    <row r="232" customFormat="false" ht="15" hidden="false" customHeight="false" outlineLevel="0" collapsed="false">
      <c r="A232" s="151" t="str">
        <f aca="false">IF(ISNUMBER('12_Datos_5m'!F232),ROW()-4,"")</f>
        <v/>
      </c>
      <c r="B232" s="151" t="str">
        <f aca="false">IF(ISNUMBER('12_Datos_5m'!F232),'12_Datos_5m'!F232,"")</f>
        <v/>
      </c>
      <c r="C232" s="151" t="str">
        <f aca="false">IF(ISNUMBER('12_Datos_5m'!A232),'12_Datos_5m'!A232,"")</f>
        <v/>
      </c>
      <c r="D232" s="151" t="n">
        <f aca="false">IF(AND(ISNUMBER('12_Datos_5m'!I232),ISNUMBER('12_Datos_5m'!I231)),'12_Datos_5m'!I232-'12_Datos_5m'!I231,0)</f>
        <v>0</v>
      </c>
      <c r="E232" s="151" t="n">
        <f aca="false">MAX(0,D232)</f>
        <v>0</v>
      </c>
      <c r="F232" s="151" t="n">
        <f aca="false">IF(AND(ISNUMBER('12_Datos_5m'!G232),N('12_Datos_5m'!G232)&gt;0),'12_Datos_5m'!H232/'12_Datos_5m'!G232,0.5)</f>
        <v>0.5</v>
      </c>
      <c r="G232" s="151" t="n">
        <f aca="false">IF(ISNUMBER(C232),($C$2-C232)/3600000,0)</f>
        <v>0</v>
      </c>
      <c r="H232" s="151" t="n">
        <f aca="false">EXP(-G232/'13_Mapa_Liq'!$B$7)</f>
        <v>1</v>
      </c>
      <c r="I232" s="151" t="n">
        <f aca="false">E232*F232*H232</f>
        <v>0</v>
      </c>
      <c r="J232" s="151" t="n">
        <f aca="false">E232*(1-F232)*H232</f>
        <v>0</v>
      </c>
      <c r="K232" s="151" t="n">
        <f aca="false">IF(COUNT('12_Datos_5m'!E233:E$504)=0,1000000000000,MIN('12_Datos_5m'!E233:E$504))</f>
        <v>1000000000000</v>
      </c>
      <c r="L232" s="151" t="n">
        <f aca="false">IF(COUNT('12_Datos_5m'!D233:D$504)=0,0,MAX('12_Datos_5m'!D233:D$504))</f>
        <v>0</v>
      </c>
      <c r="M232" s="151" t="str">
        <f aca="false">IF(ISNUMBER(B232),B232*(1-1/'13_Mapa_Liq'!$B$15+'13_Mapa_Liq'!$B$6),"")</f>
        <v/>
      </c>
      <c r="N232" s="151" t="n">
        <f aca="false">IF(ISNUMBER(B232),IF(K232&gt;M232,I232*'13_Mapa_Liq'!$C$15,0),0)</f>
        <v>0</v>
      </c>
      <c r="O232" s="151" t="str">
        <f aca="false">IF(ISNUMBER(B232),B232*(1+1/'13_Mapa_Liq'!$B$15-'13_Mapa_Liq'!$B$6),"")</f>
        <v/>
      </c>
      <c r="P232" s="151" t="n">
        <f aca="false">IF(ISNUMBER(B232),IF(L232&lt;O232,J232*'13_Mapa_Liq'!$C$15,0),0)</f>
        <v>0</v>
      </c>
      <c r="Q232" s="151" t="str">
        <f aca="false">IF(ISNUMBER(B232),B232*(1-1/'13_Mapa_Liq'!$B$16+'13_Mapa_Liq'!$B$6),"")</f>
        <v/>
      </c>
      <c r="R232" s="151" t="n">
        <f aca="false">IF(ISNUMBER(B232),IF(K232&gt;Q232,I232*'13_Mapa_Liq'!$C$16,0),0)</f>
        <v>0</v>
      </c>
      <c r="S232" s="151" t="str">
        <f aca="false">IF(ISNUMBER(B232),B232*(1+1/'13_Mapa_Liq'!$B$16-'13_Mapa_Liq'!$B$6),"")</f>
        <v/>
      </c>
      <c r="T232" s="151" t="n">
        <f aca="false">IF(ISNUMBER(B232),IF(L232&lt;S232,J232*'13_Mapa_Liq'!$C$16,0),0)</f>
        <v>0</v>
      </c>
      <c r="U232" s="151" t="str">
        <f aca="false">IF(ISNUMBER(B232),B232*(1-1/'13_Mapa_Liq'!$B$17+'13_Mapa_Liq'!$B$6),"")</f>
        <v/>
      </c>
      <c r="V232" s="151" t="n">
        <f aca="false">IF(ISNUMBER(B232),IF(K232&gt;U232,I232*'13_Mapa_Liq'!$C$17,0),0)</f>
        <v>0</v>
      </c>
      <c r="W232" s="151" t="str">
        <f aca="false">IF(ISNUMBER(B232),B232*(1+1/'13_Mapa_Liq'!$B$17-'13_Mapa_Liq'!$B$6),"")</f>
        <v/>
      </c>
      <c r="X232" s="151" t="n">
        <f aca="false">IF(ISNUMBER(B232),IF(L232&lt;W232,J232*'13_Mapa_Liq'!$C$17,0),0)</f>
        <v>0</v>
      </c>
      <c r="Y232" s="151" t="str">
        <f aca="false">IF(ISNUMBER(B232),B232*(1-1/'13_Mapa_Liq'!$B$18+'13_Mapa_Liq'!$B$6),"")</f>
        <v/>
      </c>
      <c r="Z232" s="151" t="n">
        <f aca="false">IF(ISNUMBER(B232),IF(K232&gt;Y232,I232*'13_Mapa_Liq'!$C$18,0),0)</f>
        <v>0</v>
      </c>
      <c r="AA232" s="151" t="str">
        <f aca="false">IF(ISNUMBER(B232),B232*(1+1/'13_Mapa_Liq'!$B$18-'13_Mapa_Liq'!$B$6),"")</f>
        <v/>
      </c>
      <c r="AB232" s="151" t="n">
        <f aca="false">IF(ISNUMBER(B232),IF(L232&lt;AA232,J232*'13_Mapa_Liq'!$C$18,0),0)</f>
        <v>0</v>
      </c>
      <c r="AC232" s="151" t="str">
        <f aca="false">IF(ISNUMBER(B232),B232*(1-1/'13_Mapa_Liq'!$B$19+'13_Mapa_Liq'!$B$6),"")</f>
        <v/>
      </c>
      <c r="AD232" s="151" t="n">
        <f aca="false">IF(ISNUMBER(B232),IF(K232&gt;AC232,I232*'13_Mapa_Liq'!$C$19,0),0)</f>
        <v>0</v>
      </c>
      <c r="AE232" s="151" t="str">
        <f aca="false">IF(ISNUMBER(B232),B232*(1+1/'13_Mapa_Liq'!$B$19-'13_Mapa_Liq'!$B$6),"")</f>
        <v/>
      </c>
      <c r="AF232" s="151" t="n">
        <f aca="false">IF(ISNUMBER(B232),IF(L232&lt;AE232,J232*'13_Mapa_Liq'!$C$19,0),0)</f>
        <v>0</v>
      </c>
      <c r="AG232" s="151"/>
      <c r="AH232" s="151" t="n">
        <f aca="false">IF(ISNUMBER(B232),E232*F232*((K232&lt;=M232)*'13_Mapa_Liq'!$C$15+(K232&lt;=Q232)*'13_Mapa_Liq'!$C$16+(K232&lt;=U232)*'13_Mapa_Liq'!$C$17+(K232&lt;=Y232)*'13_Mapa_Liq'!$C$18+(K232&lt;=AC232)*'13_Mapa_Liq'!$C$19),0)</f>
        <v>0</v>
      </c>
      <c r="AI232" s="151" t="n">
        <f aca="false">IF(ISNUMBER(B232),E232*(1-F232)*((L232&gt;=O232)*'13_Mapa_Liq'!$C$15+(L232&gt;=S232)*'13_Mapa_Liq'!$C$16+(L232&gt;=W232)*'13_Mapa_Liq'!$C$17+(L232&gt;=AA232)*'13_Mapa_Liq'!$C$18+(L232&gt;=AE232)*'13_Mapa_Liq'!$C$19),0)</f>
        <v>0</v>
      </c>
    </row>
    <row r="233" customFormat="false" ht="15" hidden="false" customHeight="false" outlineLevel="0" collapsed="false">
      <c r="A233" s="151" t="str">
        <f aca="false">IF(ISNUMBER('12_Datos_5m'!F233),ROW()-4,"")</f>
        <v/>
      </c>
      <c r="B233" s="151" t="str">
        <f aca="false">IF(ISNUMBER('12_Datos_5m'!F233),'12_Datos_5m'!F233,"")</f>
        <v/>
      </c>
      <c r="C233" s="151" t="str">
        <f aca="false">IF(ISNUMBER('12_Datos_5m'!A233),'12_Datos_5m'!A233,"")</f>
        <v/>
      </c>
      <c r="D233" s="151" t="n">
        <f aca="false">IF(AND(ISNUMBER('12_Datos_5m'!I233),ISNUMBER('12_Datos_5m'!I232)),'12_Datos_5m'!I233-'12_Datos_5m'!I232,0)</f>
        <v>0</v>
      </c>
      <c r="E233" s="151" t="n">
        <f aca="false">MAX(0,D233)</f>
        <v>0</v>
      </c>
      <c r="F233" s="151" t="n">
        <f aca="false">IF(AND(ISNUMBER('12_Datos_5m'!G233),N('12_Datos_5m'!G233)&gt;0),'12_Datos_5m'!H233/'12_Datos_5m'!G233,0.5)</f>
        <v>0.5</v>
      </c>
      <c r="G233" s="151" t="n">
        <f aca="false">IF(ISNUMBER(C233),($C$2-C233)/3600000,0)</f>
        <v>0</v>
      </c>
      <c r="H233" s="151" t="n">
        <f aca="false">EXP(-G233/'13_Mapa_Liq'!$B$7)</f>
        <v>1</v>
      </c>
      <c r="I233" s="151" t="n">
        <f aca="false">E233*F233*H233</f>
        <v>0</v>
      </c>
      <c r="J233" s="151" t="n">
        <f aca="false">E233*(1-F233)*H233</f>
        <v>0</v>
      </c>
      <c r="K233" s="151" t="n">
        <f aca="false">IF(COUNT('12_Datos_5m'!E234:E$504)=0,1000000000000,MIN('12_Datos_5m'!E234:E$504))</f>
        <v>1000000000000</v>
      </c>
      <c r="L233" s="151" t="n">
        <f aca="false">IF(COUNT('12_Datos_5m'!D234:D$504)=0,0,MAX('12_Datos_5m'!D234:D$504))</f>
        <v>0</v>
      </c>
      <c r="M233" s="151" t="str">
        <f aca="false">IF(ISNUMBER(B233),B233*(1-1/'13_Mapa_Liq'!$B$15+'13_Mapa_Liq'!$B$6),"")</f>
        <v/>
      </c>
      <c r="N233" s="151" t="n">
        <f aca="false">IF(ISNUMBER(B233),IF(K233&gt;M233,I233*'13_Mapa_Liq'!$C$15,0),0)</f>
        <v>0</v>
      </c>
      <c r="O233" s="151" t="str">
        <f aca="false">IF(ISNUMBER(B233),B233*(1+1/'13_Mapa_Liq'!$B$15-'13_Mapa_Liq'!$B$6),"")</f>
        <v/>
      </c>
      <c r="P233" s="151" t="n">
        <f aca="false">IF(ISNUMBER(B233),IF(L233&lt;O233,J233*'13_Mapa_Liq'!$C$15,0),0)</f>
        <v>0</v>
      </c>
      <c r="Q233" s="151" t="str">
        <f aca="false">IF(ISNUMBER(B233),B233*(1-1/'13_Mapa_Liq'!$B$16+'13_Mapa_Liq'!$B$6),"")</f>
        <v/>
      </c>
      <c r="R233" s="151" t="n">
        <f aca="false">IF(ISNUMBER(B233),IF(K233&gt;Q233,I233*'13_Mapa_Liq'!$C$16,0),0)</f>
        <v>0</v>
      </c>
      <c r="S233" s="151" t="str">
        <f aca="false">IF(ISNUMBER(B233),B233*(1+1/'13_Mapa_Liq'!$B$16-'13_Mapa_Liq'!$B$6),"")</f>
        <v/>
      </c>
      <c r="T233" s="151" t="n">
        <f aca="false">IF(ISNUMBER(B233),IF(L233&lt;S233,J233*'13_Mapa_Liq'!$C$16,0),0)</f>
        <v>0</v>
      </c>
      <c r="U233" s="151" t="str">
        <f aca="false">IF(ISNUMBER(B233),B233*(1-1/'13_Mapa_Liq'!$B$17+'13_Mapa_Liq'!$B$6),"")</f>
        <v/>
      </c>
      <c r="V233" s="151" t="n">
        <f aca="false">IF(ISNUMBER(B233),IF(K233&gt;U233,I233*'13_Mapa_Liq'!$C$17,0),0)</f>
        <v>0</v>
      </c>
      <c r="W233" s="151" t="str">
        <f aca="false">IF(ISNUMBER(B233),B233*(1+1/'13_Mapa_Liq'!$B$17-'13_Mapa_Liq'!$B$6),"")</f>
        <v/>
      </c>
      <c r="X233" s="151" t="n">
        <f aca="false">IF(ISNUMBER(B233),IF(L233&lt;W233,J233*'13_Mapa_Liq'!$C$17,0),0)</f>
        <v>0</v>
      </c>
      <c r="Y233" s="151" t="str">
        <f aca="false">IF(ISNUMBER(B233),B233*(1-1/'13_Mapa_Liq'!$B$18+'13_Mapa_Liq'!$B$6),"")</f>
        <v/>
      </c>
      <c r="Z233" s="151" t="n">
        <f aca="false">IF(ISNUMBER(B233),IF(K233&gt;Y233,I233*'13_Mapa_Liq'!$C$18,0),0)</f>
        <v>0</v>
      </c>
      <c r="AA233" s="151" t="str">
        <f aca="false">IF(ISNUMBER(B233),B233*(1+1/'13_Mapa_Liq'!$B$18-'13_Mapa_Liq'!$B$6),"")</f>
        <v/>
      </c>
      <c r="AB233" s="151" t="n">
        <f aca="false">IF(ISNUMBER(B233),IF(L233&lt;AA233,J233*'13_Mapa_Liq'!$C$18,0),0)</f>
        <v>0</v>
      </c>
      <c r="AC233" s="151" t="str">
        <f aca="false">IF(ISNUMBER(B233),B233*(1-1/'13_Mapa_Liq'!$B$19+'13_Mapa_Liq'!$B$6),"")</f>
        <v/>
      </c>
      <c r="AD233" s="151" t="n">
        <f aca="false">IF(ISNUMBER(B233),IF(K233&gt;AC233,I233*'13_Mapa_Liq'!$C$19,0),0)</f>
        <v>0</v>
      </c>
      <c r="AE233" s="151" t="str">
        <f aca="false">IF(ISNUMBER(B233),B233*(1+1/'13_Mapa_Liq'!$B$19-'13_Mapa_Liq'!$B$6),"")</f>
        <v/>
      </c>
      <c r="AF233" s="151" t="n">
        <f aca="false">IF(ISNUMBER(B233),IF(L233&lt;AE233,J233*'13_Mapa_Liq'!$C$19,0),0)</f>
        <v>0</v>
      </c>
      <c r="AG233" s="151"/>
      <c r="AH233" s="151" t="n">
        <f aca="false">IF(ISNUMBER(B233),E233*F233*((K233&lt;=M233)*'13_Mapa_Liq'!$C$15+(K233&lt;=Q233)*'13_Mapa_Liq'!$C$16+(K233&lt;=U233)*'13_Mapa_Liq'!$C$17+(K233&lt;=Y233)*'13_Mapa_Liq'!$C$18+(K233&lt;=AC233)*'13_Mapa_Liq'!$C$19),0)</f>
        <v>0</v>
      </c>
      <c r="AI233" s="151" t="n">
        <f aca="false">IF(ISNUMBER(B233),E233*(1-F233)*((L233&gt;=O233)*'13_Mapa_Liq'!$C$15+(L233&gt;=S233)*'13_Mapa_Liq'!$C$16+(L233&gt;=W233)*'13_Mapa_Liq'!$C$17+(L233&gt;=AA233)*'13_Mapa_Liq'!$C$18+(L233&gt;=AE233)*'13_Mapa_Liq'!$C$19),0)</f>
        <v>0</v>
      </c>
    </row>
    <row r="234" customFormat="false" ht="15" hidden="false" customHeight="false" outlineLevel="0" collapsed="false">
      <c r="A234" s="151" t="str">
        <f aca="false">IF(ISNUMBER('12_Datos_5m'!F234),ROW()-4,"")</f>
        <v/>
      </c>
      <c r="B234" s="151" t="str">
        <f aca="false">IF(ISNUMBER('12_Datos_5m'!F234),'12_Datos_5m'!F234,"")</f>
        <v/>
      </c>
      <c r="C234" s="151" t="str">
        <f aca="false">IF(ISNUMBER('12_Datos_5m'!A234),'12_Datos_5m'!A234,"")</f>
        <v/>
      </c>
      <c r="D234" s="151" t="n">
        <f aca="false">IF(AND(ISNUMBER('12_Datos_5m'!I234),ISNUMBER('12_Datos_5m'!I233)),'12_Datos_5m'!I234-'12_Datos_5m'!I233,0)</f>
        <v>0</v>
      </c>
      <c r="E234" s="151" t="n">
        <f aca="false">MAX(0,D234)</f>
        <v>0</v>
      </c>
      <c r="F234" s="151" t="n">
        <f aca="false">IF(AND(ISNUMBER('12_Datos_5m'!G234),N('12_Datos_5m'!G234)&gt;0),'12_Datos_5m'!H234/'12_Datos_5m'!G234,0.5)</f>
        <v>0.5</v>
      </c>
      <c r="G234" s="151" t="n">
        <f aca="false">IF(ISNUMBER(C234),($C$2-C234)/3600000,0)</f>
        <v>0</v>
      </c>
      <c r="H234" s="151" t="n">
        <f aca="false">EXP(-G234/'13_Mapa_Liq'!$B$7)</f>
        <v>1</v>
      </c>
      <c r="I234" s="151" t="n">
        <f aca="false">E234*F234*H234</f>
        <v>0</v>
      </c>
      <c r="J234" s="151" t="n">
        <f aca="false">E234*(1-F234)*H234</f>
        <v>0</v>
      </c>
      <c r="K234" s="151" t="n">
        <f aca="false">IF(COUNT('12_Datos_5m'!E235:E$504)=0,1000000000000,MIN('12_Datos_5m'!E235:E$504))</f>
        <v>1000000000000</v>
      </c>
      <c r="L234" s="151" t="n">
        <f aca="false">IF(COUNT('12_Datos_5m'!D235:D$504)=0,0,MAX('12_Datos_5m'!D235:D$504))</f>
        <v>0</v>
      </c>
      <c r="M234" s="151" t="str">
        <f aca="false">IF(ISNUMBER(B234),B234*(1-1/'13_Mapa_Liq'!$B$15+'13_Mapa_Liq'!$B$6),"")</f>
        <v/>
      </c>
      <c r="N234" s="151" t="n">
        <f aca="false">IF(ISNUMBER(B234),IF(K234&gt;M234,I234*'13_Mapa_Liq'!$C$15,0),0)</f>
        <v>0</v>
      </c>
      <c r="O234" s="151" t="str">
        <f aca="false">IF(ISNUMBER(B234),B234*(1+1/'13_Mapa_Liq'!$B$15-'13_Mapa_Liq'!$B$6),"")</f>
        <v/>
      </c>
      <c r="P234" s="151" t="n">
        <f aca="false">IF(ISNUMBER(B234),IF(L234&lt;O234,J234*'13_Mapa_Liq'!$C$15,0),0)</f>
        <v>0</v>
      </c>
      <c r="Q234" s="151" t="str">
        <f aca="false">IF(ISNUMBER(B234),B234*(1-1/'13_Mapa_Liq'!$B$16+'13_Mapa_Liq'!$B$6),"")</f>
        <v/>
      </c>
      <c r="R234" s="151" t="n">
        <f aca="false">IF(ISNUMBER(B234),IF(K234&gt;Q234,I234*'13_Mapa_Liq'!$C$16,0),0)</f>
        <v>0</v>
      </c>
      <c r="S234" s="151" t="str">
        <f aca="false">IF(ISNUMBER(B234),B234*(1+1/'13_Mapa_Liq'!$B$16-'13_Mapa_Liq'!$B$6),"")</f>
        <v/>
      </c>
      <c r="T234" s="151" t="n">
        <f aca="false">IF(ISNUMBER(B234),IF(L234&lt;S234,J234*'13_Mapa_Liq'!$C$16,0),0)</f>
        <v>0</v>
      </c>
      <c r="U234" s="151" t="str">
        <f aca="false">IF(ISNUMBER(B234),B234*(1-1/'13_Mapa_Liq'!$B$17+'13_Mapa_Liq'!$B$6),"")</f>
        <v/>
      </c>
      <c r="V234" s="151" t="n">
        <f aca="false">IF(ISNUMBER(B234),IF(K234&gt;U234,I234*'13_Mapa_Liq'!$C$17,0),0)</f>
        <v>0</v>
      </c>
      <c r="W234" s="151" t="str">
        <f aca="false">IF(ISNUMBER(B234),B234*(1+1/'13_Mapa_Liq'!$B$17-'13_Mapa_Liq'!$B$6),"")</f>
        <v/>
      </c>
      <c r="X234" s="151" t="n">
        <f aca="false">IF(ISNUMBER(B234),IF(L234&lt;W234,J234*'13_Mapa_Liq'!$C$17,0),0)</f>
        <v>0</v>
      </c>
      <c r="Y234" s="151" t="str">
        <f aca="false">IF(ISNUMBER(B234),B234*(1-1/'13_Mapa_Liq'!$B$18+'13_Mapa_Liq'!$B$6),"")</f>
        <v/>
      </c>
      <c r="Z234" s="151" t="n">
        <f aca="false">IF(ISNUMBER(B234),IF(K234&gt;Y234,I234*'13_Mapa_Liq'!$C$18,0),0)</f>
        <v>0</v>
      </c>
      <c r="AA234" s="151" t="str">
        <f aca="false">IF(ISNUMBER(B234),B234*(1+1/'13_Mapa_Liq'!$B$18-'13_Mapa_Liq'!$B$6),"")</f>
        <v/>
      </c>
      <c r="AB234" s="151" t="n">
        <f aca="false">IF(ISNUMBER(B234),IF(L234&lt;AA234,J234*'13_Mapa_Liq'!$C$18,0),0)</f>
        <v>0</v>
      </c>
      <c r="AC234" s="151" t="str">
        <f aca="false">IF(ISNUMBER(B234),B234*(1-1/'13_Mapa_Liq'!$B$19+'13_Mapa_Liq'!$B$6),"")</f>
        <v/>
      </c>
      <c r="AD234" s="151" t="n">
        <f aca="false">IF(ISNUMBER(B234),IF(K234&gt;AC234,I234*'13_Mapa_Liq'!$C$19,0),0)</f>
        <v>0</v>
      </c>
      <c r="AE234" s="151" t="str">
        <f aca="false">IF(ISNUMBER(B234),B234*(1+1/'13_Mapa_Liq'!$B$19-'13_Mapa_Liq'!$B$6),"")</f>
        <v/>
      </c>
      <c r="AF234" s="151" t="n">
        <f aca="false">IF(ISNUMBER(B234),IF(L234&lt;AE234,J234*'13_Mapa_Liq'!$C$19,0),0)</f>
        <v>0</v>
      </c>
      <c r="AG234" s="151"/>
      <c r="AH234" s="151" t="n">
        <f aca="false">IF(ISNUMBER(B234),E234*F234*((K234&lt;=M234)*'13_Mapa_Liq'!$C$15+(K234&lt;=Q234)*'13_Mapa_Liq'!$C$16+(K234&lt;=U234)*'13_Mapa_Liq'!$C$17+(K234&lt;=Y234)*'13_Mapa_Liq'!$C$18+(K234&lt;=AC234)*'13_Mapa_Liq'!$C$19),0)</f>
        <v>0</v>
      </c>
      <c r="AI234" s="151" t="n">
        <f aca="false">IF(ISNUMBER(B234),E234*(1-F234)*((L234&gt;=O234)*'13_Mapa_Liq'!$C$15+(L234&gt;=S234)*'13_Mapa_Liq'!$C$16+(L234&gt;=W234)*'13_Mapa_Liq'!$C$17+(L234&gt;=AA234)*'13_Mapa_Liq'!$C$18+(L234&gt;=AE234)*'13_Mapa_Liq'!$C$19),0)</f>
        <v>0</v>
      </c>
    </row>
    <row r="235" customFormat="false" ht="15" hidden="false" customHeight="false" outlineLevel="0" collapsed="false">
      <c r="A235" s="151" t="str">
        <f aca="false">IF(ISNUMBER('12_Datos_5m'!F235),ROW()-4,"")</f>
        <v/>
      </c>
      <c r="B235" s="151" t="str">
        <f aca="false">IF(ISNUMBER('12_Datos_5m'!F235),'12_Datos_5m'!F235,"")</f>
        <v/>
      </c>
      <c r="C235" s="151" t="str">
        <f aca="false">IF(ISNUMBER('12_Datos_5m'!A235),'12_Datos_5m'!A235,"")</f>
        <v/>
      </c>
      <c r="D235" s="151" t="n">
        <f aca="false">IF(AND(ISNUMBER('12_Datos_5m'!I235),ISNUMBER('12_Datos_5m'!I234)),'12_Datos_5m'!I235-'12_Datos_5m'!I234,0)</f>
        <v>0</v>
      </c>
      <c r="E235" s="151" t="n">
        <f aca="false">MAX(0,D235)</f>
        <v>0</v>
      </c>
      <c r="F235" s="151" t="n">
        <f aca="false">IF(AND(ISNUMBER('12_Datos_5m'!G235),N('12_Datos_5m'!G235)&gt;0),'12_Datos_5m'!H235/'12_Datos_5m'!G235,0.5)</f>
        <v>0.5</v>
      </c>
      <c r="G235" s="151" t="n">
        <f aca="false">IF(ISNUMBER(C235),($C$2-C235)/3600000,0)</f>
        <v>0</v>
      </c>
      <c r="H235" s="151" t="n">
        <f aca="false">EXP(-G235/'13_Mapa_Liq'!$B$7)</f>
        <v>1</v>
      </c>
      <c r="I235" s="151" t="n">
        <f aca="false">E235*F235*H235</f>
        <v>0</v>
      </c>
      <c r="J235" s="151" t="n">
        <f aca="false">E235*(1-F235)*H235</f>
        <v>0</v>
      </c>
      <c r="K235" s="151" t="n">
        <f aca="false">IF(COUNT('12_Datos_5m'!E236:E$504)=0,1000000000000,MIN('12_Datos_5m'!E236:E$504))</f>
        <v>1000000000000</v>
      </c>
      <c r="L235" s="151" t="n">
        <f aca="false">IF(COUNT('12_Datos_5m'!D236:D$504)=0,0,MAX('12_Datos_5m'!D236:D$504))</f>
        <v>0</v>
      </c>
      <c r="M235" s="151" t="str">
        <f aca="false">IF(ISNUMBER(B235),B235*(1-1/'13_Mapa_Liq'!$B$15+'13_Mapa_Liq'!$B$6),"")</f>
        <v/>
      </c>
      <c r="N235" s="151" t="n">
        <f aca="false">IF(ISNUMBER(B235),IF(K235&gt;M235,I235*'13_Mapa_Liq'!$C$15,0),0)</f>
        <v>0</v>
      </c>
      <c r="O235" s="151" t="str">
        <f aca="false">IF(ISNUMBER(B235),B235*(1+1/'13_Mapa_Liq'!$B$15-'13_Mapa_Liq'!$B$6),"")</f>
        <v/>
      </c>
      <c r="P235" s="151" t="n">
        <f aca="false">IF(ISNUMBER(B235),IF(L235&lt;O235,J235*'13_Mapa_Liq'!$C$15,0),0)</f>
        <v>0</v>
      </c>
      <c r="Q235" s="151" t="str">
        <f aca="false">IF(ISNUMBER(B235),B235*(1-1/'13_Mapa_Liq'!$B$16+'13_Mapa_Liq'!$B$6),"")</f>
        <v/>
      </c>
      <c r="R235" s="151" t="n">
        <f aca="false">IF(ISNUMBER(B235),IF(K235&gt;Q235,I235*'13_Mapa_Liq'!$C$16,0),0)</f>
        <v>0</v>
      </c>
      <c r="S235" s="151" t="str">
        <f aca="false">IF(ISNUMBER(B235),B235*(1+1/'13_Mapa_Liq'!$B$16-'13_Mapa_Liq'!$B$6),"")</f>
        <v/>
      </c>
      <c r="T235" s="151" t="n">
        <f aca="false">IF(ISNUMBER(B235),IF(L235&lt;S235,J235*'13_Mapa_Liq'!$C$16,0),0)</f>
        <v>0</v>
      </c>
      <c r="U235" s="151" t="str">
        <f aca="false">IF(ISNUMBER(B235),B235*(1-1/'13_Mapa_Liq'!$B$17+'13_Mapa_Liq'!$B$6),"")</f>
        <v/>
      </c>
      <c r="V235" s="151" t="n">
        <f aca="false">IF(ISNUMBER(B235),IF(K235&gt;U235,I235*'13_Mapa_Liq'!$C$17,0),0)</f>
        <v>0</v>
      </c>
      <c r="W235" s="151" t="str">
        <f aca="false">IF(ISNUMBER(B235),B235*(1+1/'13_Mapa_Liq'!$B$17-'13_Mapa_Liq'!$B$6),"")</f>
        <v/>
      </c>
      <c r="X235" s="151" t="n">
        <f aca="false">IF(ISNUMBER(B235),IF(L235&lt;W235,J235*'13_Mapa_Liq'!$C$17,0),0)</f>
        <v>0</v>
      </c>
      <c r="Y235" s="151" t="str">
        <f aca="false">IF(ISNUMBER(B235),B235*(1-1/'13_Mapa_Liq'!$B$18+'13_Mapa_Liq'!$B$6),"")</f>
        <v/>
      </c>
      <c r="Z235" s="151" t="n">
        <f aca="false">IF(ISNUMBER(B235),IF(K235&gt;Y235,I235*'13_Mapa_Liq'!$C$18,0),0)</f>
        <v>0</v>
      </c>
      <c r="AA235" s="151" t="str">
        <f aca="false">IF(ISNUMBER(B235),B235*(1+1/'13_Mapa_Liq'!$B$18-'13_Mapa_Liq'!$B$6),"")</f>
        <v/>
      </c>
      <c r="AB235" s="151" t="n">
        <f aca="false">IF(ISNUMBER(B235),IF(L235&lt;AA235,J235*'13_Mapa_Liq'!$C$18,0),0)</f>
        <v>0</v>
      </c>
      <c r="AC235" s="151" t="str">
        <f aca="false">IF(ISNUMBER(B235),B235*(1-1/'13_Mapa_Liq'!$B$19+'13_Mapa_Liq'!$B$6),"")</f>
        <v/>
      </c>
      <c r="AD235" s="151" t="n">
        <f aca="false">IF(ISNUMBER(B235),IF(K235&gt;AC235,I235*'13_Mapa_Liq'!$C$19,0),0)</f>
        <v>0</v>
      </c>
      <c r="AE235" s="151" t="str">
        <f aca="false">IF(ISNUMBER(B235),B235*(1+1/'13_Mapa_Liq'!$B$19-'13_Mapa_Liq'!$B$6),"")</f>
        <v/>
      </c>
      <c r="AF235" s="151" t="n">
        <f aca="false">IF(ISNUMBER(B235),IF(L235&lt;AE235,J235*'13_Mapa_Liq'!$C$19,0),0)</f>
        <v>0</v>
      </c>
      <c r="AG235" s="151"/>
      <c r="AH235" s="151" t="n">
        <f aca="false">IF(ISNUMBER(B235),E235*F235*((K235&lt;=M235)*'13_Mapa_Liq'!$C$15+(K235&lt;=Q235)*'13_Mapa_Liq'!$C$16+(K235&lt;=U235)*'13_Mapa_Liq'!$C$17+(K235&lt;=Y235)*'13_Mapa_Liq'!$C$18+(K235&lt;=AC235)*'13_Mapa_Liq'!$C$19),0)</f>
        <v>0</v>
      </c>
      <c r="AI235" s="151" t="n">
        <f aca="false">IF(ISNUMBER(B235),E235*(1-F235)*((L235&gt;=O235)*'13_Mapa_Liq'!$C$15+(L235&gt;=S235)*'13_Mapa_Liq'!$C$16+(L235&gt;=W235)*'13_Mapa_Liq'!$C$17+(L235&gt;=AA235)*'13_Mapa_Liq'!$C$18+(L235&gt;=AE235)*'13_Mapa_Liq'!$C$19),0)</f>
        <v>0</v>
      </c>
    </row>
    <row r="236" customFormat="false" ht="15" hidden="false" customHeight="false" outlineLevel="0" collapsed="false">
      <c r="A236" s="151" t="str">
        <f aca="false">IF(ISNUMBER('12_Datos_5m'!F236),ROW()-4,"")</f>
        <v/>
      </c>
      <c r="B236" s="151" t="str">
        <f aca="false">IF(ISNUMBER('12_Datos_5m'!F236),'12_Datos_5m'!F236,"")</f>
        <v/>
      </c>
      <c r="C236" s="151" t="str">
        <f aca="false">IF(ISNUMBER('12_Datos_5m'!A236),'12_Datos_5m'!A236,"")</f>
        <v/>
      </c>
      <c r="D236" s="151" t="n">
        <f aca="false">IF(AND(ISNUMBER('12_Datos_5m'!I236),ISNUMBER('12_Datos_5m'!I235)),'12_Datos_5m'!I236-'12_Datos_5m'!I235,0)</f>
        <v>0</v>
      </c>
      <c r="E236" s="151" t="n">
        <f aca="false">MAX(0,D236)</f>
        <v>0</v>
      </c>
      <c r="F236" s="151" t="n">
        <f aca="false">IF(AND(ISNUMBER('12_Datos_5m'!G236),N('12_Datos_5m'!G236)&gt;0),'12_Datos_5m'!H236/'12_Datos_5m'!G236,0.5)</f>
        <v>0.5</v>
      </c>
      <c r="G236" s="151" t="n">
        <f aca="false">IF(ISNUMBER(C236),($C$2-C236)/3600000,0)</f>
        <v>0</v>
      </c>
      <c r="H236" s="151" t="n">
        <f aca="false">EXP(-G236/'13_Mapa_Liq'!$B$7)</f>
        <v>1</v>
      </c>
      <c r="I236" s="151" t="n">
        <f aca="false">E236*F236*H236</f>
        <v>0</v>
      </c>
      <c r="J236" s="151" t="n">
        <f aca="false">E236*(1-F236)*H236</f>
        <v>0</v>
      </c>
      <c r="K236" s="151" t="n">
        <f aca="false">IF(COUNT('12_Datos_5m'!E237:E$504)=0,1000000000000,MIN('12_Datos_5m'!E237:E$504))</f>
        <v>1000000000000</v>
      </c>
      <c r="L236" s="151" t="n">
        <f aca="false">IF(COUNT('12_Datos_5m'!D237:D$504)=0,0,MAX('12_Datos_5m'!D237:D$504))</f>
        <v>0</v>
      </c>
      <c r="M236" s="151" t="str">
        <f aca="false">IF(ISNUMBER(B236),B236*(1-1/'13_Mapa_Liq'!$B$15+'13_Mapa_Liq'!$B$6),"")</f>
        <v/>
      </c>
      <c r="N236" s="151" t="n">
        <f aca="false">IF(ISNUMBER(B236),IF(K236&gt;M236,I236*'13_Mapa_Liq'!$C$15,0),0)</f>
        <v>0</v>
      </c>
      <c r="O236" s="151" t="str">
        <f aca="false">IF(ISNUMBER(B236),B236*(1+1/'13_Mapa_Liq'!$B$15-'13_Mapa_Liq'!$B$6),"")</f>
        <v/>
      </c>
      <c r="P236" s="151" t="n">
        <f aca="false">IF(ISNUMBER(B236),IF(L236&lt;O236,J236*'13_Mapa_Liq'!$C$15,0),0)</f>
        <v>0</v>
      </c>
      <c r="Q236" s="151" t="str">
        <f aca="false">IF(ISNUMBER(B236),B236*(1-1/'13_Mapa_Liq'!$B$16+'13_Mapa_Liq'!$B$6),"")</f>
        <v/>
      </c>
      <c r="R236" s="151" t="n">
        <f aca="false">IF(ISNUMBER(B236),IF(K236&gt;Q236,I236*'13_Mapa_Liq'!$C$16,0),0)</f>
        <v>0</v>
      </c>
      <c r="S236" s="151" t="str">
        <f aca="false">IF(ISNUMBER(B236),B236*(1+1/'13_Mapa_Liq'!$B$16-'13_Mapa_Liq'!$B$6),"")</f>
        <v/>
      </c>
      <c r="T236" s="151" t="n">
        <f aca="false">IF(ISNUMBER(B236),IF(L236&lt;S236,J236*'13_Mapa_Liq'!$C$16,0),0)</f>
        <v>0</v>
      </c>
      <c r="U236" s="151" t="str">
        <f aca="false">IF(ISNUMBER(B236),B236*(1-1/'13_Mapa_Liq'!$B$17+'13_Mapa_Liq'!$B$6),"")</f>
        <v/>
      </c>
      <c r="V236" s="151" t="n">
        <f aca="false">IF(ISNUMBER(B236),IF(K236&gt;U236,I236*'13_Mapa_Liq'!$C$17,0),0)</f>
        <v>0</v>
      </c>
      <c r="W236" s="151" t="str">
        <f aca="false">IF(ISNUMBER(B236),B236*(1+1/'13_Mapa_Liq'!$B$17-'13_Mapa_Liq'!$B$6),"")</f>
        <v/>
      </c>
      <c r="X236" s="151" t="n">
        <f aca="false">IF(ISNUMBER(B236),IF(L236&lt;W236,J236*'13_Mapa_Liq'!$C$17,0),0)</f>
        <v>0</v>
      </c>
      <c r="Y236" s="151" t="str">
        <f aca="false">IF(ISNUMBER(B236),B236*(1-1/'13_Mapa_Liq'!$B$18+'13_Mapa_Liq'!$B$6),"")</f>
        <v/>
      </c>
      <c r="Z236" s="151" t="n">
        <f aca="false">IF(ISNUMBER(B236),IF(K236&gt;Y236,I236*'13_Mapa_Liq'!$C$18,0),0)</f>
        <v>0</v>
      </c>
      <c r="AA236" s="151" t="str">
        <f aca="false">IF(ISNUMBER(B236),B236*(1+1/'13_Mapa_Liq'!$B$18-'13_Mapa_Liq'!$B$6),"")</f>
        <v/>
      </c>
      <c r="AB236" s="151" t="n">
        <f aca="false">IF(ISNUMBER(B236),IF(L236&lt;AA236,J236*'13_Mapa_Liq'!$C$18,0),0)</f>
        <v>0</v>
      </c>
      <c r="AC236" s="151" t="str">
        <f aca="false">IF(ISNUMBER(B236),B236*(1-1/'13_Mapa_Liq'!$B$19+'13_Mapa_Liq'!$B$6),"")</f>
        <v/>
      </c>
      <c r="AD236" s="151" t="n">
        <f aca="false">IF(ISNUMBER(B236),IF(K236&gt;AC236,I236*'13_Mapa_Liq'!$C$19,0),0)</f>
        <v>0</v>
      </c>
      <c r="AE236" s="151" t="str">
        <f aca="false">IF(ISNUMBER(B236),B236*(1+1/'13_Mapa_Liq'!$B$19-'13_Mapa_Liq'!$B$6),"")</f>
        <v/>
      </c>
      <c r="AF236" s="151" t="n">
        <f aca="false">IF(ISNUMBER(B236),IF(L236&lt;AE236,J236*'13_Mapa_Liq'!$C$19,0),0)</f>
        <v>0</v>
      </c>
      <c r="AG236" s="151"/>
      <c r="AH236" s="151" t="n">
        <f aca="false">IF(ISNUMBER(B236),E236*F236*((K236&lt;=M236)*'13_Mapa_Liq'!$C$15+(K236&lt;=Q236)*'13_Mapa_Liq'!$C$16+(K236&lt;=U236)*'13_Mapa_Liq'!$C$17+(K236&lt;=Y236)*'13_Mapa_Liq'!$C$18+(K236&lt;=AC236)*'13_Mapa_Liq'!$C$19),0)</f>
        <v>0</v>
      </c>
      <c r="AI236" s="151" t="n">
        <f aca="false">IF(ISNUMBER(B236),E236*(1-F236)*((L236&gt;=O236)*'13_Mapa_Liq'!$C$15+(L236&gt;=S236)*'13_Mapa_Liq'!$C$16+(L236&gt;=W236)*'13_Mapa_Liq'!$C$17+(L236&gt;=AA236)*'13_Mapa_Liq'!$C$18+(L236&gt;=AE236)*'13_Mapa_Liq'!$C$19),0)</f>
        <v>0</v>
      </c>
    </row>
    <row r="237" customFormat="false" ht="15" hidden="false" customHeight="false" outlineLevel="0" collapsed="false">
      <c r="A237" s="151" t="str">
        <f aca="false">IF(ISNUMBER('12_Datos_5m'!F237),ROW()-4,"")</f>
        <v/>
      </c>
      <c r="B237" s="151" t="str">
        <f aca="false">IF(ISNUMBER('12_Datos_5m'!F237),'12_Datos_5m'!F237,"")</f>
        <v/>
      </c>
      <c r="C237" s="151" t="str">
        <f aca="false">IF(ISNUMBER('12_Datos_5m'!A237),'12_Datos_5m'!A237,"")</f>
        <v/>
      </c>
      <c r="D237" s="151" t="n">
        <f aca="false">IF(AND(ISNUMBER('12_Datos_5m'!I237),ISNUMBER('12_Datos_5m'!I236)),'12_Datos_5m'!I237-'12_Datos_5m'!I236,0)</f>
        <v>0</v>
      </c>
      <c r="E237" s="151" t="n">
        <f aca="false">MAX(0,D237)</f>
        <v>0</v>
      </c>
      <c r="F237" s="151" t="n">
        <f aca="false">IF(AND(ISNUMBER('12_Datos_5m'!G237),N('12_Datos_5m'!G237)&gt;0),'12_Datos_5m'!H237/'12_Datos_5m'!G237,0.5)</f>
        <v>0.5</v>
      </c>
      <c r="G237" s="151" t="n">
        <f aca="false">IF(ISNUMBER(C237),($C$2-C237)/3600000,0)</f>
        <v>0</v>
      </c>
      <c r="H237" s="151" t="n">
        <f aca="false">EXP(-G237/'13_Mapa_Liq'!$B$7)</f>
        <v>1</v>
      </c>
      <c r="I237" s="151" t="n">
        <f aca="false">E237*F237*H237</f>
        <v>0</v>
      </c>
      <c r="J237" s="151" t="n">
        <f aca="false">E237*(1-F237)*H237</f>
        <v>0</v>
      </c>
      <c r="K237" s="151" t="n">
        <f aca="false">IF(COUNT('12_Datos_5m'!E238:E$504)=0,1000000000000,MIN('12_Datos_5m'!E238:E$504))</f>
        <v>1000000000000</v>
      </c>
      <c r="L237" s="151" t="n">
        <f aca="false">IF(COUNT('12_Datos_5m'!D238:D$504)=0,0,MAX('12_Datos_5m'!D238:D$504))</f>
        <v>0</v>
      </c>
      <c r="M237" s="151" t="str">
        <f aca="false">IF(ISNUMBER(B237),B237*(1-1/'13_Mapa_Liq'!$B$15+'13_Mapa_Liq'!$B$6),"")</f>
        <v/>
      </c>
      <c r="N237" s="151" t="n">
        <f aca="false">IF(ISNUMBER(B237),IF(K237&gt;M237,I237*'13_Mapa_Liq'!$C$15,0),0)</f>
        <v>0</v>
      </c>
      <c r="O237" s="151" t="str">
        <f aca="false">IF(ISNUMBER(B237),B237*(1+1/'13_Mapa_Liq'!$B$15-'13_Mapa_Liq'!$B$6),"")</f>
        <v/>
      </c>
      <c r="P237" s="151" t="n">
        <f aca="false">IF(ISNUMBER(B237),IF(L237&lt;O237,J237*'13_Mapa_Liq'!$C$15,0),0)</f>
        <v>0</v>
      </c>
      <c r="Q237" s="151" t="str">
        <f aca="false">IF(ISNUMBER(B237),B237*(1-1/'13_Mapa_Liq'!$B$16+'13_Mapa_Liq'!$B$6),"")</f>
        <v/>
      </c>
      <c r="R237" s="151" t="n">
        <f aca="false">IF(ISNUMBER(B237),IF(K237&gt;Q237,I237*'13_Mapa_Liq'!$C$16,0),0)</f>
        <v>0</v>
      </c>
      <c r="S237" s="151" t="str">
        <f aca="false">IF(ISNUMBER(B237),B237*(1+1/'13_Mapa_Liq'!$B$16-'13_Mapa_Liq'!$B$6),"")</f>
        <v/>
      </c>
      <c r="T237" s="151" t="n">
        <f aca="false">IF(ISNUMBER(B237),IF(L237&lt;S237,J237*'13_Mapa_Liq'!$C$16,0),0)</f>
        <v>0</v>
      </c>
      <c r="U237" s="151" t="str">
        <f aca="false">IF(ISNUMBER(B237),B237*(1-1/'13_Mapa_Liq'!$B$17+'13_Mapa_Liq'!$B$6),"")</f>
        <v/>
      </c>
      <c r="V237" s="151" t="n">
        <f aca="false">IF(ISNUMBER(B237),IF(K237&gt;U237,I237*'13_Mapa_Liq'!$C$17,0),0)</f>
        <v>0</v>
      </c>
      <c r="W237" s="151" t="str">
        <f aca="false">IF(ISNUMBER(B237),B237*(1+1/'13_Mapa_Liq'!$B$17-'13_Mapa_Liq'!$B$6),"")</f>
        <v/>
      </c>
      <c r="X237" s="151" t="n">
        <f aca="false">IF(ISNUMBER(B237),IF(L237&lt;W237,J237*'13_Mapa_Liq'!$C$17,0),0)</f>
        <v>0</v>
      </c>
      <c r="Y237" s="151" t="str">
        <f aca="false">IF(ISNUMBER(B237),B237*(1-1/'13_Mapa_Liq'!$B$18+'13_Mapa_Liq'!$B$6),"")</f>
        <v/>
      </c>
      <c r="Z237" s="151" t="n">
        <f aca="false">IF(ISNUMBER(B237),IF(K237&gt;Y237,I237*'13_Mapa_Liq'!$C$18,0),0)</f>
        <v>0</v>
      </c>
      <c r="AA237" s="151" t="str">
        <f aca="false">IF(ISNUMBER(B237),B237*(1+1/'13_Mapa_Liq'!$B$18-'13_Mapa_Liq'!$B$6),"")</f>
        <v/>
      </c>
      <c r="AB237" s="151" t="n">
        <f aca="false">IF(ISNUMBER(B237),IF(L237&lt;AA237,J237*'13_Mapa_Liq'!$C$18,0),0)</f>
        <v>0</v>
      </c>
      <c r="AC237" s="151" t="str">
        <f aca="false">IF(ISNUMBER(B237),B237*(1-1/'13_Mapa_Liq'!$B$19+'13_Mapa_Liq'!$B$6),"")</f>
        <v/>
      </c>
      <c r="AD237" s="151" t="n">
        <f aca="false">IF(ISNUMBER(B237),IF(K237&gt;AC237,I237*'13_Mapa_Liq'!$C$19,0),0)</f>
        <v>0</v>
      </c>
      <c r="AE237" s="151" t="str">
        <f aca="false">IF(ISNUMBER(B237),B237*(1+1/'13_Mapa_Liq'!$B$19-'13_Mapa_Liq'!$B$6),"")</f>
        <v/>
      </c>
      <c r="AF237" s="151" t="n">
        <f aca="false">IF(ISNUMBER(B237),IF(L237&lt;AE237,J237*'13_Mapa_Liq'!$C$19,0),0)</f>
        <v>0</v>
      </c>
      <c r="AG237" s="151"/>
      <c r="AH237" s="151" t="n">
        <f aca="false">IF(ISNUMBER(B237),E237*F237*((K237&lt;=M237)*'13_Mapa_Liq'!$C$15+(K237&lt;=Q237)*'13_Mapa_Liq'!$C$16+(K237&lt;=U237)*'13_Mapa_Liq'!$C$17+(K237&lt;=Y237)*'13_Mapa_Liq'!$C$18+(K237&lt;=AC237)*'13_Mapa_Liq'!$C$19),0)</f>
        <v>0</v>
      </c>
      <c r="AI237" s="151" t="n">
        <f aca="false">IF(ISNUMBER(B237),E237*(1-F237)*((L237&gt;=O237)*'13_Mapa_Liq'!$C$15+(L237&gt;=S237)*'13_Mapa_Liq'!$C$16+(L237&gt;=W237)*'13_Mapa_Liq'!$C$17+(L237&gt;=AA237)*'13_Mapa_Liq'!$C$18+(L237&gt;=AE237)*'13_Mapa_Liq'!$C$19),0)</f>
        <v>0</v>
      </c>
    </row>
    <row r="238" customFormat="false" ht="15" hidden="false" customHeight="false" outlineLevel="0" collapsed="false">
      <c r="A238" s="151" t="str">
        <f aca="false">IF(ISNUMBER('12_Datos_5m'!F238),ROW()-4,"")</f>
        <v/>
      </c>
      <c r="B238" s="151" t="str">
        <f aca="false">IF(ISNUMBER('12_Datos_5m'!F238),'12_Datos_5m'!F238,"")</f>
        <v/>
      </c>
      <c r="C238" s="151" t="str">
        <f aca="false">IF(ISNUMBER('12_Datos_5m'!A238),'12_Datos_5m'!A238,"")</f>
        <v/>
      </c>
      <c r="D238" s="151" t="n">
        <f aca="false">IF(AND(ISNUMBER('12_Datos_5m'!I238),ISNUMBER('12_Datos_5m'!I237)),'12_Datos_5m'!I238-'12_Datos_5m'!I237,0)</f>
        <v>0</v>
      </c>
      <c r="E238" s="151" t="n">
        <f aca="false">MAX(0,D238)</f>
        <v>0</v>
      </c>
      <c r="F238" s="151" t="n">
        <f aca="false">IF(AND(ISNUMBER('12_Datos_5m'!G238),N('12_Datos_5m'!G238)&gt;0),'12_Datos_5m'!H238/'12_Datos_5m'!G238,0.5)</f>
        <v>0.5</v>
      </c>
      <c r="G238" s="151" t="n">
        <f aca="false">IF(ISNUMBER(C238),($C$2-C238)/3600000,0)</f>
        <v>0</v>
      </c>
      <c r="H238" s="151" t="n">
        <f aca="false">EXP(-G238/'13_Mapa_Liq'!$B$7)</f>
        <v>1</v>
      </c>
      <c r="I238" s="151" t="n">
        <f aca="false">E238*F238*H238</f>
        <v>0</v>
      </c>
      <c r="J238" s="151" t="n">
        <f aca="false">E238*(1-F238)*H238</f>
        <v>0</v>
      </c>
      <c r="K238" s="151" t="n">
        <f aca="false">IF(COUNT('12_Datos_5m'!E239:E$504)=0,1000000000000,MIN('12_Datos_5m'!E239:E$504))</f>
        <v>1000000000000</v>
      </c>
      <c r="L238" s="151" t="n">
        <f aca="false">IF(COUNT('12_Datos_5m'!D239:D$504)=0,0,MAX('12_Datos_5m'!D239:D$504))</f>
        <v>0</v>
      </c>
      <c r="M238" s="151" t="str">
        <f aca="false">IF(ISNUMBER(B238),B238*(1-1/'13_Mapa_Liq'!$B$15+'13_Mapa_Liq'!$B$6),"")</f>
        <v/>
      </c>
      <c r="N238" s="151" t="n">
        <f aca="false">IF(ISNUMBER(B238),IF(K238&gt;M238,I238*'13_Mapa_Liq'!$C$15,0),0)</f>
        <v>0</v>
      </c>
      <c r="O238" s="151" t="str">
        <f aca="false">IF(ISNUMBER(B238),B238*(1+1/'13_Mapa_Liq'!$B$15-'13_Mapa_Liq'!$B$6),"")</f>
        <v/>
      </c>
      <c r="P238" s="151" t="n">
        <f aca="false">IF(ISNUMBER(B238),IF(L238&lt;O238,J238*'13_Mapa_Liq'!$C$15,0),0)</f>
        <v>0</v>
      </c>
      <c r="Q238" s="151" t="str">
        <f aca="false">IF(ISNUMBER(B238),B238*(1-1/'13_Mapa_Liq'!$B$16+'13_Mapa_Liq'!$B$6),"")</f>
        <v/>
      </c>
      <c r="R238" s="151" t="n">
        <f aca="false">IF(ISNUMBER(B238),IF(K238&gt;Q238,I238*'13_Mapa_Liq'!$C$16,0),0)</f>
        <v>0</v>
      </c>
      <c r="S238" s="151" t="str">
        <f aca="false">IF(ISNUMBER(B238),B238*(1+1/'13_Mapa_Liq'!$B$16-'13_Mapa_Liq'!$B$6),"")</f>
        <v/>
      </c>
      <c r="T238" s="151" t="n">
        <f aca="false">IF(ISNUMBER(B238),IF(L238&lt;S238,J238*'13_Mapa_Liq'!$C$16,0),0)</f>
        <v>0</v>
      </c>
      <c r="U238" s="151" t="str">
        <f aca="false">IF(ISNUMBER(B238),B238*(1-1/'13_Mapa_Liq'!$B$17+'13_Mapa_Liq'!$B$6),"")</f>
        <v/>
      </c>
      <c r="V238" s="151" t="n">
        <f aca="false">IF(ISNUMBER(B238),IF(K238&gt;U238,I238*'13_Mapa_Liq'!$C$17,0),0)</f>
        <v>0</v>
      </c>
      <c r="W238" s="151" t="str">
        <f aca="false">IF(ISNUMBER(B238),B238*(1+1/'13_Mapa_Liq'!$B$17-'13_Mapa_Liq'!$B$6),"")</f>
        <v/>
      </c>
      <c r="X238" s="151" t="n">
        <f aca="false">IF(ISNUMBER(B238),IF(L238&lt;W238,J238*'13_Mapa_Liq'!$C$17,0),0)</f>
        <v>0</v>
      </c>
      <c r="Y238" s="151" t="str">
        <f aca="false">IF(ISNUMBER(B238),B238*(1-1/'13_Mapa_Liq'!$B$18+'13_Mapa_Liq'!$B$6),"")</f>
        <v/>
      </c>
      <c r="Z238" s="151" t="n">
        <f aca="false">IF(ISNUMBER(B238),IF(K238&gt;Y238,I238*'13_Mapa_Liq'!$C$18,0),0)</f>
        <v>0</v>
      </c>
      <c r="AA238" s="151" t="str">
        <f aca="false">IF(ISNUMBER(B238),B238*(1+1/'13_Mapa_Liq'!$B$18-'13_Mapa_Liq'!$B$6),"")</f>
        <v/>
      </c>
      <c r="AB238" s="151" t="n">
        <f aca="false">IF(ISNUMBER(B238),IF(L238&lt;AA238,J238*'13_Mapa_Liq'!$C$18,0),0)</f>
        <v>0</v>
      </c>
      <c r="AC238" s="151" t="str">
        <f aca="false">IF(ISNUMBER(B238),B238*(1-1/'13_Mapa_Liq'!$B$19+'13_Mapa_Liq'!$B$6),"")</f>
        <v/>
      </c>
      <c r="AD238" s="151" t="n">
        <f aca="false">IF(ISNUMBER(B238),IF(K238&gt;AC238,I238*'13_Mapa_Liq'!$C$19,0),0)</f>
        <v>0</v>
      </c>
      <c r="AE238" s="151" t="str">
        <f aca="false">IF(ISNUMBER(B238),B238*(1+1/'13_Mapa_Liq'!$B$19-'13_Mapa_Liq'!$B$6),"")</f>
        <v/>
      </c>
      <c r="AF238" s="151" t="n">
        <f aca="false">IF(ISNUMBER(B238),IF(L238&lt;AE238,J238*'13_Mapa_Liq'!$C$19,0),0)</f>
        <v>0</v>
      </c>
      <c r="AG238" s="151"/>
      <c r="AH238" s="151" t="n">
        <f aca="false">IF(ISNUMBER(B238),E238*F238*((K238&lt;=M238)*'13_Mapa_Liq'!$C$15+(K238&lt;=Q238)*'13_Mapa_Liq'!$C$16+(K238&lt;=U238)*'13_Mapa_Liq'!$C$17+(K238&lt;=Y238)*'13_Mapa_Liq'!$C$18+(K238&lt;=AC238)*'13_Mapa_Liq'!$C$19),0)</f>
        <v>0</v>
      </c>
      <c r="AI238" s="151" t="n">
        <f aca="false">IF(ISNUMBER(B238),E238*(1-F238)*((L238&gt;=O238)*'13_Mapa_Liq'!$C$15+(L238&gt;=S238)*'13_Mapa_Liq'!$C$16+(L238&gt;=W238)*'13_Mapa_Liq'!$C$17+(L238&gt;=AA238)*'13_Mapa_Liq'!$C$18+(L238&gt;=AE238)*'13_Mapa_Liq'!$C$19),0)</f>
        <v>0</v>
      </c>
    </row>
    <row r="239" customFormat="false" ht="15" hidden="false" customHeight="false" outlineLevel="0" collapsed="false">
      <c r="A239" s="151" t="str">
        <f aca="false">IF(ISNUMBER('12_Datos_5m'!F239),ROW()-4,"")</f>
        <v/>
      </c>
      <c r="B239" s="151" t="str">
        <f aca="false">IF(ISNUMBER('12_Datos_5m'!F239),'12_Datos_5m'!F239,"")</f>
        <v/>
      </c>
      <c r="C239" s="151" t="str">
        <f aca="false">IF(ISNUMBER('12_Datos_5m'!A239),'12_Datos_5m'!A239,"")</f>
        <v/>
      </c>
      <c r="D239" s="151" t="n">
        <f aca="false">IF(AND(ISNUMBER('12_Datos_5m'!I239),ISNUMBER('12_Datos_5m'!I238)),'12_Datos_5m'!I239-'12_Datos_5m'!I238,0)</f>
        <v>0</v>
      </c>
      <c r="E239" s="151" t="n">
        <f aca="false">MAX(0,D239)</f>
        <v>0</v>
      </c>
      <c r="F239" s="151" t="n">
        <f aca="false">IF(AND(ISNUMBER('12_Datos_5m'!G239),N('12_Datos_5m'!G239)&gt;0),'12_Datos_5m'!H239/'12_Datos_5m'!G239,0.5)</f>
        <v>0.5</v>
      </c>
      <c r="G239" s="151" t="n">
        <f aca="false">IF(ISNUMBER(C239),($C$2-C239)/3600000,0)</f>
        <v>0</v>
      </c>
      <c r="H239" s="151" t="n">
        <f aca="false">EXP(-G239/'13_Mapa_Liq'!$B$7)</f>
        <v>1</v>
      </c>
      <c r="I239" s="151" t="n">
        <f aca="false">E239*F239*H239</f>
        <v>0</v>
      </c>
      <c r="J239" s="151" t="n">
        <f aca="false">E239*(1-F239)*H239</f>
        <v>0</v>
      </c>
      <c r="K239" s="151" t="n">
        <f aca="false">IF(COUNT('12_Datos_5m'!E240:E$504)=0,1000000000000,MIN('12_Datos_5m'!E240:E$504))</f>
        <v>1000000000000</v>
      </c>
      <c r="L239" s="151" t="n">
        <f aca="false">IF(COUNT('12_Datos_5m'!D240:D$504)=0,0,MAX('12_Datos_5m'!D240:D$504))</f>
        <v>0</v>
      </c>
      <c r="M239" s="151" t="str">
        <f aca="false">IF(ISNUMBER(B239),B239*(1-1/'13_Mapa_Liq'!$B$15+'13_Mapa_Liq'!$B$6),"")</f>
        <v/>
      </c>
      <c r="N239" s="151" t="n">
        <f aca="false">IF(ISNUMBER(B239),IF(K239&gt;M239,I239*'13_Mapa_Liq'!$C$15,0),0)</f>
        <v>0</v>
      </c>
      <c r="O239" s="151" t="str">
        <f aca="false">IF(ISNUMBER(B239),B239*(1+1/'13_Mapa_Liq'!$B$15-'13_Mapa_Liq'!$B$6),"")</f>
        <v/>
      </c>
      <c r="P239" s="151" t="n">
        <f aca="false">IF(ISNUMBER(B239),IF(L239&lt;O239,J239*'13_Mapa_Liq'!$C$15,0),0)</f>
        <v>0</v>
      </c>
      <c r="Q239" s="151" t="str">
        <f aca="false">IF(ISNUMBER(B239),B239*(1-1/'13_Mapa_Liq'!$B$16+'13_Mapa_Liq'!$B$6),"")</f>
        <v/>
      </c>
      <c r="R239" s="151" t="n">
        <f aca="false">IF(ISNUMBER(B239),IF(K239&gt;Q239,I239*'13_Mapa_Liq'!$C$16,0),0)</f>
        <v>0</v>
      </c>
      <c r="S239" s="151" t="str">
        <f aca="false">IF(ISNUMBER(B239),B239*(1+1/'13_Mapa_Liq'!$B$16-'13_Mapa_Liq'!$B$6),"")</f>
        <v/>
      </c>
      <c r="T239" s="151" t="n">
        <f aca="false">IF(ISNUMBER(B239),IF(L239&lt;S239,J239*'13_Mapa_Liq'!$C$16,0),0)</f>
        <v>0</v>
      </c>
      <c r="U239" s="151" t="str">
        <f aca="false">IF(ISNUMBER(B239),B239*(1-1/'13_Mapa_Liq'!$B$17+'13_Mapa_Liq'!$B$6),"")</f>
        <v/>
      </c>
      <c r="V239" s="151" t="n">
        <f aca="false">IF(ISNUMBER(B239),IF(K239&gt;U239,I239*'13_Mapa_Liq'!$C$17,0),0)</f>
        <v>0</v>
      </c>
      <c r="W239" s="151" t="str">
        <f aca="false">IF(ISNUMBER(B239),B239*(1+1/'13_Mapa_Liq'!$B$17-'13_Mapa_Liq'!$B$6),"")</f>
        <v/>
      </c>
      <c r="X239" s="151" t="n">
        <f aca="false">IF(ISNUMBER(B239),IF(L239&lt;W239,J239*'13_Mapa_Liq'!$C$17,0),0)</f>
        <v>0</v>
      </c>
      <c r="Y239" s="151" t="str">
        <f aca="false">IF(ISNUMBER(B239),B239*(1-1/'13_Mapa_Liq'!$B$18+'13_Mapa_Liq'!$B$6),"")</f>
        <v/>
      </c>
      <c r="Z239" s="151" t="n">
        <f aca="false">IF(ISNUMBER(B239),IF(K239&gt;Y239,I239*'13_Mapa_Liq'!$C$18,0),0)</f>
        <v>0</v>
      </c>
      <c r="AA239" s="151" t="str">
        <f aca="false">IF(ISNUMBER(B239),B239*(1+1/'13_Mapa_Liq'!$B$18-'13_Mapa_Liq'!$B$6),"")</f>
        <v/>
      </c>
      <c r="AB239" s="151" t="n">
        <f aca="false">IF(ISNUMBER(B239),IF(L239&lt;AA239,J239*'13_Mapa_Liq'!$C$18,0),0)</f>
        <v>0</v>
      </c>
      <c r="AC239" s="151" t="str">
        <f aca="false">IF(ISNUMBER(B239),B239*(1-1/'13_Mapa_Liq'!$B$19+'13_Mapa_Liq'!$B$6),"")</f>
        <v/>
      </c>
      <c r="AD239" s="151" t="n">
        <f aca="false">IF(ISNUMBER(B239),IF(K239&gt;AC239,I239*'13_Mapa_Liq'!$C$19,0),0)</f>
        <v>0</v>
      </c>
      <c r="AE239" s="151" t="str">
        <f aca="false">IF(ISNUMBER(B239),B239*(1+1/'13_Mapa_Liq'!$B$19-'13_Mapa_Liq'!$B$6),"")</f>
        <v/>
      </c>
      <c r="AF239" s="151" t="n">
        <f aca="false">IF(ISNUMBER(B239),IF(L239&lt;AE239,J239*'13_Mapa_Liq'!$C$19,0),0)</f>
        <v>0</v>
      </c>
      <c r="AG239" s="151"/>
      <c r="AH239" s="151" t="n">
        <f aca="false">IF(ISNUMBER(B239),E239*F239*((K239&lt;=M239)*'13_Mapa_Liq'!$C$15+(K239&lt;=Q239)*'13_Mapa_Liq'!$C$16+(K239&lt;=U239)*'13_Mapa_Liq'!$C$17+(K239&lt;=Y239)*'13_Mapa_Liq'!$C$18+(K239&lt;=AC239)*'13_Mapa_Liq'!$C$19),0)</f>
        <v>0</v>
      </c>
      <c r="AI239" s="151" t="n">
        <f aca="false">IF(ISNUMBER(B239),E239*(1-F239)*((L239&gt;=O239)*'13_Mapa_Liq'!$C$15+(L239&gt;=S239)*'13_Mapa_Liq'!$C$16+(L239&gt;=W239)*'13_Mapa_Liq'!$C$17+(L239&gt;=AA239)*'13_Mapa_Liq'!$C$18+(L239&gt;=AE239)*'13_Mapa_Liq'!$C$19),0)</f>
        <v>0</v>
      </c>
    </row>
    <row r="240" customFormat="false" ht="15" hidden="false" customHeight="false" outlineLevel="0" collapsed="false">
      <c r="A240" s="151" t="str">
        <f aca="false">IF(ISNUMBER('12_Datos_5m'!F240),ROW()-4,"")</f>
        <v/>
      </c>
      <c r="B240" s="151" t="str">
        <f aca="false">IF(ISNUMBER('12_Datos_5m'!F240),'12_Datos_5m'!F240,"")</f>
        <v/>
      </c>
      <c r="C240" s="151" t="str">
        <f aca="false">IF(ISNUMBER('12_Datos_5m'!A240),'12_Datos_5m'!A240,"")</f>
        <v/>
      </c>
      <c r="D240" s="151" t="n">
        <f aca="false">IF(AND(ISNUMBER('12_Datos_5m'!I240),ISNUMBER('12_Datos_5m'!I239)),'12_Datos_5m'!I240-'12_Datos_5m'!I239,0)</f>
        <v>0</v>
      </c>
      <c r="E240" s="151" t="n">
        <f aca="false">MAX(0,D240)</f>
        <v>0</v>
      </c>
      <c r="F240" s="151" t="n">
        <f aca="false">IF(AND(ISNUMBER('12_Datos_5m'!G240),N('12_Datos_5m'!G240)&gt;0),'12_Datos_5m'!H240/'12_Datos_5m'!G240,0.5)</f>
        <v>0.5</v>
      </c>
      <c r="G240" s="151" t="n">
        <f aca="false">IF(ISNUMBER(C240),($C$2-C240)/3600000,0)</f>
        <v>0</v>
      </c>
      <c r="H240" s="151" t="n">
        <f aca="false">EXP(-G240/'13_Mapa_Liq'!$B$7)</f>
        <v>1</v>
      </c>
      <c r="I240" s="151" t="n">
        <f aca="false">E240*F240*H240</f>
        <v>0</v>
      </c>
      <c r="J240" s="151" t="n">
        <f aca="false">E240*(1-F240)*H240</f>
        <v>0</v>
      </c>
      <c r="K240" s="151" t="n">
        <f aca="false">IF(COUNT('12_Datos_5m'!E241:E$504)=0,1000000000000,MIN('12_Datos_5m'!E241:E$504))</f>
        <v>1000000000000</v>
      </c>
      <c r="L240" s="151" t="n">
        <f aca="false">IF(COUNT('12_Datos_5m'!D241:D$504)=0,0,MAX('12_Datos_5m'!D241:D$504))</f>
        <v>0</v>
      </c>
      <c r="M240" s="151" t="str">
        <f aca="false">IF(ISNUMBER(B240),B240*(1-1/'13_Mapa_Liq'!$B$15+'13_Mapa_Liq'!$B$6),"")</f>
        <v/>
      </c>
      <c r="N240" s="151" t="n">
        <f aca="false">IF(ISNUMBER(B240),IF(K240&gt;M240,I240*'13_Mapa_Liq'!$C$15,0),0)</f>
        <v>0</v>
      </c>
      <c r="O240" s="151" t="str">
        <f aca="false">IF(ISNUMBER(B240),B240*(1+1/'13_Mapa_Liq'!$B$15-'13_Mapa_Liq'!$B$6),"")</f>
        <v/>
      </c>
      <c r="P240" s="151" t="n">
        <f aca="false">IF(ISNUMBER(B240),IF(L240&lt;O240,J240*'13_Mapa_Liq'!$C$15,0),0)</f>
        <v>0</v>
      </c>
      <c r="Q240" s="151" t="str">
        <f aca="false">IF(ISNUMBER(B240),B240*(1-1/'13_Mapa_Liq'!$B$16+'13_Mapa_Liq'!$B$6),"")</f>
        <v/>
      </c>
      <c r="R240" s="151" t="n">
        <f aca="false">IF(ISNUMBER(B240),IF(K240&gt;Q240,I240*'13_Mapa_Liq'!$C$16,0),0)</f>
        <v>0</v>
      </c>
      <c r="S240" s="151" t="str">
        <f aca="false">IF(ISNUMBER(B240),B240*(1+1/'13_Mapa_Liq'!$B$16-'13_Mapa_Liq'!$B$6),"")</f>
        <v/>
      </c>
      <c r="T240" s="151" t="n">
        <f aca="false">IF(ISNUMBER(B240),IF(L240&lt;S240,J240*'13_Mapa_Liq'!$C$16,0),0)</f>
        <v>0</v>
      </c>
      <c r="U240" s="151" t="str">
        <f aca="false">IF(ISNUMBER(B240),B240*(1-1/'13_Mapa_Liq'!$B$17+'13_Mapa_Liq'!$B$6),"")</f>
        <v/>
      </c>
      <c r="V240" s="151" t="n">
        <f aca="false">IF(ISNUMBER(B240),IF(K240&gt;U240,I240*'13_Mapa_Liq'!$C$17,0),0)</f>
        <v>0</v>
      </c>
      <c r="W240" s="151" t="str">
        <f aca="false">IF(ISNUMBER(B240),B240*(1+1/'13_Mapa_Liq'!$B$17-'13_Mapa_Liq'!$B$6),"")</f>
        <v/>
      </c>
      <c r="X240" s="151" t="n">
        <f aca="false">IF(ISNUMBER(B240),IF(L240&lt;W240,J240*'13_Mapa_Liq'!$C$17,0),0)</f>
        <v>0</v>
      </c>
      <c r="Y240" s="151" t="str">
        <f aca="false">IF(ISNUMBER(B240),B240*(1-1/'13_Mapa_Liq'!$B$18+'13_Mapa_Liq'!$B$6),"")</f>
        <v/>
      </c>
      <c r="Z240" s="151" t="n">
        <f aca="false">IF(ISNUMBER(B240),IF(K240&gt;Y240,I240*'13_Mapa_Liq'!$C$18,0),0)</f>
        <v>0</v>
      </c>
      <c r="AA240" s="151" t="str">
        <f aca="false">IF(ISNUMBER(B240),B240*(1+1/'13_Mapa_Liq'!$B$18-'13_Mapa_Liq'!$B$6),"")</f>
        <v/>
      </c>
      <c r="AB240" s="151" t="n">
        <f aca="false">IF(ISNUMBER(B240),IF(L240&lt;AA240,J240*'13_Mapa_Liq'!$C$18,0),0)</f>
        <v>0</v>
      </c>
      <c r="AC240" s="151" t="str">
        <f aca="false">IF(ISNUMBER(B240),B240*(1-1/'13_Mapa_Liq'!$B$19+'13_Mapa_Liq'!$B$6),"")</f>
        <v/>
      </c>
      <c r="AD240" s="151" t="n">
        <f aca="false">IF(ISNUMBER(B240),IF(K240&gt;AC240,I240*'13_Mapa_Liq'!$C$19,0),0)</f>
        <v>0</v>
      </c>
      <c r="AE240" s="151" t="str">
        <f aca="false">IF(ISNUMBER(B240),B240*(1+1/'13_Mapa_Liq'!$B$19-'13_Mapa_Liq'!$B$6),"")</f>
        <v/>
      </c>
      <c r="AF240" s="151" t="n">
        <f aca="false">IF(ISNUMBER(B240),IF(L240&lt;AE240,J240*'13_Mapa_Liq'!$C$19,0),0)</f>
        <v>0</v>
      </c>
      <c r="AG240" s="151"/>
      <c r="AH240" s="151" t="n">
        <f aca="false">IF(ISNUMBER(B240),E240*F240*((K240&lt;=M240)*'13_Mapa_Liq'!$C$15+(K240&lt;=Q240)*'13_Mapa_Liq'!$C$16+(K240&lt;=U240)*'13_Mapa_Liq'!$C$17+(K240&lt;=Y240)*'13_Mapa_Liq'!$C$18+(K240&lt;=AC240)*'13_Mapa_Liq'!$C$19),0)</f>
        <v>0</v>
      </c>
      <c r="AI240" s="151" t="n">
        <f aca="false">IF(ISNUMBER(B240),E240*(1-F240)*((L240&gt;=O240)*'13_Mapa_Liq'!$C$15+(L240&gt;=S240)*'13_Mapa_Liq'!$C$16+(L240&gt;=W240)*'13_Mapa_Liq'!$C$17+(L240&gt;=AA240)*'13_Mapa_Liq'!$C$18+(L240&gt;=AE240)*'13_Mapa_Liq'!$C$19),0)</f>
        <v>0</v>
      </c>
    </row>
    <row r="241" customFormat="false" ht="15" hidden="false" customHeight="false" outlineLevel="0" collapsed="false">
      <c r="A241" s="151" t="str">
        <f aca="false">IF(ISNUMBER('12_Datos_5m'!F241),ROW()-4,"")</f>
        <v/>
      </c>
      <c r="B241" s="151" t="str">
        <f aca="false">IF(ISNUMBER('12_Datos_5m'!F241),'12_Datos_5m'!F241,"")</f>
        <v/>
      </c>
      <c r="C241" s="151" t="str">
        <f aca="false">IF(ISNUMBER('12_Datos_5m'!A241),'12_Datos_5m'!A241,"")</f>
        <v/>
      </c>
      <c r="D241" s="151" t="n">
        <f aca="false">IF(AND(ISNUMBER('12_Datos_5m'!I241),ISNUMBER('12_Datos_5m'!I240)),'12_Datos_5m'!I241-'12_Datos_5m'!I240,0)</f>
        <v>0</v>
      </c>
      <c r="E241" s="151" t="n">
        <f aca="false">MAX(0,D241)</f>
        <v>0</v>
      </c>
      <c r="F241" s="151" t="n">
        <f aca="false">IF(AND(ISNUMBER('12_Datos_5m'!G241),N('12_Datos_5m'!G241)&gt;0),'12_Datos_5m'!H241/'12_Datos_5m'!G241,0.5)</f>
        <v>0.5</v>
      </c>
      <c r="G241" s="151" t="n">
        <f aca="false">IF(ISNUMBER(C241),($C$2-C241)/3600000,0)</f>
        <v>0</v>
      </c>
      <c r="H241" s="151" t="n">
        <f aca="false">EXP(-G241/'13_Mapa_Liq'!$B$7)</f>
        <v>1</v>
      </c>
      <c r="I241" s="151" t="n">
        <f aca="false">E241*F241*H241</f>
        <v>0</v>
      </c>
      <c r="J241" s="151" t="n">
        <f aca="false">E241*(1-F241)*H241</f>
        <v>0</v>
      </c>
      <c r="K241" s="151" t="n">
        <f aca="false">IF(COUNT('12_Datos_5m'!E242:E$504)=0,1000000000000,MIN('12_Datos_5m'!E242:E$504))</f>
        <v>1000000000000</v>
      </c>
      <c r="L241" s="151" t="n">
        <f aca="false">IF(COUNT('12_Datos_5m'!D242:D$504)=0,0,MAX('12_Datos_5m'!D242:D$504))</f>
        <v>0</v>
      </c>
      <c r="M241" s="151" t="str">
        <f aca="false">IF(ISNUMBER(B241),B241*(1-1/'13_Mapa_Liq'!$B$15+'13_Mapa_Liq'!$B$6),"")</f>
        <v/>
      </c>
      <c r="N241" s="151" t="n">
        <f aca="false">IF(ISNUMBER(B241),IF(K241&gt;M241,I241*'13_Mapa_Liq'!$C$15,0),0)</f>
        <v>0</v>
      </c>
      <c r="O241" s="151" t="str">
        <f aca="false">IF(ISNUMBER(B241),B241*(1+1/'13_Mapa_Liq'!$B$15-'13_Mapa_Liq'!$B$6),"")</f>
        <v/>
      </c>
      <c r="P241" s="151" t="n">
        <f aca="false">IF(ISNUMBER(B241),IF(L241&lt;O241,J241*'13_Mapa_Liq'!$C$15,0),0)</f>
        <v>0</v>
      </c>
      <c r="Q241" s="151" t="str">
        <f aca="false">IF(ISNUMBER(B241),B241*(1-1/'13_Mapa_Liq'!$B$16+'13_Mapa_Liq'!$B$6),"")</f>
        <v/>
      </c>
      <c r="R241" s="151" t="n">
        <f aca="false">IF(ISNUMBER(B241),IF(K241&gt;Q241,I241*'13_Mapa_Liq'!$C$16,0),0)</f>
        <v>0</v>
      </c>
      <c r="S241" s="151" t="str">
        <f aca="false">IF(ISNUMBER(B241),B241*(1+1/'13_Mapa_Liq'!$B$16-'13_Mapa_Liq'!$B$6),"")</f>
        <v/>
      </c>
      <c r="T241" s="151" t="n">
        <f aca="false">IF(ISNUMBER(B241),IF(L241&lt;S241,J241*'13_Mapa_Liq'!$C$16,0),0)</f>
        <v>0</v>
      </c>
      <c r="U241" s="151" t="str">
        <f aca="false">IF(ISNUMBER(B241),B241*(1-1/'13_Mapa_Liq'!$B$17+'13_Mapa_Liq'!$B$6),"")</f>
        <v/>
      </c>
      <c r="V241" s="151" t="n">
        <f aca="false">IF(ISNUMBER(B241),IF(K241&gt;U241,I241*'13_Mapa_Liq'!$C$17,0),0)</f>
        <v>0</v>
      </c>
      <c r="W241" s="151" t="str">
        <f aca="false">IF(ISNUMBER(B241),B241*(1+1/'13_Mapa_Liq'!$B$17-'13_Mapa_Liq'!$B$6),"")</f>
        <v/>
      </c>
      <c r="X241" s="151" t="n">
        <f aca="false">IF(ISNUMBER(B241),IF(L241&lt;W241,J241*'13_Mapa_Liq'!$C$17,0),0)</f>
        <v>0</v>
      </c>
      <c r="Y241" s="151" t="str">
        <f aca="false">IF(ISNUMBER(B241),B241*(1-1/'13_Mapa_Liq'!$B$18+'13_Mapa_Liq'!$B$6),"")</f>
        <v/>
      </c>
      <c r="Z241" s="151" t="n">
        <f aca="false">IF(ISNUMBER(B241),IF(K241&gt;Y241,I241*'13_Mapa_Liq'!$C$18,0),0)</f>
        <v>0</v>
      </c>
      <c r="AA241" s="151" t="str">
        <f aca="false">IF(ISNUMBER(B241),B241*(1+1/'13_Mapa_Liq'!$B$18-'13_Mapa_Liq'!$B$6),"")</f>
        <v/>
      </c>
      <c r="AB241" s="151" t="n">
        <f aca="false">IF(ISNUMBER(B241),IF(L241&lt;AA241,J241*'13_Mapa_Liq'!$C$18,0),0)</f>
        <v>0</v>
      </c>
      <c r="AC241" s="151" t="str">
        <f aca="false">IF(ISNUMBER(B241),B241*(1-1/'13_Mapa_Liq'!$B$19+'13_Mapa_Liq'!$B$6),"")</f>
        <v/>
      </c>
      <c r="AD241" s="151" t="n">
        <f aca="false">IF(ISNUMBER(B241),IF(K241&gt;AC241,I241*'13_Mapa_Liq'!$C$19,0),0)</f>
        <v>0</v>
      </c>
      <c r="AE241" s="151" t="str">
        <f aca="false">IF(ISNUMBER(B241),B241*(1+1/'13_Mapa_Liq'!$B$19-'13_Mapa_Liq'!$B$6),"")</f>
        <v/>
      </c>
      <c r="AF241" s="151" t="n">
        <f aca="false">IF(ISNUMBER(B241),IF(L241&lt;AE241,J241*'13_Mapa_Liq'!$C$19,0),0)</f>
        <v>0</v>
      </c>
      <c r="AG241" s="151"/>
      <c r="AH241" s="151" t="n">
        <f aca="false">IF(ISNUMBER(B241),E241*F241*((K241&lt;=M241)*'13_Mapa_Liq'!$C$15+(K241&lt;=Q241)*'13_Mapa_Liq'!$C$16+(K241&lt;=U241)*'13_Mapa_Liq'!$C$17+(K241&lt;=Y241)*'13_Mapa_Liq'!$C$18+(K241&lt;=AC241)*'13_Mapa_Liq'!$C$19),0)</f>
        <v>0</v>
      </c>
      <c r="AI241" s="151" t="n">
        <f aca="false">IF(ISNUMBER(B241),E241*(1-F241)*((L241&gt;=O241)*'13_Mapa_Liq'!$C$15+(L241&gt;=S241)*'13_Mapa_Liq'!$C$16+(L241&gt;=W241)*'13_Mapa_Liq'!$C$17+(L241&gt;=AA241)*'13_Mapa_Liq'!$C$18+(L241&gt;=AE241)*'13_Mapa_Liq'!$C$19),0)</f>
        <v>0</v>
      </c>
    </row>
    <row r="242" customFormat="false" ht="15" hidden="false" customHeight="false" outlineLevel="0" collapsed="false">
      <c r="A242" s="151" t="str">
        <f aca="false">IF(ISNUMBER('12_Datos_5m'!F242),ROW()-4,"")</f>
        <v/>
      </c>
      <c r="B242" s="151" t="str">
        <f aca="false">IF(ISNUMBER('12_Datos_5m'!F242),'12_Datos_5m'!F242,"")</f>
        <v/>
      </c>
      <c r="C242" s="151" t="str">
        <f aca="false">IF(ISNUMBER('12_Datos_5m'!A242),'12_Datos_5m'!A242,"")</f>
        <v/>
      </c>
      <c r="D242" s="151" t="n">
        <f aca="false">IF(AND(ISNUMBER('12_Datos_5m'!I242),ISNUMBER('12_Datos_5m'!I241)),'12_Datos_5m'!I242-'12_Datos_5m'!I241,0)</f>
        <v>0</v>
      </c>
      <c r="E242" s="151" t="n">
        <f aca="false">MAX(0,D242)</f>
        <v>0</v>
      </c>
      <c r="F242" s="151" t="n">
        <f aca="false">IF(AND(ISNUMBER('12_Datos_5m'!G242),N('12_Datos_5m'!G242)&gt;0),'12_Datos_5m'!H242/'12_Datos_5m'!G242,0.5)</f>
        <v>0.5</v>
      </c>
      <c r="G242" s="151" t="n">
        <f aca="false">IF(ISNUMBER(C242),($C$2-C242)/3600000,0)</f>
        <v>0</v>
      </c>
      <c r="H242" s="151" t="n">
        <f aca="false">EXP(-G242/'13_Mapa_Liq'!$B$7)</f>
        <v>1</v>
      </c>
      <c r="I242" s="151" t="n">
        <f aca="false">E242*F242*H242</f>
        <v>0</v>
      </c>
      <c r="J242" s="151" t="n">
        <f aca="false">E242*(1-F242)*H242</f>
        <v>0</v>
      </c>
      <c r="K242" s="151" t="n">
        <f aca="false">IF(COUNT('12_Datos_5m'!E243:E$504)=0,1000000000000,MIN('12_Datos_5m'!E243:E$504))</f>
        <v>1000000000000</v>
      </c>
      <c r="L242" s="151" t="n">
        <f aca="false">IF(COUNT('12_Datos_5m'!D243:D$504)=0,0,MAX('12_Datos_5m'!D243:D$504))</f>
        <v>0</v>
      </c>
      <c r="M242" s="151" t="str">
        <f aca="false">IF(ISNUMBER(B242),B242*(1-1/'13_Mapa_Liq'!$B$15+'13_Mapa_Liq'!$B$6),"")</f>
        <v/>
      </c>
      <c r="N242" s="151" t="n">
        <f aca="false">IF(ISNUMBER(B242),IF(K242&gt;M242,I242*'13_Mapa_Liq'!$C$15,0),0)</f>
        <v>0</v>
      </c>
      <c r="O242" s="151" t="str">
        <f aca="false">IF(ISNUMBER(B242),B242*(1+1/'13_Mapa_Liq'!$B$15-'13_Mapa_Liq'!$B$6),"")</f>
        <v/>
      </c>
      <c r="P242" s="151" t="n">
        <f aca="false">IF(ISNUMBER(B242),IF(L242&lt;O242,J242*'13_Mapa_Liq'!$C$15,0),0)</f>
        <v>0</v>
      </c>
      <c r="Q242" s="151" t="str">
        <f aca="false">IF(ISNUMBER(B242),B242*(1-1/'13_Mapa_Liq'!$B$16+'13_Mapa_Liq'!$B$6),"")</f>
        <v/>
      </c>
      <c r="R242" s="151" t="n">
        <f aca="false">IF(ISNUMBER(B242),IF(K242&gt;Q242,I242*'13_Mapa_Liq'!$C$16,0),0)</f>
        <v>0</v>
      </c>
      <c r="S242" s="151" t="str">
        <f aca="false">IF(ISNUMBER(B242),B242*(1+1/'13_Mapa_Liq'!$B$16-'13_Mapa_Liq'!$B$6),"")</f>
        <v/>
      </c>
      <c r="T242" s="151" t="n">
        <f aca="false">IF(ISNUMBER(B242),IF(L242&lt;S242,J242*'13_Mapa_Liq'!$C$16,0),0)</f>
        <v>0</v>
      </c>
      <c r="U242" s="151" t="str">
        <f aca="false">IF(ISNUMBER(B242),B242*(1-1/'13_Mapa_Liq'!$B$17+'13_Mapa_Liq'!$B$6),"")</f>
        <v/>
      </c>
      <c r="V242" s="151" t="n">
        <f aca="false">IF(ISNUMBER(B242),IF(K242&gt;U242,I242*'13_Mapa_Liq'!$C$17,0),0)</f>
        <v>0</v>
      </c>
      <c r="W242" s="151" t="str">
        <f aca="false">IF(ISNUMBER(B242),B242*(1+1/'13_Mapa_Liq'!$B$17-'13_Mapa_Liq'!$B$6),"")</f>
        <v/>
      </c>
      <c r="X242" s="151" t="n">
        <f aca="false">IF(ISNUMBER(B242),IF(L242&lt;W242,J242*'13_Mapa_Liq'!$C$17,0),0)</f>
        <v>0</v>
      </c>
      <c r="Y242" s="151" t="str">
        <f aca="false">IF(ISNUMBER(B242),B242*(1-1/'13_Mapa_Liq'!$B$18+'13_Mapa_Liq'!$B$6),"")</f>
        <v/>
      </c>
      <c r="Z242" s="151" t="n">
        <f aca="false">IF(ISNUMBER(B242),IF(K242&gt;Y242,I242*'13_Mapa_Liq'!$C$18,0),0)</f>
        <v>0</v>
      </c>
      <c r="AA242" s="151" t="str">
        <f aca="false">IF(ISNUMBER(B242),B242*(1+1/'13_Mapa_Liq'!$B$18-'13_Mapa_Liq'!$B$6),"")</f>
        <v/>
      </c>
      <c r="AB242" s="151" t="n">
        <f aca="false">IF(ISNUMBER(B242),IF(L242&lt;AA242,J242*'13_Mapa_Liq'!$C$18,0),0)</f>
        <v>0</v>
      </c>
      <c r="AC242" s="151" t="str">
        <f aca="false">IF(ISNUMBER(B242),B242*(1-1/'13_Mapa_Liq'!$B$19+'13_Mapa_Liq'!$B$6),"")</f>
        <v/>
      </c>
      <c r="AD242" s="151" t="n">
        <f aca="false">IF(ISNUMBER(B242),IF(K242&gt;AC242,I242*'13_Mapa_Liq'!$C$19,0),0)</f>
        <v>0</v>
      </c>
      <c r="AE242" s="151" t="str">
        <f aca="false">IF(ISNUMBER(B242),B242*(1+1/'13_Mapa_Liq'!$B$19-'13_Mapa_Liq'!$B$6),"")</f>
        <v/>
      </c>
      <c r="AF242" s="151" t="n">
        <f aca="false">IF(ISNUMBER(B242),IF(L242&lt;AE242,J242*'13_Mapa_Liq'!$C$19,0),0)</f>
        <v>0</v>
      </c>
      <c r="AG242" s="151"/>
      <c r="AH242" s="151" t="n">
        <f aca="false">IF(ISNUMBER(B242),E242*F242*((K242&lt;=M242)*'13_Mapa_Liq'!$C$15+(K242&lt;=Q242)*'13_Mapa_Liq'!$C$16+(K242&lt;=U242)*'13_Mapa_Liq'!$C$17+(K242&lt;=Y242)*'13_Mapa_Liq'!$C$18+(K242&lt;=AC242)*'13_Mapa_Liq'!$C$19),0)</f>
        <v>0</v>
      </c>
      <c r="AI242" s="151" t="n">
        <f aca="false">IF(ISNUMBER(B242),E242*(1-F242)*((L242&gt;=O242)*'13_Mapa_Liq'!$C$15+(L242&gt;=S242)*'13_Mapa_Liq'!$C$16+(L242&gt;=W242)*'13_Mapa_Liq'!$C$17+(L242&gt;=AA242)*'13_Mapa_Liq'!$C$18+(L242&gt;=AE242)*'13_Mapa_Liq'!$C$19),0)</f>
        <v>0</v>
      </c>
    </row>
    <row r="243" customFormat="false" ht="15" hidden="false" customHeight="false" outlineLevel="0" collapsed="false">
      <c r="A243" s="151" t="str">
        <f aca="false">IF(ISNUMBER('12_Datos_5m'!F243),ROW()-4,"")</f>
        <v/>
      </c>
      <c r="B243" s="151" t="str">
        <f aca="false">IF(ISNUMBER('12_Datos_5m'!F243),'12_Datos_5m'!F243,"")</f>
        <v/>
      </c>
      <c r="C243" s="151" t="str">
        <f aca="false">IF(ISNUMBER('12_Datos_5m'!A243),'12_Datos_5m'!A243,"")</f>
        <v/>
      </c>
      <c r="D243" s="151" t="n">
        <f aca="false">IF(AND(ISNUMBER('12_Datos_5m'!I243),ISNUMBER('12_Datos_5m'!I242)),'12_Datos_5m'!I243-'12_Datos_5m'!I242,0)</f>
        <v>0</v>
      </c>
      <c r="E243" s="151" t="n">
        <f aca="false">MAX(0,D243)</f>
        <v>0</v>
      </c>
      <c r="F243" s="151" t="n">
        <f aca="false">IF(AND(ISNUMBER('12_Datos_5m'!G243),N('12_Datos_5m'!G243)&gt;0),'12_Datos_5m'!H243/'12_Datos_5m'!G243,0.5)</f>
        <v>0.5</v>
      </c>
      <c r="G243" s="151" t="n">
        <f aca="false">IF(ISNUMBER(C243),($C$2-C243)/3600000,0)</f>
        <v>0</v>
      </c>
      <c r="H243" s="151" t="n">
        <f aca="false">EXP(-G243/'13_Mapa_Liq'!$B$7)</f>
        <v>1</v>
      </c>
      <c r="I243" s="151" t="n">
        <f aca="false">E243*F243*H243</f>
        <v>0</v>
      </c>
      <c r="J243" s="151" t="n">
        <f aca="false">E243*(1-F243)*H243</f>
        <v>0</v>
      </c>
      <c r="K243" s="151" t="n">
        <f aca="false">IF(COUNT('12_Datos_5m'!E244:E$504)=0,1000000000000,MIN('12_Datos_5m'!E244:E$504))</f>
        <v>1000000000000</v>
      </c>
      <c r="L243" s="151" t="n">
        <f aca="false">IF(COUNT('12_Datos_5m'!D244:D$504)=0,0,MAX('12_Datos_5m'!D244:D$504))</f>
        <v>0</v>
      </c>
      <c r="M243" s="151" t="str">
        <f aca="false">IF(ISNUMBER(B243),B243*(1-1/'13_Mapa_Liq'!$B$15+'13_Mapa_Liq'!$B$6),"")</f>
        <v/>
      </c>
      <c r="N243" s="151" t="n">
        <f aca="false">IF(ISNUMBER(B243),IF(K243&gt;M243,I243*'13_Mapa_Liq'!$C$15,0),0)</f>
        <v>0</v>
      </c>
      <c r="O243" s="151" t="str">
        <f aca="false">IF(ISNUMBER(B243),B243*(1+1/'13_Mapa_Liq'!$B$15-'13_Mapa_Liq'!$B$6),"")</f>
        <v/>
      </c>
      <c r="P243" s="151" t="n">
        <f aca="false">IF(ISNUMBER(B243),IF(L243&lt;O243,J243*'13_Mapa_Liq'!$C$15,0),0)</f>
        <v>0</v>
      </c>
      <c r="Q243" s="151" t="str">
        <f aca="false">IF(ISNUMBER(B243),B243*(1-1/'13_Mapa_Liq'!$B$16+'13_Mapa_Liq'!$B$6),"")</f>
        <v/>
      </c>
      <c r="R243" s="151" t="n">
        <f aca="false">IF(ISNUMBER(B243),IF(K243&gt;Q243,I243*'13_Mapa_Liq'!$C$16,0),0)</f>
        <v>0</v>
      </c>
      <c r="S243" s="151" t="str">
        <f aca="false">IF(ISNUMBER(B243),B243*(1+1/'13_Mapa_Liq'!$B$16-'13_Mapa_Liq'!$B$6),"")</f>
        <v/>
      </c>
      <c r="T243" s="151" t="n">
        <f aca="false">IF(ISNUMBER(B243),IF(L243&lt;S243,J243*'13_Mapa_Liq'!$C$16,0),0)</f>
        <v>0</v>
      </c>
      <c r="U243" s="151" t="str">
        <f aca="false">IF(ISNUMBER(B243),B243*(1-1/'13_Mapa_Liq'!$B$17+'13_Mapa_Liq'!$B$6),"")</f>
        <v/>
      </c>
      <c r="V243" s="151" t="n">
        <f aca="false">IF(ISNUMBER(B243),IF(K243&gt;U243,I243*'13_Mapa_Liq'!$C$17,0),0)</f>
        <v>0</v>
      </c>
      <c r="W243" s="151" t="str">
        <f aca="false">IF(ISNUMBER(B243),B243*(1+1/'13_Mapa_Liq'!$B$17-'13_Mapa_Liq'!$B$6),"")</f>
        <v/>
      </c>
      <c r="X243" s="151" t="n">
        <f aca="false">IF(ISNUMBER(B243),IF(L243&lt;W243,J243*'13_Mapa_Liq'!$C$17,0),0)</f>
        <v>0</v>
      </c>
      <c r="Y243" s="151" t="str">
        <f aca="false">IF(ISNUMBER(B243),B243*(1-1/'13_Mapa_Liq'!$B$18+'13_Mapa_Liq'!$B$6),"")</f>
        <v/>
      </c>
      <c r="Z243" s="151" t="n">
        <f aca="false">IF(ISNUMBER(B243),IF(K243&gt;Y243,I243*'13_Mapa_Liq'!$C$18,0),0)</f>
        <v>0</v>
      </c>
      <c r="AA243" s="151" t="str">
        <f aca="false">IF(ISNUMBER(B243),B243*(1+1/'13_Mapa_Liq'!$B$18-'13_Mapa_Liq'!$B$6),"")</f>
        <v/>
      </c>
      <c r="AB243" s="151" t="n">
        <f aca="false">IF(ISNUMBER(B243),IF(L243&lt;AA243,J243*'13_Mapa_Liq'!$C$18,0),0)</f>
        <v>0</v>
      </c>
      <c r="AC243" s="151" t="str">
        <f aca="false">IF(ISNUMBER(B243),B243*(1-1/'13_Mapa_Liq'!$B$19+'13_Mapa_Liq'!$B$6),"")</f>
        <v/>
      </c>
      <c r="AD243" s="151" t="n">
        <f aca="false">IF(ISNUMBER(B243),IF(K243&gt;AC243,I243*'13_Mapa_Liq'!$C$19,0),0)</f>
        <v>0</v>
      </c>
      <c r="AE243" s="151" t="str">
        <f aca="false">IF(ISNUMBER(B243),B243*(1+1/'13_Mapa_Liq'!$B$19-'13_Mapa_Liq'!$B$6),"")</f>
        <v/>
      </c>
      <c r="AF243" s="151" t="n">
        <f aca="false">IF(ISNUMBER(B243),IF(L243&lt;AE243,J243*'13_Mapa_Liq'!$C$19,0),0)</f>
        <v>0</v>
      </c>
      <c r="AG243" s="151"/>
      <c r="AH243" s="151" t="n">
        <f aca="false">IF(ISNUMBER(B243),E243*F243*((K243&lt;=M243)*'13_Mapa_Liq'!$C$15+(K243&lt;=Q243)*'13_Mapa_Liq'!$C$16+(K243&lt;=U243)*'13_Mapa_Liq'!$C$17+(K243&lt;=Y243)*'13_Mapa_Liq'!$C$18+(K243&lt;=AC243)*'13_Mapa_Liq'!$C$19),0)</f>
        <v>0</v>
      </c>
      <c r="AI243" s="151" t="n">
        <f aca="false">IF(ISNUMBER(B243),E243*(1-F243)*((L243&gt;=O243)*'13_Mapa_Liq'!$C$15+(L243&gt;=S243)*'13_Mapa_Liq'!$C$16+(L243&gt;=W243)*'13_Mapa_Liq'!$C$17+(L243&gt;=AA243)*'13_Mapa_Liq'!$C$18+(L243&gt;=AE243)*'13_Mapa_Liq'!$C$19),0)</f>
        <v>0</v>
      </c>
    </row>
    <row r="244" customFormat="false" ht="15" hidden="false" customHeight="false" outlineLevel="0" collapsed="false">
      <c r="A244" s="151" t="str">
        <f aca="false">IF(ISNUMBER('12_Datos_5m'!F244),ROW()-4,"")</f>
        <v/>
      </c>
      <c r="B244" s="151" t="str">
        <f aca="false">IF(ISNUMBER('12_Datos_5m'!F244),'12_Datos_5m'!F244,"")</f>
        <v/>
      </c>
      <c r="C244" s="151" t="str">
        <f aca="false">IF(ISNUMBER('12_Datos_5m'!A244),'12_Datos_5m'!A244,"")</f>
        <v/>
      </c>
      <c r="D244" s="151" t="n">
        <f aca="false">IF(AND(ISNUMBER('12_Datos_5m'!I244),ISNUMBER('12_Datos_5m'!I243)),'12_Datos_5m'!I244-'12_Datos_5m'!I243,0)</f>
        <v>0</v>
      </c>
      <c r="E244" s="151" t="n">
        <f aca="false">MAX(0,D244)</f>
        <v>0</v>
      </c>
      <c r="F244" s="151" t="n">
        <f aca="false">IF(AND(ISNUMBER('12_Datos_5m'!G244),N('12_Datos_5m'!G244)&gt;0),'12_Datos_5m'!H244/'12_Datos_5m'!G244,0.5)</f>
        <v>0.5</v>
      </c>
      <c r="G244" s="151" t="n">
        <f aca="false">IF(ISNUMBER(C244),($C$2-C244)/3600000,0)</f>
        <v>0</v>
      </c>
      <c r="H244" s="151" t="n">
        <f aca="false">EXP(-G244/'13_Mapa_Liq'!$B$7)</f>
        <v>1</v>
      </c>
      <c r="I244" s="151" t="n">
        <f aca="false">E244*F244*H244</f>
        <v>0</v>
      </c>
      <c r="J244" s="151" t="n">
        <f aca="false">E244*(1-F244)*H244</f>
        <v>0</v>
      </c>
      <c r="K244" s="151" t="n">
        <f aca="false">IF(COUNT('12_Datos_5m'!E245:E$504)=0,1000000000000,MIN('12_Datos_5m'!E245:E$504))</f>
        <v>1000000000000</v>
      </c>
      <c r="L244" s="151" t="n">
        <f aca="false">IF(COUNT('12_Datos_5m'!D245:D$504)=0,0,MAX('12_Datos_5m'!D245:D$504))</f>
        <v>0</v>
      </c>
      <c r="M244" s="151" t="str">
        <f aca="false">IF(ISNUMBER(B244),B244*(1-1/'13_Mapa_Liq'!$B$15+'13_Mapa_Liq'!$B$6),"")</f>
        <v/>
      </c>
      <c r="N244" s="151" t="n">
        <f aca="false">IF(ISNUMBER(B244),IF(K244&gt;M244,I244*'13_Mapa_Liq'!$C$15,0),0)</f>
        <v>0</v>
      </c>
      <c r="O244" s="151" t="str">
        <f aca="false">IF(ISNUMBER(B244),B244*(1+1/'13_Mapa_Liq'!$B$15-'13_Mapa_Liq'!$B$6),"")</f>
        <v/>
      </c>
      <c r="P244" s="151" t="n">
        <f aca="false">IF(ISNUMBER(B244),IF(L244&lt;O244,J244*'13_Mapa_Liq'!$C$15,0),0)</f>
        <v>0</v>
      </c>
      <c r="Q244" s="151" t="str">
        <f aca="false">IF(ISNUMBER(B244),B244*(1-1/'13_Mapa_Liq'!$B$16+'13_Mapa_Liq'!$B$6),"")</f>
        <v/>
      </c>
      <c r="R244" s="151" t="n">
        <f aca="false">IF(ISNUMBER(B244),IF(K244&gt;Q244,I244*'13_Mapa_Liq'!$C$16,0),0)</f>
        <v>0</v>
      </c>
      <c r="S244" s="151" t="str">
        <f aca="false">IF(ISNUMBER(B244),B244*(1+1/'13_Mapa_Liq'!$B$16-'13_Mapa_Liq'!$B$6),"")</f>
        <v/>
      </c>
      <c r="T244" s="151" t="n">
        <f aca="false">IF(ISNUMBER(B244),IF(L244&lt;S244,J244*'13_Mapa_Liq'!$C$16,0),0)</f>
        <v>0</v>
      </c>
      <c r="U244" s="151" t="str">
        <f aca="false">IF(ISNUMBER(B244),B244*(1-1/'13_Mapa_Liq'!$B$17+'13_Mapa_Liq'!$B$6),"")</f>
        <v/>
      </c>
      <c r="V244" s="151" t="n">
        <f aca="false">IF(ISNUMBER(B244),IF(K244&gt;U244,I244*'13_Mapa_Liq'!$C$17,0),0)</f>
        <v>0</v>
      </c>
      <c r="W244" s="151" t="str">
        <f aca="false">IF(ISNUMBER(B244),B244*(1+1/'13_Mapa_Liq'!$B$17-'13_Mapa_Liq'!$B$6),"")</f>
        <v/>
      </c>
      <c r="X244" s="151" t="n">
        <f aca="false">IF(ISNUMBER(B244),IF(L244&lt;W244,J244*'13_Mapa_Liq'!$C$17,0),0)</f>
        <v>0</v>
      </c>
      <c r="Y244" s="151" t="str">
        <f aca="false">IF(ISNUMBER(B244),B244*(1-1/'13_Mapa_Liq'!$B$18+'13_Mapa_Liq'!$B$6),"")</f>
        <v/>
      </c>
      <c r="Z244" s="151" t="n">
        <f aca="false">IF(ISNUMBER(B244),IF(K244&gt;Y244,I244*'13_Mapa_Liq'!$C$18,0),0)</f>
        <v>0</v>
      </c>
      <c r="AA244" s="151" t="str">
        <f aca="false">IF(ISNUMBER(B244),B244*(1+1/'13_Mapa_Liq'!$B$18-'13_Mapa_Liq'!$B$6),"")</f>
        <v/>
      </c>
      <c r="AB244" s="151" t="n">
        <f aca="false">IF(ISNUMBER(B244),IF(L244&lt;AA244,J244*'13_Mapa_Liq'!$C$18,0),0)</f>
        <v>0</v>
      </c>
      <c r="AC244" s="151" t="str">
        <f aca="false">IF(ISNUMBER(B244),B244*(1-1/'13_Mapa_Liq'!$B$19+'13_Mapa_Liq'!$B$6),"")</f>
        <v/>
      </c>
      <c r="AD244" s="151" t="n">
        <f aca="false">IF(ISNUMBER(B244),IF(K244&gt;AC244,I244*'13_Mapa_Liq'!$C$19,0),0)</f>
        <v>0</v>
      </c>
      <c r="AE244" s="151" t="str">
        <f aca="false">IF(ISNUMBER(B244),B244*(1+1/'13_Mapa_Liq'!$B$19-'13_Mapa_Liq'!$B$6),"")</f>
        <v/>
      </c>
      <c r="AF244" s="151" t="n">
        <f aca="false">IF(ISNUMBER(B244),IF(L244&lt;AE244,J244*'13_Mapa_Liq'!$C$19,0),0)</f>
        <v>0</v>
      </c>
      <c r="AG244" s="151"/>
      <c r="AH244" s="151" t="n">
        <f aca="false">IF(ISNUMBER(B244),E244*F244*((K244&lt;=M244)*'13_Mapa_Liq'!$C$15+(K244&lt;=Q244)*'13_Mapa_Liq'!$C$16+(K244&lt;=U244)*'13_Mapa_Liq'!$C$17+(K244&lt;=Y244)*'13_Mapa_Liq'!$C$18+(K244&lt;=AC244)*'13_Mapa_Liq'!$C$19),0)</f>
        <v>0</v>
      </c>
      <c r="AI244" s="151" t="n">
        <f aca="false">IF(ISNUMBER(B244),E244*(1-F244)*((L244&gt;=O244)*'13_Mapa_Liq'!$C$15+(L244&gt;=S244)*'13_Mapa_Liq'!$C$16+(L244&gt;=W244)*'13_Mapa_Liq'!$C$17+(L244&gt;=AA244)*'13_Mapa_Liq'!$C$18+(L244&gt;=AE244)*'13_Mapa_Liq'!$C$19),0)</f>
        <v>0</v>
      </c>
    </row>
    <row r="245" customFormat="false" ht="15" hidden="false" customHeight="false" outlineLevel="0" collapsed="false">
      <c r="A245" s="151" t="str">
        <f aca="false">IF(ISNUMBER('12_Datos_5m'!F245),ROW()-4,"")</f>
        <v/>
      </c>
      <c r="B245" s="151" t="str">
        <f aca="false">IF(ISNUMBER('12_Datos_5m'!F245),'12_Datos_5m'!F245,"")</f>
        <v/>
      </c>
      <c r="C245" s="151" t="str">
        <f aca="false">IF(ISNUMBER('12_Datos_5m'!A245),'12_Datos_5m'!A245,"")</f>
        <v/>
      </c>
      <c r="D245" s="151" t="n">
        <f aca="false">IF(AND(ISNUMBER('12_Datos_5m'!I245),ISNUMBER('12_Datos_5m'!I244)),'12_Datos_5m'!I245-'12_Datos_5m'!I244,0)</f>
        <v>0</v>
      </c>
      <c r="E245" s="151" t="n">
        <f aca="false">MAX(0,D245)</f>
        <v>0</v>
      </c>
      <c r="F245" s="151" t="n">
        <f aca="false">IF(AND(ISNUMBER('12_Datos_5m'!G245),N('12_Datos_5m'!G245)&gt;0),'12_Datos_5m'!H245/'12_Datos_5m'!G245,0.5)</f>
        <v>0.5</v>
      </c>
      <c r="G245" s="151" t="n">
        <f aca="false">IF(ISNUMBER(C245),($C$2-C245)/3600000,0)</f>
        <v>0</v>
      </c>
      <c r="H245" s="151" t="n">
        <f aca="false">EXP(-G245/'13_Mapa_Liq'!$B$7)</f>
        <v>1</v>
      </c>
      <c r="I245" s="151" t="n">
        <f aca="false">E245*F245*H245</f>
        <v>0</v>
      </c>
      <c r="J245" s="151" t="n">
        <f aca="false">E245*(1-F245)*H245</f>
        <v>0</v>
      </c>
      <c r="K245" s="151" t="n">
        <f aca="false">IF(COUNT('12_Datos_5m'!E246:E$504)=0,1000000000000,MIN('12_Datos_5m'!E246:E$504))</f>
        <v>1000000000000</v>
      </c>
      <c r="L245" s="151" t="n">
        <f aca="false">IF(COUNT('12_Datos_5m'!D246:D$504)=0,0,MAX('12_Datos_5m'!D246:D$504))</f>
        <v>0</v>
      </c>
      <c r="M245" s="151" t="str">
        <f aca="false">IF(ISNUMBER(B245),B245*(1-1/'13_Mapa_Liq'!$B$15+'13_Mapa_Liq'!$B$6),"")</f>
        <v/>
      </c>
      <c r="N245" s="151" t="n">
        <f aca="false">IF(ISNUMBER(B245),IF(K245&gt;M245,I245*'13_Mapa_Liq'!$C$15,0),0)</f>
        <v>0</v>
      </c>
      <c r="O245" s="151" t="str">
        <f aca="false">IF(ISNUMBER(B245),B245*(1+1/'13_Mapa_Liq'!$B$15-'13_Mapa_Liq'!$B$6),"")</f>
        <v/>
      </c>
      <c r="P245" s="151" t="n">
        <f aca="false">IF(ISNUMBER(B245),IF(L245&lt;O245,J245*'13_Mapa_Liq'!$C$15,0),0)</f>
        <v>0</v>
      </c>
      <c r="Q245" s="151" t="str">
        <f aca="false">IF(ISNUMBER(B245),B245*(1-1/'13_Mapa_Liq'!$B$16+'13_Mapa_Liq'!$B$6),"")</f>
        <v/>
      </c>
      <c r="R245" s="151" t="n">
        <f aca="false">IF(ISNUMBER(B245),IF(K245&gt;Q245,I245*'13_Mapa_Liq'!$C$16,0),0)</f>
        <v>0</v>
      </c>
      <c r="S245" s="151" t="str">
        <f aca="false">IF(ISNUMBER(B245),B245*(1+1/'13_Mapa_Liq'!$B$16-'13_Mapa_Liq'!$B$6),"")</f>
        <v/>
      </c>
      <c r="T245" s="151" t="n">
        <f aca="false">IF(ISNUMBER(B245),IF(L245&lt;S245,J245*'13_Mapa_Liq'!$C$16,0),0)</f>
        <v>0</v>
      </c>
      <c r="U245" s="151" t="str">
        <f aca="false">IF(ISNUMBER(B245),B245*(1-1/'13_Mapa_Liq'!$B$17+'13_Mapa_Liq'!$B$6),"")</f>
        <v/>
      </c>
      <c r="V245" s="151" t="n">
        <f aca="false">IF(ISNUMBER(B245),IF(K245&gt;U245,I245*'13_Mapa_Liq'!$C$17,0),0)</f>
        <v>0</v>
      </c>
      <c r="W245" s="151" t="str">
        <f aca="false">IF(ISNUMBER(B245),B245*(1+1/'13_Mapa_Liq'!$B$17-'13_Mapa_Liq'!$B$6),"")</f>
        <v/>
      </c>
      <c r="X245" s="151" t="n">
        <f aca="false">IF(ISNUMBER(B245),IF(L245&lt;W245,J245*'13_Mapa_Liq'!$C$17,0),0)</f>
        <v>0</v>
      </c>
      <c r="Y245" s="151" t="str">
        <f aca="false">IF(ISNUMBER(B245),B245*(1-1/'13_Mapa_Liq'!$B$18+'13_Mapa_Liq'!$B$6),"")</f>
        <v/>
      </c>
      <c r="Z245" s="151" t="n">
        <f aca="false">IF(ISNUMBER(B245),IF(K245&gt;Y245,I245*'13_Mapa_Liq'!$C$18,0),0)</f>
        <v>0</v>
      </c>
      <c r="AA245" s="151" t="str">
        <f aca="false">IF(ISNUMBER(B245),B245*(1+1/'13_Mapa_Liq'!$B$18-'13_Mapa_Liq'!$B$6),"")</f>
        <v/>
      </c>
      <c r="AB245" s="151" t="n">
        <f aca="false">IF(ISNUMBER(B245),IF(L245&lt;AA245,J245*'13_Mapa_Liq'!$C$18,0),0)</f>
        <v>0</v>
      </c>
      <c r="AC245" s="151" t="str">
        <f aca="false">IF(ISNUMBER(B245),B245*(1-1/'13_Mapa_Liq'!$B$19+'13_Mapa_Liq'!$B$6),"")</f>
        <v/>
      </c>
      <c r="AD245" s="151" t="n">
        <f aca="false">IF(ISNUMBER(B245),IF(K245&gt;AC245,I245*'13_Mapa_Liq'!$C$19,0),0)</f>
        <v>0</v>
      </c>
      <c r="AE245" s="151" t="str">
        <f aca="false">IF(ISNUMBER(B245),B245*(1+1/'13_Mapa_Liq'!$B$19-'13_Mapa_Liq'!$B$6),"")</f>
        <v/>
      </c>
      <c r="AF245" s="151" t="n">
        <f aca="false">IF(ISNUMBER(B245),IF(L245&lt;AE245,J245*'13_Mapa_Liq'!$C$19,0),0)</f>
        <v>0</v>
      </c>
      <c r="AG245" s="151"/>
      <c r="AH245" s="151" t="n">
        <f aca="false">IF(ISNUMBER(B245),E245*F245*((K245&lt;=M245)*'13_Mapa_Liq'!$C$15+(K245&lt;=Q245)*'13_Mapa_Liq'!$C$16+(K245&lt;=U245)*'13_Mapa_Liq'!$C$17+(K245&lt;=Y245)*'13_Mapa_Liq'!$C$18+(K245&lt;=AC245)*'13_Mapa_Liq'!$C$19),0)</f>
        <v>0</v>
      </c>
      <c r="AI245" s="151" t="n">
        <f aca="false">IF(ISNUMBER(B245),E245*(1-F245)*((L245&gt;=O245)*'13_Mapa_Liq'!$C$15+(L245&gt;=S245)*'13_Mapa_Liq'!$C$16+(L245&gt;=W245)*'13_Mapa_Liq'!$C$17+(L245&gt;=AA245)*'13_Mapa_Liq'!$C$18+(L245&gt;=AE245)*'13_Mapa_Liq'!$C$19),0)</f>
        <v>0</v>
      </c>
    </row>
    <row r="246" customFormat="false" ht="15" hidden="false" customHeight="false" outlineLevel="0" collapsed="false">
      <c r="A246" s="151" t="str">
        <f aca="false">IF(ISNUMBER('12_Datos_5m'!F246),ROW()-4,"")</f>
        <v/>
      </c>
      <c r="B246" s="151" t="str">
        <f aca="false">IF(ISNUMBER('12_Datos_5m'!F246),'12_Datos_5m'!F246,"")</f>
        <v/>
      </c>
      <c r="C246" s="151" t="str">
        <f aca="false">IF(ISNUMBER('12_Datos_5m'!A246),'12_Datos_5m'!A246,"")</f>
        <v/>
      </c>
      <c r="D246" s="151" t="n">
        <f aca="false">IF(AND(ISNUMBER('12_Datos_5m'!I246),ISNUMBER('12_Datos_5m'!I245)),'12_Datos_5m'!I246-'12_Datos_5m'!I245,0)</f>
        <v>0</v>
      </c>
      <c r="E246" s="151" t="n">
        <f aca="false">MAX(0,D246)</f>
        <v>0</v>
      </c>
      <c r="F246" s="151" t="n">
        <f aca="false">IF(AND(ISNUMBER('12_Datos_5m'!G246),N('12_Datos_5m'!G246)&gt;0),'12_Datos_5m'!H246/'12_Datos_5m'!G246,0.5)</f>
        <v>0.5</v>
      </c>
      <c r="G246" s="151" t="n">
        <f aca="false">IF(ISNUMBER(C246),($C$2-C246)/3600000,0)</f>
        <v>0</v>
      </c>
      <c r="H246" s="151" t="n">
        <f aca="false">EXP(-G246/'13_Mapa_Liq'!$B$7)</f>
        <v>1</v>
      </c>
      <c r="I246" s="151" t="n">
        <f aca="false">E246*F246*H246</f>
        <v>0</v>
      </c>
      <c r="J246" s="151" t="n">
        <f aca="false">E246*(1-F246)*H246</f>
        <v>0</v>
      </c>
      <c r="K246" s="151" t="n">
        <f aca="false">IF(COUNT('12_Datos_5m'!E247:E$504)=0,1000000000000,MIN('12_Datos_5m'!E247:E$504))</f>
        <v>1000000000000</v>
      </c>
      <c r="L246" s="151" t="n">
        <f aca="false">IF(COUNT('12_Datos_5m'!D247:D$504)=0,0,MAX('12_Datos_5m'!D247:D$504))</f>
        <v>0</v>
      </c>
      <c r="M246" s="151" t="str">
        <f aca="false">IF(ISNUMBER(B246),B246*(1-1/'13_Mapa_Liq'!$B$15+'13_Mapa_Liq'!$B$6),"")</f>
        <v/>
      </c>
      <c r="N246" s="151" t="n">
        <f aca="false">IF(ISNUMBER(B246),IF(K246&gt;M246,I246*'13_Mapa_Liq'!$C$15,0),0)</f>
        <v>0</v>
      </c>
      <c r="O246" s="151" t="str">
        <f aca="false">IF(ISNUMBER(B246),B246*(1+1/'13_Mapa_Liq'!$B$15-'13_Mapa_Liq'!$B$6),"")</f>
        <v/>
      </c>
      <c r="P246" s="151" t="n">
        <f aca="false">IF(ISNUMBER(B246),IF(L246&lt;O246,J246*'13_Mapa_Liq'!$C$15,0),0)</f>
        <v>0</v>
      </c>
      <c r="Q246" s="151" t="str">
        <f aca="false">IF(ISNUMBER(B246),B246*(1-1/'13_Mapa_Liq'!$B$16+'13_Mapa_Liq'!$B$6),"")</f>
        <v/>
      </c>
      <c r="R246" s="151" t="n">
        <f aca="false">IF(ISNUMBER(B246),IF(K246&gt;Q246,I246*'13_Mapa_Liq'!$C$16,0),0)</f>
        <v>0</v>
      </c>
      <c r="S246" s="151" t="str">
        <f aca="false">IF(ISNUMBER(B246),B246*(1+1/'13_Mapa_Liq'!$B$16-'13_Mapa_Liq'!$B$6),"")</f>
        <v/>
      </c>
      <c r="T246" s="151" t="n">
        <f aca="false">IF(ISNUMBER(B246),IF(L246&lt;S246,J246*'13_Mapa_Liq'!$C$16,0),0)</f>
        <v>0</v>
      </c>
      <c r="U246" s="151" t="str">
        <f aca="false">IF(ISNUMBER(B246),B246*(1-1/'13_Mapa_Liq'!$B$17+'13_Mapa_Liq'!$B$6),"")</f>
        <v/>
      </c>
      <c r="V246" s="151" t="n">
        <f aca="false">IF(ISNUMBER(B246),IF(K246&gt;U246,I246*'13_Mapa_Liq'!$C$17,0),0)</f>
        <v>0</v>
      </c>
      <c r="W246" s="151" t="str">
        <f aca="false">IF(ISNUMBER(B246),B246*(1+1/'13_Mapa_Liq'!$B$17-'13_Mapa_Liq'!$B$6),"")</f>
        <v/>
      </c>
      <c r="X246" s="151" t="n">
        <f aca="false">IF(ISNUMBER(B246),IF(L246&lt;W246,J246*'13_Mapa_Liq'!$C$17,0),0)</f>
        <v>0</v>
      </c>
      <c r="Y246" s="151" t="str">
        <f aca="false">IF(ISNUMBER(B246),B246*(1-1/'13_Mapa_Liq'!$B$18+'13_Mapa_Liq'!$B$6),"")</f>
        <v/>
      </c>
      <c r="Z246" s="151" t="n">
        <f aca="false">IF(ISNUMBER(B246),IF(K246&gt;Y246,I246*'13_Mapa_Liq'!$C$18,0),0)</f>
        <v>0</v>
      </c>
      <c r="AA246" s="151" t="str">
        <f aca="false">IF(ISNUMBER(B246),B246*(1+1/'13_Mapa_Liq'!$B$18-'13_Mapa_Liq'!$B$6),"")</f>
        <v/>
      </c>
      <c r="AB246" s="151" t="n">
        <f aca="false">IF(ISNUMBER(B246),IF(L246&lt;AA246,J246*'13_Mapa_Liq'!$C$18,0),0)</f>
        <v>0</v>
      </c>
      <c r="AC246" s="151" t="str">
        <f aca="false">IF(ISNUMBER(B246),B246*(1-1/'13_Mapa_Liq'!$B$19+'13_Mapa_Liq'!$B$6),"")</f>
        <v/>
      </c>
      <c r="AD246" s="151" t="n">
        <f aca="false">IF(ISNUMBER(B246),IF(K246&gt;AC246,I246*'13_Mapa_Liq'!$C$19,0),0)</f>
        <v>0</v>
      </c>
      <c r="AE246" s="151" t="str">
        <f aca="false">IF(ISNUMBER(B246),B246*(1+1/'13_Mapa_Liq'!$B$19-'13_Mapa_Liq'!$B$6),"")</f>
        <v/>
      </c>
      <c r="AF246" s="151" t="n">
        <f aca="false">IF(ISNUMBER(B246),IF(L246&lt;AE246,J246*'13_Mapa_Liq'!$C$19,0),0)</f>
        <v>0</v>
      </c>
      <c r="AG246" s="151"/>
      <c r="AH246" s="151" t="n">
        <f aca="false">IF(ISNUMBER(B246),E246*F246*((K246&lt;=M246)*'13_Mapa_Liq'!$C$15+(K246&lt;=Q246)*'13_Mapa_Liq'!$C$16+(K246&lt;=U246)*'13_Mapa_Liq'!$C$17+(K246&lt;=Y246)*'13_Mapa_Liq'!$C$18+(K246&lt;=AC246)*'13_Mapa_Liq'!$C$19),0)</f>
        <v>0</v>
      </c>
      <c r="AI246" s="151" t="n">
        <f aca="false">IF(ISNUMBER(B246),E246*(1-F246)*((L246&gt;=O246)*'13_Mapa_Liq'!$C$15+(L246&gt;=S246)*'13_Mapa_Liq'!$C$16+(L246&gt;=W246)*'13_Mapa_Liq'!$C$17+(L246&gt;=AA246)*'13_Mapa_Liq'!$C$18+(L246&gt;=AE246)*'13_Mapa_Liq'!$C$19),0)</f>
        <v>0</v>
      </c>
    </row>
    <row r="247" customFormat="false" ht="15" hidden="false" customHeight="false" outlineLevel="0" collapsed="false">
      <c r="A247" s="151" t="str">
        <f aca="false">IF(ISNUMBER('12_Datos_5m'!F247),ROW()-4,"")</f>
        <v/>
      </c>
      <c r="B247" s="151" t="str">
        <f aca="false">IF(ISNUMBER('12_Datos_5m'!F247),'12_Datos_5m'!F247,"")</f>
        <v/>
      </c>
      <c r="C247" s="151" t="str">
        <f aca="false">IF(ISNUMBER('12_Datos_5m'!A247),'12_Datos_5m'!A247,"")</f>
        <v/>
      </c>
      <c r="D247" s="151" t="n">
        <f aca="false">IF(AND(ISNUMBER('12_Datos_5m'!I247),ISNUMBER('12_Datos_5m'!I246)),'12_Datos_5m'!I247-'12_Datos_5m'!I246,0)</f>
        <v>0</v>
      </c>
      <c r="E247" s="151" t="n">
        <f aca="false">MAX(0,D247)</f>
        <v>0</v>
      </c>
      <c r="F247" s="151" t="n">
        <f aca="false">IF(AND(ISNUMBER('12_Datos_5m'!G247),N('12_Datos_5m'!G247)&gt;0),'12_Datos_5m'!H247/'12_Datos_5m'!G247,0.5)</f>
        <v>0.5</v>
      </c>
      <c r="G247" s="151" t="n">
        <f aca="false">IF(ISNUMBER(C247),($C$2-C247)/3600000,0)</f>
        <v>0</v>
      </c>
      <c r="H247" s="151" t="n">
        <f aca="false">EXP(-G247/'13_Mapa_Liq'!$B$7)</f>
        <v>1</v>
      </c>
      <c r="I247" s="151" t="n">
        <f aca="false">E247*F247*H247</f>
        <v>0</v>
      </c>
      <c r="J247" s="151" t="n">
        <f aca="false">E247*(1-F247)*H247</f>
        <v>0</v>
      </c>
      <c r="K247" s="151" t="n">
        <f aca="false">IF(COUNT('12_Datos_5m'!E248:E$504)=0,1000000000000,MIN('12_Datos_5m'!E248:E$504))</f>
        <v>1000000000000</v>
      </c>
      <c r="L247" s="151" t="n">
        <f aca="false">IF(COUNT('12_Datos_5m'!D248:D$504)=0,0,MAX('12_Datos_5m'!D248:D$504))</f>
        <v>0</v>
      </c>
      <c r="M247" s="151" t="str">
        <f aca="false">IF(ISNUMBER(B247),B247*(1-1/'13_Mapa_Liq'!$B$15+'13_Mapa_Liq'!$B$6),"")</f>
        <v/>
      </c>
      <c r="N247" s="151" t="n">
        <f aca="false">IF(ISNUMBER(B247),IF(K247&gt;M247,I247*'13_Mapa_Liq'!$C$15,0),0)</f>
        <v>0</v>
      </c>
      <c r="O247" s="151" t="str">
        <f aca="false">IF(ISNUMBER(B247),B247*(1+1/'13_Mapa_Liq'!$B$15-'13_Mapa_Liq'!$B$6),"")</f>
        <v/>
      </c>
      <c r="P247" s="151" t="n">
        <f aca="false">IF(ISNUMBER(B247),IF(L247&lt;O247,J247*'13_Mapa_Liq'!$C$15,0),0)</f>
        <v>0</v>
      </c>
      <c r="Q247" s="151" t="str">
        <f aca="false">IF(ISNUMBER(B247),B247*(1-1/'13_Mapa_Liq'!$B$16+'13_Mapa_Liq'!$B$6),"")</f>
        <v/>
      </c>
      <c r="R247" s="151" t="n">
        <f aca="false">IF(ISNUMBER(B247),IF(K247&gt;Q247,I247*'13_Mapa_Liq'!$C$16,0),0)</f>
        <v>0</v>
      </c>
      <c r="S247" s="151" t="str">
        <f aca="false">IF(ISNUMBER(B247),B247*(1+1/'13_Mapa_Liq'!$B$16-'13_Mapa_Liq'!$B$6),"")</f>
        <v/>
      </c>
      <c r="T247" s="151" t="n">
        <f aca="false">IF(ISNUMBER(B247),IF(L247&lt;S247,J247*'13_Mapa_Liq'!$C$16,0),0)</f>
        <v>0</v>
      </c>
      <c r="U247" s="151" t="str">
        <f aca="false">IF(ISNUMBER(B247),B247*(1-1/'13_Mapa_Liq'!$B$17+'13_Mapa_Liq'!$B$6),"")</f>
        <v/>
      </c>
      <c r="V247" s="151" t="n">
        <f aca="false">IF(ISNUMBER(B247),IF(K247&gt;U247,I247*'13_Mapa_Liq'!$C$17,0),0)</f>
        <v>0</v>
      </c>
      <c r="W247" s="151" t="str">
        <f aca="false">IF(ISNUMBER(B247),B247*(1+1/'13_Mapa_Liq'!$B$17-'13_Mapa_Liq'!$B$6),"")</f>
        <v/>
      </c>
      <c r="X247" s="151" t="n">
        <f aca="false">IF(ISNUMBER(B247),IF(L247&lt;W247,J247*'13_Mapa_Liq'!$C$17,0),0)</f>
        <v>0</v>
      </c>
      <c r="Y247" s="151" t="str">
        <f aca="false">IF(ISNUMBER(B247),B247*(1-1/'13_Mapa_Liq'!$B$18+'13_Mapa_Liq'!$B$6),"")</f>
        <v/>
      </c>
      <c r="Z247" s="151" t="n">
        <f aca="false">IF(ISNUMBER(B247),IF(K247&gt;Y247,I247*'13_Mapa_Liq'!$C$18,0),0)</f>
        <v>0</v>
      </c>
      <c r="AA247" s="151" t="str">
        <f aca="false">IF(ISNUMBER(B247),B247*(1+1/'13_Mapa_Liq'!$B$18-'13_Mapa_Liq'!$B$6),"")</f>
        <v/>
      </c>
      <c r="AB247" s="151" t="n">
        <f aca="false">IF(ISNUMBER(B247),IF(L247&lt;AA247,J247*'13_Mapa_Liq'!$C$18,0),0)</f>
        <v>0</v>
      </c>
      <c r="AC247" s="151" t="str">
        <f aca="false">IF(ISNUMBER(B247),B247*(1-1/'13_Mapa_Liq'!$B$19+'13_Mapa_Liq'!$B$6),"")</f>
        <v/>
      </c>
      <c r="AD247" s="151" t="n">
        <f aca="false">IF(ISNUMBER(B247),IF(K247&gt;AC247,I247*'13_Mapa_Liq'!$C$19,0),0)</f>
        <v>0</v>
      </c>
      <c r="AE247" s="151" t="str">
        <f aca="false">IF(ISNUMBER(B247),B247*(1+1/'13_Mapa_Liq'!$B$19-'13_Mapa_Liq'!$B$6),"")</f>
        <v/>
      </c>
      <c r="AF247" s="151" t="n">
        <f aca="false">IF(ISNUMBER(B247),IF(L247&lt;AE247,J247*'13_Mapa_Liq'!$C$19,0),0)</f>
        <v>0</v>
      </c>
      <c r="AG247" s="151"/>
      <c r="AH247" s="151" t="n">
        <f aca="false">IF(ISNUMBER(B247),E247*F247*((K247&lt;=M247)*'13_Mapa_Liq'!$C$15+(K247&lt;=Q247)*'13_Mapa_Liq'!$C$16+(K247&lt;=U247)*'13_Mapa_Liq'!$C$17+(K247&lt;=Y247)*'13_Mapa_Liq'!$C$18+(K247&lt;=AC247)*'13_Mapa_Liq'!$C$19),0)</f>
        <v>0</v>
      </c>
      <c r="AI247" s="151" t="n">
        <f aca="false">IF(ISNUMBER(B247),E247*(1-F247)*((L247&gt;=O247)*'13_Mapa_Liq'!$C$15+(L247&gt;=S247)*'13_Mapa_Liq'!$C$16+(L247&gt;=W247)*'13_Mapa_Liq'!$C$17+(L247&gt;=AA247)*'13_Mapa_Liq'!$C$18+(L247&gt;=AE247)*'13_Mapa_Liq'!$C$19),0)</f>
        <v>0</v>
      </c>
    </row>
    <row r="248" customFormat="false" ht="15" hidden="false" customHeight="false" outlineLevel="0" collapsed="false">
      <c r="A248" s="151" t="str">
        <f aca="false">IF(ISNUMBER('12_Datos_5m'!F248),ROW()-4,"")</f>
        <v/>
      </c>
      <c r="B248" s="151" t="str">
        <f aca="false">IF(ISNUMBER('12_Datos_5m'!F248),'12_Datos_5m'!F248,"")</f>
        <v/>
      </c>
      <c r="C248" s="151" t="str">
        <f aca="false">IF(ISNUMBER('12_Datos_5m'!A248),'12_Datos_5m'!A248,"")</f>
        <v/>
      </c>
      <c r="D248" s="151" t="n">
        <f aca="false">IF(AND(ISNUMBER('12_Datos_5m'!I248),ISNUMBER('12_Datos_5m'!I247)),'12_Datos_5m'!I248-'12_Datos_5m'!I247,0)</f>
        <v>0</v>
      </c>
      <c r="E248" s="151" t="n">
        <f aca="false">MAX(0,D248)</f>
        <v>0</v>
      </c>
      <c r="F248" s="151" t="n">
        <f aca="false">IF(AND(ISNUMBER('12_Datos_5m'!G248),N('12_Datos_5m'!G248)&gt;0),'12_Datos_5m'!H248/'12_Datos_5m'!G248,0.5)</f>
        <v>0.5</v>
      </c>
      <c r="G248" s="151" t="n">
        <f aca="false">IF(ISNUMBER(C248),($C$2-C248)/3600000,0)</f>
        <v>0</v>
      </c>
      <c r="H248" s="151" t="n">
        <f aca="false">EXP(-G248/'13_Mapa_Liq'!$B$7)</f>
        <v>1</v>
      </c>
      <c r="I248" s="151" t="n">
        <f aca="false">E248*F248*H248</f>
        <v>0</v>
      </c>
      <c r="J248" s="151" t="n">
        <f aca="false">E248*(1-F248)*H248</f>
        <v>0</v>
      </c>
      <c r="K248" s="151" t="n">
        <f aca="false">IF(COUNT('12_Datos_5m'!E249:E$504)=0,1000000000000,MIN('12_Datos_5m'!E249:E$504))</f>
        <v>1000000000000</v>
      </c>
      <c r="L248" s="151" t="n">
        <f aca="false">IF(COUNT('12_Datos_5m'!D249:D$504)=0,0,MAX('12_Datos_5m'!D249:D$504))</f>
        <v>0</v>
      </c>
      <c r="M248" s="151" t="str">
        <f aca="false">IF(ISNUMBER(B248),B248*(1-1/'13_Mapa_Liq'!$B$15+'13_Mapa_Liq'!$B$6),"")</f>
        <v/>
      </c>
      <c r="N248" s="151" t="n">
        <f aca="false">IF(ISNUMBER(B248),IF(K248&gt;M248,I248*'13_Mapa_Liq'!$C$15,0),0)</f>
        <v>0</v>
      </c>
      <c r="O248" s="151" t="str">
        <f aca="false">IF(ISNUMBER(B248),B248*(1+1/'13_Mapa_Liq'!$B$15-'13_Mapa_Liq'!$B$6),"")</f>
        <v/>
      </c>
      <c r="P248" s="151" t="n">
        <f aca="false">IF(ISNUMBER(B248),IF(L248&lt;O248,J248*'13_Mapa_Liq'!$C$15,0),0)</f>
        <v>0</v>
      </c>
      <c r="Q248" s="151" t="str">
        <f aca="false">IF(ISNUMBER(B248),B248*(1-1/'13_Mapa_Liq'!$B$16+'13_Mapa_Liq'!$B$6),"")</f>
        <v/>
      </c>
      <c r="R248" s="151" t="n">
        <f aca="false">IF(ISNUMBER(B248),IF(K248&gt;Q248,I248*'13_Mapa_Liq'!$C$16,0),0)</f>
        <v>0</v>
      </c>
      <c r="S248" s="151" t="str">
        <f aca="false">IF(ISNUMBER(B248),B248*(1+1/'13_Mapa_Liq'!$B$16-'13_Mapa_Liq'!$B$6),"")</f>
        <v/>
      </c>
      <c r="T248" s="151" t="n">
        <f aca="false">IF(ISNUMBER(B248),IF(L248&lt;S248,J248*'13_Mapa_Liq'!$C$16,0),0)</f>
        <v>0</v>
      </c>
      <c r="U248" s="151" t="str">
        <f aca="false">IF(ISNUMBER(B248),B248*(1-1/'13_Mapa_Liq'!$B$17+'13_Mapa_Liq'!$B$6),"")</f>
        <v/>
      </c>
      <c r="V248" s="151" t="n">
        <f aca="false">IF(ISNUMBER(B248),IF(K248&gt;U248,I248*'13_Mapa_Liq'!$C$17,0),0)</f>
        <v>0</v>
      </c>
      <c r="W248" s="151" t="str">
        <f aca="false">IF(ISNUMBER(B248),B248*(1+1/'13_Mapa_Liq'!$B$17-'13_Mapa_Liq'!$B$6),"")</f>
        <v/>
      </c>
      <c r="X248" s="151" t="n">
        <f aca="false">IF(ISNUMBER(B248),IF(L248&lt;W248,J248*'13_Mapa_Liq'!$C$17,0),0)</f>
        <v>0</v>
      </c>
      <c r="Y248" s="151" t="str">
        <f aca="false">IF(ISNUMBER(B248),B248*(1-1/'13_Mapa_Liq'!$B$18+'13_Mapa_Liq'!$B$6),"")</f>
        <v/>
      </c>
      <c r="Z248" s="151" t="n">
        <f aca="false">IF(ISNUMBER(B248),IF(K248&gt;Y248,I248*'13_Mapa_Liq'!$C$18,0),0)</f>
        <v>0</v>
      </c>
      <c r="AA248" s="151" t="str">
        <f aca="false">IF(ISNUMBER(B248),B248*(1+1/'13_Mapa_Liq'!$B$18-'13_Mapa_Liq'!$B$6),"")</f>
        <v/>
      </c>
      <c r="AB248" s="151" t="n">
        <f aca="false">IF(ISNUMBER(B248),IF(L248&lt;AA248,J248*'13_Mapa_Liq'!$C$18,0),0)</f>
        <v>0</v>
      </c>
      <c r="AC248" s="151" t="str">
        <f aca="false">IF(ISNUMBER(B248),B248*(1-1/'13_Mapa_Liq'!$B$19+'13_Mapa_Liq'!$B$6),"")</f>
        <v/>
      </c>
      <c r="AD248" s="151" t="n">
        <f aca="false">IF(ISNUMBER(B248),IF(K248&gt;AC248,I248*'13_Mapa_Liq'!$C$19,0),0)</f>
        <v>0</v>
      </c>
      <c r="AE248" s="151" t="str">
        <f aca="false">IF(ISNUMBER(B248),B248*(1+1/'13_Mapa_Liq'!$B$19-'13_Mapa_Liq'!$B$6),"")</f>
        <v/>
      </c>
      <c r="AF248" s="151" t="n">
        <f aca="false">IF(ISNUMBER(B248),IF(L248&lt;AE248,J248*'13_Mapa_Liq'!$C$19,0),0)</f>
        <v>0</v>
      </c>
      <c r="AG248" s="151"/>
      <c r="AH248" s="151" t="n">
        <f aca="false">IF(ISNUMBER(B248),E248*F248*((K248&lt;=M248)*'13_Mapa_Liq'!$C$15+(K248&lt;=Q248)*'13_Mapa_Liq'!$C$16+(K248&lt;=U248)*'13_Mapa_Liq'!$C$17+(K248&lt;=Y248)*'13_Mapa_Liq'!$C$18+(K248&lt;=AC248)*'13_Mapa_Liq'!$C$19),0)</f>
        <v>0</v>
      </c>
      <c r="AI248" s="151" t="n">
        <f aca="false">IF(ISNUMBER(B248),E248*(1-F248)*((L248&gt;=O248)*'13_Mapa_Liq'!$C$15+(L248&gt;=S248)*'13_Mapa_Liq'!$C$16+(L248&gt;=W248)*'13_Mapa_Liq'!$C$17+(L248&gt;=AA248)*'13_Mapa_Liq'!$C$18+(L248&gt;=AE248)*'13_Mapa_Liq'!$C$19),0)</f>
        <v>0</v>
      </c>
    </row>
    <row r="249" customFormat="false" ht="15" hidden="false" customHeight="false" outlineLevel="0" collapsed="false">
      <c r="A249" s="151" t="str">
        <f aca="false">IF(ISNUMBER('12_Datos_5m'!F249),ROW()-4,"")</f>
        <v/>
      </c>
      <c r="B249" s="151" t="str">
        <f aca="false">IF(ISNUMBER('12_Datos_5m'!F249),'12_Datos_5m'!F249,"")</f>
        <v/>
      </c>
      <c r="C249" s="151" t="str">
        <f aca="false">IF(ISNUMBER('12_Datos_5m'!A249),'12_Datos_5m'!A249,"")</f>
        <v/>
      </c>
      <c r="D249" s="151" t="n">
        <f aca="false">IF(AND(ISNUMBER('12_Datos_5m'!I249),ISNUMBER('12_Datos_5m'!I248)),'12_Datos_5m'!I249-'12_Datos_5m'!I248,0)</f>
        <v>0</v>
      </c>
      <c r="E249" s="151" t="n">
        <f aca="false">MAX(0,D249)</f>
        <v>0</v>
      </c>
      <c r="F249" s="151" t="n">
        <f aca="false">IF(AND(ISNUMBER('12_Datos_5m'!G249),N('12_Datos_5m'!G249)&gt;0),'12_Datos_5m'!H249/'12_Datos_5m'!G249,0.5)</f>
        <v>0.5</v>
      </c>
      <c r="G249" s="151" t="n">
        <f aca="false">IF(ISNUMBER(C249),($C$2-C249)/3600000,0)</f>
        <v>0</v>
      </c>
      <c r="H249" s="151" t="n">
        <f aca="false">EXP(-G249/'13_Mapa_Liq'!$B$7)</f>
        <v>1</v>
      </c>
      <c r="I249" s="151" t="n">
        <f aca="false">E249*F249*H249</f>
        <v>0</v>
      </c>
      <c r="J249" s="151" t="n">
        <f aca="false">E249*(1-F249)*H249</f>
        <v>0</v>
      </c>
      <c r="K249" s="151" t="n">
        <f aca="false">IF(COUNT('12_Datos_5m'!E250:E$504)=0,1000000000000,MIN('12_Datos_5m'!E250:E$504))</f>
        <v>1000000000000</v>
      </c>
      <c r="L249" s="151" t="n">
        <f aca="false">IF(COUNT('12_Datos_5m'!D250:D$504)=0,0,MAX('12_Datos_5m'!D250:D$504))</f>
        <v>0</v>
      </c>
      <c r="M249" s="151" t="str">
        <f aca="false">IF(ISNUMBER(B249),B249*(1-1/'13_Mapa_Liq'!$B$15+'13_Mapa_Liq'!$B$6),"")</f>
        <v/>
      </c>
      <c r="N249" s="151" t="n">
        <f aca="false">IF(ISNUMBER(B249),IF(K249&gt;M249,I249*'13_Mapa_Liq'!$C$15,0),0)</f>
        <v>0</v>
      </c>
      <c r="O249" s="151" t="str">
        <f aca="false">IF(ISNUMBER(B249),B249*(1+1/'13_Mapa_Liq'!$B$15-'13_Mapa_Liq'!$B$6),"")</f>
        <v/>
      </c>
      <c r="P249" s="151" t="n">
        <f aca="false">IF(ISNUMBER(B249),IF(L249&lt;O249,J249*'13_Mapa_Liq'!$C$15,0),0)</f>
        <v>0</v>
      </c>
      <c r="Q249" s="151" t="str">
        <f aca="false">IF(ISNUMBER(B249),B249*(1-1/'13_Mapa_Liq'!$B$16+'13_Mapa_Liq'!$B$6),"")</f>
        <v/>
      </c>
      <c r="R249" s="151" t="n">
        <f aca="false">IF(ISNUMBER(B249),IF(K249&gt;Q249,I249*'13_Mapa_Liq'!$C$16,0),0)</f>
        <v>0</v>
      </c>
      <c r="S249" s="151" t="str">
        <f aca="false">IF(ISNUMBER(B249),B249*(1+1/'13_Mapa_Liq'!$B$16-'13_Mapa_Liq'!$B$6),"")</f>
        <v/>
      </c>
      <c r="T249" s="151" t="n">
        <f aca="false">IF(ISNUMBER(B249),IF(L249&lt;S249,J249*'13_Mapa_Liq'!$C$16,0),0)</f>
        <v>0</v>
      </c>
      <c r="U249" s="151" t="str">
        <f aca="false">IF(ISNUMBER(B249),B249*(1-1/'13_Mapa_Liq'!$B$17+'13_Mapa_Liq'!$B$6),"")</f>
        <v/>
      </c>
      <c r="V249" s="151" t="n">
        <f aca="false">IF(ISNUMBER(B249),IF(K249&gt;U249,I249*'13_Mapa_Liq'!$C$17,0),0)</f>
        <v>0</v>
      </c>
      <c r="W249" s="151" t="str">
        <f aca="false">IF(ISNUMBER(B249),B249*(1+1/'13_Mapa_Liq'!$B$17-'13_Mapa_Liq'!$B$6),"")</f>
        <v/>
      </c>
      <c r="X249" s="151" t="n">
        <f aca="false">IF(ISNUMBER(B249),IF(L249&lt;W249,J249*'13_Mapa_Liq'!$C$17,0),0)</f>
        <v>0</v>
      </c>
      <c r="Y249" s="151" t="str">
        <f aca="false">IF(ISNUMBER(B249),B249*(1-1/'13_Mapa_Liq'!$B$18+'13_Mapa_Liq'!$B$6),"")</f>
        <v/>
      </c>
      <c r="Z249" s="151" t="n">
        <f aca="false">IF(ISNUMBER(B249),IF(K249&gt;Y249,I249*'13_Mapa_Liq'!$C$18,0),0)</f>
        <v>0</v>
      </c>
      <c r="AA249" s="151" t="str">
        <f aca="false">IF(ISNUMBER(B249),B249*(1+1/'13_Mapa_Liq'!$B$18-'13_Mapa_Liq'!$B$6),"")</f>
        <v/>
      </c>
      <c r="AB249" s="151" t="n">
        <f aca="false">IF(ISNUMBER(B249),IF(L249&lt;AA249,J249*'13_Mapa_Liq'!$C$18,0),0)</f>
        <v>0</v>
      </c>
      <c r="AC249" s="151" t="str">
        <f aca="false">IF(ISNUMBER(B249),B249*(1-1/'13_Mapa_Liq'!$B$19+'13_Mapa_Liq'!$B$6),"")</f>
        <v/>
      </c>
      <c r="AD249" s="151" t="n">
        <f aca="false">IF(ISNUMBER(B249),IF(K249&gt;AC249,I249*'13_Mapa_Liq'!$C$19,0),0)</f>
        <v>0</v>
      </c>
      <c r="AE249" s="151" t="str">
        <f aca="false">IF(ISNUMBER(B249),B249*(1+1/'13_Mapa_Liq'!$B$19-'13_Mapa_Liq'!$B$6),"")</f>
        <v/>
      </c>
      <c r="AF249" s="151" t="n">
        <f aca="false">IF(ISNUMBER(B249),IF(L249&lt;AE249,J249*'13_Mapa_Liq'!$C$19,0),0)</f>
        <v>0</v>
      </c>
      <c r="AG249" s="151"/>
      <c r="AH249" s="151" t="n">
        <f aca="false">IF(ISNUMBER(B249),E249*F249*((K249&lt;=M249)*'13_Mapa_Liq'!$C$15+(K249&lt;=Q249)*'13_Mapa_Liq'!$C$16+(K249&lt;=U249)*'13_Mapa_Liq'!$C$17+(K249&lt;=Y249)*'13_Mapa_Liq'!$C$18+(K249&lt;=AC249)*'13_Mapa_Liq'!$C$19),0)</f>
        <v>0</v>
      </c>
      <c r="AI249" s="151" t="n">
        <f aca="false">IF(ISNUMBER(B249),E249*(1-F249)*((L249&gt;=O249)*'13_Mapa_Liq'!$C$15+(L249&gt;=S249)*'13_Mapa_Liq'!$C$16+(L249&gt;=W249)*'13_Mapa_Liq'!$C$17+(L249&gt;=AA249)*'13_Mapa_Liq'!$C$18+(L249&gt;=AE249)*'13_Mapa_Liq'!$C$19),0)</f>
        <v>0</v>
      </c>
    </row>
    <row r="250" customFormat="false" ht="15" hidden="false" customHeight="false" outlineLevel="0" collapsed="false">
      <c r="A250" s="151" t="str">
        <f aca="false">IF(ISNUMBER('12_Datos_5m'!F250),ROW()-4,"")</f>
        <v/>
      </c>
      <c r="B250" s="151" t="str">
        <f aca="false">IF(ISNUMBER('12_Datos_5m'!F250),'12_Datos_5m'!F250,"")</f>
        <v/>
      </c>
      <c r="C250" s="151" t="str">
        <f aca="false">IF(ISNUMBER('12_Datos_5m'!A250),'12_Datos_5m'!A250,"")</f>
        <v/>
      </c>
      <c r="D250" s="151" t="n">
        <f aca="false">IF(AND(ISNUMBER('12_Datos_5m'!I250),ISNUMBER('12_Datos_5m'!I249)),'12_Datos_5m'!I250-'12_Datos_5m'!I249,0)</f>
        <v>0</v>
      </c>
      <c r="E250" s="151" t="n">
        <f aca="false">MAX(0,D250)</f>
        <v>0</v>
      </c>
      <c r="F250" s="151" t="n">
        <f aca="false">IF(AND(ISNUMBER('12_Datos_5m'!G250),N('12_Datos_5m'!G250)&gt;0),'12_Datos_5m'!H250/'12_Datos_5m'!G250,0.5)</f>
        <v>0.5</v>
      </c>
      <c r="G250" s="151" t="n">
        <f aca="false">IF(ISNUMBER(C250),($C$2-C250)/3600000,0)</f>
        <v>0</v>
      </c>
      <c r="H250" s="151" t="n">
        <f aca="false">EXP(-G250/'13_Mapa_Liq'!$B$7)</f>
        <v>1</v>
      </c>
      <c r="I250" s="151" t="n">
        <f aca="false">E250*F250*H250</f>
        <v>0</v>
      </c>
      <c r="J250" s="151" t="n">
        <f aca="false">E250*(1-F250)*H250</f>
        <v>0</v>
      </c>
      <c r="K250" s="151" t="n">
        <f aca="false">IF(COUNT('12_Datos_5m'!E251:E$504)=0,1000000000000,MIN('12_Datos_5m'!E251:E$504))</f>
        <v>1000000000000</v>
      </c>
      <c r="L250" s="151" t="n">
        <f aca="false">IF(COUNT('12_Datos_5m'!D251:D$504)=0,0,MAX('12_Datos_5m'!D251:D$504))</f>
        <v>0</v>
      </c>
      <c r="M250" s="151" t="str">
        <f aca="false">IF(ISNUMBER(B250),B250*(1-1/'13_Mapa_Liq'!$B$15+'13_Mapa_Liq'!$B$6),"")</f>
        <v/>
      </c>
      <c r="N250" s="151" t="n">
        <f aca="false">IF(ISNUMBER(B250),IF(K250&gt;M250,I250*'13_Mapa_Liq'!$C$15,0),0)</f>
        <v>0</v>
      </c>
      <c r="O250" s="151" t="str">
        <f aca="false">IF(ISNUMBER(B250),B250*(1+1/'13_Mapa_Liq'!$B$15-'13_Mapa_Liq'!$B$6),"")</f>
        <v/>
      </c>
      <c r="P250" s="151" t="n">
        <f aca="false">IF(ISNUMBER(B250),IF(L250&lt;O250,J250*'13_Mapa_Liq'!$C$15,0),0)</f>
        <v>0</v>
      </c>
      <c r="Q250" s="151" t="str">
        <f aca="false">IF(ISNUMBER(B250),B250*(1-1/'13_Mapa_Liq'!$B$16+'13_Mapa_Liq'!$B$6),"")</f>
        <v/>
      </c>
      <c r="R250" s="151" t="n">
        <f aca="false">IF(ISNUMBER(B250),IF(K250&gt;Q250,I250*'13_Mapa_Liq'!$C$16,0),0)</f>
        <v>0</v>
      </c>
      <c r="S250" s="151" t="str">
        <f aca="false">IF(ISNUMBER(B250),B250*(1+1/'13_Mapa_Liq'!$B$16-'13_Mapa_Liq'!$B$6),"")</f>
        <v/>
      </c>
      <c r="T250" s="151" t="n">
        <f aca="false">IF(ISNUMBER(B250),IF(L250&lt;S250,J250*'13_Mapa_Liq'!$C$16,0),0)</f>
        <v>0</v>
      </c>
      <c r="U250" s="151" t="str">
        <f aca="false">IF(ISNUMBER(B250),B250*(1-1/'13_Mapa_Liq'!$B$17+'13_Mapa_Liq'!$B$6),"")</f>
        <v/>
      </c>
      <c r="V250" s="151" t="n">
        <f aca="false">IF(ISNUMBER(B250),IF(K250&gt;U250,I250*'13_Mapa_Liq'!$C$17,0),0)</f>
        <v>0</v>
      </c>
      <c r="W250" s="151" t="str">
        <f aca="false">IF(ISNUMBER(B250),B250*(1+1/'13_Mapa_Liq'!$B$17-'13_Mapa_Liq'!$B$6),"")</f>
        <v/>
      </c>
      <c r="X250" s="151" t="n">
        <f aca="false">IF(ISNUMBER(B250),IF(L250&lt;W250,J250*'13_Mapa_Liq'!$C$17,0),0)</f>
        <v>0</v>
      </c>
      <c r="Y250" s="151" t="str">
        <f aca="false">IF(ISNUMBER(B250),B250*(1-1/'13_Mapa_Liq'!$B$18+'13_Mapa_Liq'!$B$6),"")</f>
        <v/>
      </c>
      <c r="Z250" s="151" t="n">
        <f aca="false">IF(ISNUMBER(B250),IF(K250&gt;Y250,I250*'13_Mapa_Liq'!$C$18,0),0)</f>
        <v>0</v>
      </c>
      <c r="AA250" s="151" t="str">
        <f aca="false">IF(ISNUMBER(B250),B250*(1+1/'13_Mapa_Liq'!$B$18-'13_Mapa_Liq'!$B$6),"")</f>
        <v/>
      </c>
      <c r="AB250" s="151" t="n">
        <f aca="false">IF(ISNUMBER(B250),IF(L250&lt;AA250,J250*'13_Mapa_Liq'!$C$18,0),0)</f>
        <v>0</v>
      </c>
      <c r="AC250" s="151" t="str">
        <f aca="false">IF(ISNUMBER(B250),B250*(1-1/'13_Mapa_Liq'!$B$19+'13_Mapa_Liq'!$B$6),"")</f>
        <v/>
      </c>
      <c r="AD250" s="151" t="n">
        <f aca="false">IF(ISNUMBER(B250),IF(K250&gt;AC250,I250*'13_Mapa_Liq'!$C$19,0),0)</f>
        <v>0</v>
      </c>
      <c r="AE250" s="151" t="str">
        <f aca="false">IF(ISNUMBER(B250),B250*(1+1/'13_Mapa_Liq'!$B$19-'13_Mapa_Liq'!$B$6),"")</f>
        <v/>
      </c>
      <c r="AF250" s="151" t="n">
        <f aca="false">IF(ISNUMBER(B250),IF(L250&lt;AE250,J250*'13_Mapa_Liq'!$C$19,0),0)</f>
        <v>0</v>
      </c>
      <c r="AG250" s="151"/>
      <c r="AH250" s="151" t="n">
        <f aca="false">IF(ISNUMBER(B250),E250*F250*((K250&lt;=M250)*'13_Mapa_Liq'!$C$15+(K250&lt;=Q250)*'13_Mapa_Liq'!$C$16+(K250&lt;=U250)*'13_Mapa_Liq'!$C$17+(K250&lt;=Y250)*'13_Mapa_Liq'!$C$18+(K250&lt;=AC250)*'13_Mapa_Liq'!$C$19),0)</f>
        <v>0</v>
      </c>
      <c r="AI250" s="151" t="n">
        <f aca="false">IF(ISNUMBER(B250),E250*(1-F250)*((L250&gt;=O250)*'13_Mapa_Liq'!$C$15+(L250&gt;=S250)*'13_Mapa_Liq'!$C$16+(L250&gt;=W250)*'13_Mapa_Liq'!$C$17+(L250&gt;=AA250)*'13_Mapa_Liq'!$C$18+(L250&gt;=AE250)*'13_Mapa_Liq'!$C$19),0)</f>
        <v>0</v>
      </c>
    </row>
    <row r="251" customFormat="false" ht="15" hidden="false" customHeight="false" outlineLevel="0" collapsed="false">
      <c r="A251" s="151" t="str">
        <f aca="false">IF(ISNUMBER('12_Datos_5m'!F251),ROW()-4,"")</f>
        <v/>
      </c>
      <c r="B251" s="151" t="str">
        <f aca="false">IF(ISNUMBER('12_Datos_5m'!F251),'12_Datos_5m'!F251,"")</f>
        <v/>
      </c>
      <c r="C251" s="151" t="str">
        <f aca="false">IF(ISNUMBER('12_Datos_5m'!A251),'12_Datos_5m'!A251,"")</f>
        <v/>
      </c>
      <c r="D251" s="151" t="n">
        <f aca="false">IF(AND(ISNUMBER('12_Datos_5m'!I251),ISNUMBER('12_Datos_5m'!I250)),'12_Datos_5m'!I251-'12_Datos_5m'!I250,0)</f>
        <v>0</v>
      </c>
      <c r="E251" s="151" t="n">
        <f aca="false">MAX(0,D251)</f>
        <v>0</v>
      </c>
      <c r="F251" s="151" t="n">
        <f aca="false">IF(AND(ISNUMBER('12_Datos_5m'!G251),N('12_Datos_5m'!G251)&gt;0),'12_Datos_5m'!H251/'12_Datos_5m'!G251,0.5)</f>
        <v>0.5</v>
      </c>
      <c r="G251" s="151" t="n">
        <f aca="false">IF(ISNUMBER(C251),($C$2-C251)/3600000,0)</f>
        <v>0</v>
      </c>
      <c r="H251" s="151" t="n">
        <f aca="false">EXP(-G251/'13_Mapa_Liq'!$B$7)</f>
        <v>1</v>
      </c>
      <c r="I251" s="151" t="n">
        <f aca="false">E251*F251*H251</f>
        <v>0</v>
      </c>
      <c r="J251" s="151" t="n">
        <f aca="false">E251*(1-F251)*H251</f>
        <v>0</v>
      </c>
      <c r="K251" s="151" t="n">
        <f aca="false">IF(COUNT('12_Datos_5m'!E252:E$504)=0,1000000000000,MIN('12_Datos_5m'!E252:E$504))</f>
        <v>1000000000000</v>
      </c>
      <c r="L251" s="151" t="n">
        <f aca="false">IF(COUNT('12_Datos_5m'!D252:D$504)=0,0,MAX('12_Datos_5m'!D252:D$504))</f>
        <v>0</v>
      </c>
      <c r="M251" s="151" t="str">
        <f aca="false">IF(ISNUMBER(B251),B251*(1-1/'13_Mapa_Liq'!$B$15+'13_Mapa_Liq'!$B$6),"")</f>
        <v/>
      </c>
      <c r="N251" s="151" t="n">
        <f aca="false">IF(ISNUMBER(B251),IF(K251&gt;M251,I251*'13_Mapa_Liq'!$C$15,0),0)</f>
        <v>0</v>
      </c>
      <c r="O251" s="151" t="str">
        <f aca="false">IF(ISNUMBER(B251),B251*(1+1/'13_Mapa_Liq'!$B$15-'13_Mapa_Liq'!$B$6),"")</f>
        <v/>
      </c>
      <c r="P251" s="151" t="n">
        <f aca="false">IF(ISNUMBER(B251),IF(L251&lt;O251,J251*'13_Mapa_Liq'!$C$15,0),0)</f>
        <v>0</v>
      </c>
      <c r="Q251" s="151" t="str">
        <f aca="false">IF(ISNUMBER(B251),B251*(1-1/'13_Mapa_Liq'!$B$16+'13_Mapa_Liq'!$B$6),"")</f>
        <v/>
      </c>
      <c r="R251" s="151" t="n">
        <f aca="false">IF(ISNUMBER(B251),IF(K251&gt;Q251,I251*'13_Mapa_Liq'!$C$16,0),0)</f>
        <v>0</v>
      </c>
      <c r="S251" s="151" t="str">
        <f aca="false">IF(ISNUMBER(B251),B251*(1+1/'13_Mapa_Liq'!$B$16-'13_Mapa_Liq'!$B$6),"")</f>
        <v/>
      </c>
      <c r="T251" s="151" t="n">
        <f aca="false">IF(ISNUMBER(B251),IF(L251&lt;S251,J251*'13_Mapa_Liq'!$C$16,0),0)</f>
        <v>0</v>
      </c>
      <c r="U251" s="151" t="str">
        <f aca="false">IF(ISNUMBER(B251),B251*(1-1/'13_Mapa_Liq'!$B$17+'13_Mapa_Liq'!$B$6),"")</f>
        <v/>
      </c>
      <c r="V251" s="151" t="n">
        <f aca="false">IF(ISNUMBER(B251),IF(K251&gt;U251,I251*'13_Mapa_Liq'!$C$17,0),0)</f>
        <v>0</v>
      </c>
      <c r="W251" s="151" t="str">
        <f aca="false">IF(ISNUMBER(B251),B251*(1+1/'13_Mapa_Liq'!$B$17-'13_Mapa_Liq'!$B$6),"")</f>
        <v/>
      </c>
      <c r="X251" s="151" t="n">
        <f aca="false">IF(ISNUMBER(B251),IF(L251&lt;W251,J251*'13_Mapa_Liq'!$C$17,0),0)</f>
        <v>0</v>
      </c>
      <c r="Y251" s="151" t="str">
        <f aca="false">IF(ISNUMBER(B251),B251*(1-1/'13_Mapa_Liq'!$B$18+'13_Mapa_Liq'!$B$6),"")</f>
        <v/>
      </c>
      <c r="Z251" s="151" t="n">
        <f aca="false">IF(ISNUMBER(B251),IF(K251&gt;Y251,I251*'13_Mapa_Liq'!$C$18,0),0)</f>
        <v>0</v>
      </c>
      <c r="AA251" s="151" t="str">
        <f aca="false">IF(ISNUMBER(B251),B251*(1+1/'13_Mapa_Liq'!$B$18-'13_Mapa_Liq'!$B$6),"")</f>
        <v/>
      </c>
      <c r="AB251" s="151" t="n">
        <f aca="false">IF(ISNUMBER(B251),IF(L251&lt;AA251,J251*'13_Mapa_Liq'!$C$18,0),0)</f>
        <v>0</v>
      </c>
      <c r="AC251" s="151" t="str">
        <f aca="false">IF(ISNUMBER(B251),B251*(1-1/'13_Mapa_Liq'!$B$19+'13_Mapa_Liq'!$B$6),"")</f>
        <v/>
      </c>
      <c r="AD251" s="151" t="n">
        <f aca="false">IF(ISNUMBER(B251),IF(K251&gt;AC251,I251*'13_Mapa_Liq'!$C$19,0),0)</f>
        <v>0</v>
      </c>
      <c r="AE251" s="151" t="str">
        <f aca="false">IF(ISNUMBER(B251),B251*(1+1/'13_Mapa_Liq'!$B$19-'13_Mapa_Liq'!$B$6),"")</f>
        <v/>
      </c>
      <c r="AF251" s="151" t="n">
        <f aca="false">IF(ISNUMBER(B251),IF(L251&lt;AE251,J251*'13_Mapa_Liq'!$C$19,0),0)</f>
        <v>0</v>
      </c>
      <c r="AG251" s="151"/>
      <c r="AH251" s="151" t="n">
        <f aca="false">IF(ISNUMBER(B251),E251*F251*((K251&lt;=M251)*'13_Mapa_Liq'!$C$15+(K251&lt;=Q251)*'13_Mapa_Liq'!$C$16+(K251&lt;=U251)*'13_Mapa_Liq'!$C$17+(K251&lt;=Y251)*'13_Mapa_Liq'!$C$18+(K251&lt;=AC251)*'13_Mapa_Liq'!$C$19),0)</f>
        <v>0</v>
      </c>
      <c r="AI251" s="151" t="n">
        <f aca="false">IF(ISNUMBER(B251),E251*(1-F251)*((L251&gt;=O251)*'13_Mapa_Liq'!$C$15+(L251&gt;=S251)*'13_Mapa_Liq'!$C$16+(L251&gt;=W251)*'13_Mapa_Liq'!$C$17+(L251&gt;=AA251)*'13_Mapa_Liq'!$C$18+(L251&gt;=AE251)*'13_Mapa_Liq'!$C$19),0)</f>
        <v>0</v>
      </c>
    </row>
    <row r="252" customFormat="false" ht="15" hidden="false" customHeight="false" outlineLevel="0" collapsed="false">
      <c r="A252" s="151" t="str">
        <f aca="false">IF(ISNUMBER('12_Datos_5m'!F252),ROW()-4,"")</f>
        <v/>
      </c>
      <c r="B252" s="151" t="str">
        <f aca="false">IF(ISNUMBER('12_Datos_5m'!F252),'12_Datos_5m'!F252,"")</f>
        <v/>
      </c>
      <c r="C252" s="151" t="str">
        <f aca="false">IF(ISNUMBER('12_Datos_5m'!A252),'12_Datos_5m'!A252,"")</f>
        <v/>
      </c>
      <c r="D252" s="151" t="n">
        <f aca="false">IF(AND(ISNUMBER('12_Datos_5m'!I252),ISNUMBER('12_Datos_5m'!I251)),'12_Datos_5m'!I252-'12_Datos_5m'!I251,0)</f>
        <v>0</v>
      </c>
      <c r="E252" s="151" t="n">
        <f aca="false">MAX(0,D252)</f>
        <v>0</v>
      </c>
      <c r="F252" s="151" t="n">
        <f aca="false">IF(AND(ISNUMBER('12_Datos_5m'!G252),N('12_Datos_5m'!G252)&gt;0),'12_Datos_5m'!H252/'12_Datos_5m'!G252,0.5)</f>
        <v>0.5</v>
      </c>
      <c r="G252" s="151" t="n">
        <f aca="false">IF(ISNUMBER(C252),($C$2-C252)/3600000,0)</f>
        <v>0</v>
      </c>
      <c r="H252" s="151" t="n">
        <f aca="false">EXP(-G252/'13_Mapa_Liq'!$B$7)</f>
        <v>1</v>
      </c>
      <c r="I252" s="151" t="n">
        <f aca="false">E252*F252*H252</f>
        <v>0</v>
      </c>
      <c r="J252" s="151" t="n">
        <f aca="false">E252*(1-F252)*H252</f>
        <v>0</v>
      </c>
      <c r="K252" s="151" t="n">
        <f aca="false">IF(COUNT('12_Datos_5m'!E253:E$504)=0,1000000000000,MIN('12_Datos_5m'!E253:E$504))</f>
        <v>1000000000000</v>
      </c>
      <c r="L252" s="151" t="n">
        <f aca="false">IF(COUNT('12_Datos_5m'!D253:D$504)=0,0,MAX('12_Datos_5m'!D253:D$504))</f>
        <v>0</v>
      </c>
      <c r="M252" s="151" t="str">
        <f aca="false">IF(ISNUMBER(B252),B252*(1-1/'13_Mapa_Liq'!$B$15+'13_Mapa_Liq'!$B$6),"")</f>
        <v/>
      </c>
      <c r="N252" s="151" t="n">
        <f aca="false">IF(ISNUMBER(B252),IF(K252&gt;M252,I252*'13_Mapa_Liq'!$C$15,0),0)</f>
        <v>0</v>
      </c>
      <c r="O252" s="151" t="str">
        <f aca="false">IF(ISNUMBER(B252),B252*(1+1/'13_Mapa_Liq'!$B$15-'13_Mapa_Liq'!$B$6),"")</f>
        <v/>
      </c>
      <c r="P252" s="151" t="n">
        <f aca="false">IF(ISNUMBER(B252),IF(L252&lt;O252,J252*'13_Mapa_Liq'!$C$15,0),0)</f>
        <v>0</v>
      </c>
      <c r="Q252" s="151" t="str">
        <f aca="false">IF(ISNUMBER(B252),B252*(1-1/'13_Mapa_Liq'!$B$16+'13_Mapa_Liq'!$B$6),"")</f>
        <v/>
      </c>
      <c r="R252" s="151" t="n">
        <f aca="false">IF(ISNUMBER(B252),IF(K252&gt;Q252,I252*'13_Mapa_Liq'!$C$16,0),0)</f>
        <v>0</v>
      </c>
      <c r="S252" s="151" t="str">
        <f aca="false">IF(ISNUMBER(B252),B252*(1+1/'13_Mapa_Liq'!$B$16-'13_Mapa_Liq'!$B$6),"")</f>
        <v/>
      </c>
      <c r="T252" s="151" t="n">
        <f aca="false">IF(ISNUMBER(B252),IF(L252&lt;S252,J252*'13_Mapa_Liq'!$C$16,0),0)</f>
        <v>0</v>
      </c>
      <c r="U252" s="151" t="str">
        <f aca="false">IF(ISNUMBER(B252),B252*(1-1/'13_Mapa_Liq'!$B$17+'13_Mapa_Liq'!$B$6),"")</f>
        <v/>
      </c>
      <c r="V252" s="151" t="n">
        <f aca="false">IF(ISNUMBER(B252),IF(K252&gt;U252,I252*'13_Mapa_Liq'!$C$17,0),0)</f>
        <v>0</v>
      </c>
      <c r="W252" s="151" t="str">
        <f aca="false">IF(ISNUMBER(B252),B252*(1+1/'13_Mapa_Liq'!$B$17-'13_Mapa_Liq'!$B$6),"")</f>
        <v/>
      </c>
      <c r="X252" s="151" t="n">
        <f aca="false">IF(ISNUMBER(B252),IF(L252&lt;W252,J252*'13_Mapa_Liq'!$C$17,0),0)</f>
        <v>0</v>
      </c>
      <c r="Y252" s="151" t="str">
        <f aca="false">IF(ISNUMBER(B252),B252*(1-1/'13_Mapa_Liq'!$B$18+'13_Mapa_Liq'!$B$6),"")</f>
        <v/>
      </c>
      <c r="Z252" s="151" t="n">
        <f aca="false">IF(ISNUMBER(B252),IF(K252&gt;Y252,I252*'13_Mapa_Liq'!$C$18,0),0)</f>
        <v>0</v>
      </c>
      <c r="AA252" s="151" t="str">
        <f aca="false">IF(ISNUMBER(B252),B252*(1+1/'13_Mapa_Liq'!$B$18-'13_Mapa_Liq'!$B$6),"")</f>
        <v/>
      </c>
      <c r="AB252" s="151" t="n">
        <f aca="false">IF(ISNUMBER(B252),IF(L252&lt;AA252,J252*'13_Mapa_Liq'!$C$18,0),0)</f>
        <v>0</v>
      </c>
      <c r="AC252" s="151" t="str">
        <f aca="false">IF(ISNUMBER(B252),B252*(1-1/'13_Mapa_Liq'!$B$19+'13_Mapa_Liq'!$B$6),"")</f>
        <v/>
      </c>
      <c r="AD252" s="151" t="n">
        <f aca="false">IF(ISNUMBER(B252),IF(K252&gt;AC252,I252*'13_Mapa_Liq'!$C$19,0),0)</f>
        <v>0</v>
      </c>
      <c r="AE252" s="151" t="str">
        <f aca="false">IF(ISNUMBER(B252),B252*(1+1/'13_Mapa_Liq'!$B$19-'13_Mapa_Liq'!$B$6),"")</f>
        <v/>
      </c>
      <c r="AF252" s="151" t="n">
        <f aca="false">IF(ISNUMBER(B252),IF(L252&lt;AE252,J252*'13_Mapa_Liq'!$C$19,0),0)</f>
        <v>0</v>
      </c>
      <c r="AG252" s="151"/>
      <c r="AH252" s="151" t="n">
        <f aca="false">IF(ISNUMBER(B252),E252*F252*((K252&lt;=M252)*'13_Mapa_Liq'!$C$15+(K252&lt;=Q252)*'13_Mapa_Liq'!$C$16+(K252&lt;=U252)*'13_Mapa_Liq'!$C$17+(K252&lt;=Y252)*'13_Mapa_Liq'!$C$18+(K252&lt;=AC252)*'13_Mapa_Liq'!$C$19),0)</f>
        <v>0</v>
      </c>
      <c r="AI252" s="151" t="n">
        <f aca="false">IF(ISNUMBER(B252),E252*(1-F252)*((L252&gt;=O252)*'13_Mapa_Liq'!$C$15+(L252&gt;=S252)*'13_Mapa_Liq'!$C$16+(L252&gt;=W252)*'13_Mapa_Liq'!$C$17+(L252&gt;=AA252)*'13_Mapa_Liq'!$C$18+(L252&gt;=AE252)*'13_Mapa_Liq'!$C$19),0)</f>
        <v>0</v>
      </c>
    </row>
    <row r="253" customFormat="false" ht="15" hidden="false" customHeight="false" outlineLevel="0" collapsed="false">
      <c r="A253" s="151" t="str">
        <f aca="false">IF(ISNUMBER('12_Datos_5m'!F253),ROW()-4,"")</f>
        <v/>
      </c>
      <c r="B253" s="151" t="str">
        <f aca="false">IF(ISNUMBER('12_Datos_5m'!F253),'12_Datos_5m'!F253,"")</f>
        <v/>
      </c>
      <c r="C253" s="151" t="str">
        <f aca="false">IF(ISNUMBER('12_Datos_5m'!A253),'12_Datos_5m'!A253,"")</f>
        <v/>
      </c>
      <c r="D253" s="151" t="n">
        <f aca="false">IF(AND(ISNUMBER('12_Datos_5m'!I253),ISNUMBER('12_Datos_5m'!I252)),'12_Datos_5m'!I253-'12_Datos_5m'!I252,0)</f>
        <v>0</v>
      </c>
      <c r="E253" s="151" t="n">
        <f aca="false">MAX(0,D253)</f>
        <v>0</v>
      </c>
      <c r="F253" s="151" t="n">
        <f aca="false">IF(AND(ISNUMBER('12_Datos_5m'!G253),N('12_Datos_5m'!G253)&gt;0),'12_Datos_5m'!H253/'12_Datos_5m'!G253,0.5)</f>
        <v>0.5</v>
      </c>
      <c r="G253" s="151" t="n">
        <f aca="false">IF(ISNUMBER(C253),($C$2-C253)/3600000,0)</f>
        <v>0</v>
      </c>
      <c r="H253" s="151" t="n">
        <f aca="false">EXP(-G253/'13_Mapa_Liq'!$B$7)</f>
        <v>1</v>
      </c>
      <c r="I253" s="151" t="n">
        <f aca="false">E253*F253*H253</f>
        <v>0</v>
      </c>
      <c r="J253" s="151" t="n">
        <f aca="false">E253*(1-F253)*H253</f>
        <v>0</v>
      </c>
      <c r="K253" s="151" t="n">
        <f aca="false">IF(COUNT('12_Datos_5m'!E254:E$504)=0,1000000000000,MIN('12_Datos_5m'!E254:E$504))</f>
        <v>1000000000000</v>
      </c>
      <c r="L253" s="151" t="n">
        <f aca="false">IF(COUNT('12_Datos_5m'!D254:D$504)=0,0,MAX('12_Datos_5m'!D254:D$504))</f>
        <v>0</v>
      </c>
      <c r="M253" s="151" t="str">
        <f aca="false">IF(ISNUMBER(B253),B253*(1-1/'13_Mapa_Liq'!$B$15+'13_Mapa_Liq'!$B$6),"")</f>
        <v/>
      </c>
      <c r="N253" s="151" t="n">
        <f aca="false">IF(ISNUMBER(B253),IF(K253&gt;M253,I253*'13_Mapa_Liq'!$C$15,0),0)</f>
        <v>0</v>
      </c>
      <c r="O253" s="151" t="str">
        <f aca="false">IF(ISNUMBER(B253),B253*(1+1/'13_Mapa_Liq'!$B$15-'13_Mapa_Liq'!$B$6),"")</f>
        <v/>
      </c>
      <c r="P253" s="151" t="n">
        <f aca="false">IF(ISNUMBER(B253),IF(L253&lt;O253,J253*'13_Mapa_Liq'!$C$15,0),0)</f>
        <v>0</v>
      </c>
      <c r="Q253" s="151" t="str">
        <f aca="false">IF(ISNUMBER(B253),B253*(1-1/'13_Mapa_Liq'!$B$16+'13_Mapa_Liq'!$B$6),"")</f>
        <v/>
      </c>
      <c r="R253" s="151" t="n">
        <f aca="false">IF(ISNUMBER(B253),IF(K253&gt;Q253,I253*'13_Mapa_Liq'!$C$16,0),0)</f>
        <v>0</v>
      </c>
      <c r="S253" s="151" t="str">
        <f aca="false">IF(ISNUMBER(B253),B253*(1+1/'13_Mapa_Liq'!$B$16-'13_Mapa_Liq'!$B$6),"")</f>
        <v/>
      </c>
      <c r="T253" s="151" t="n">
        <f aca="false">IF(ISNUMBER(B253),IF(L253&lt;S253,J253*'13_Mapa_Liq'!$C$16,0),0)</f>
        <v>0</v>
      </c>
      <c r="U253" s="151" t="str">
        <f aca="false">IF(ISNUMBER(B253),B253*(1-1/'13_Mapa_Liq'!$B$17+'13_Mapa_Liq'!$B$6),"")</f>
        <v/>
      </c>
      <c r="V253" s="151" t="n">
        <f aca="false">IF(ISNUMBER(B253),IF(K253&gt;U253,I253*'13_Mapa_Liq'!$C$17,0),0)</f>
        <v>0</v>
      </c>
      <c r="W253" s="151" t="str">
        <f aca="false">IF(ISNUMBER(B253),B253*(1+1/'13_Mapa_Liq'!$B$17-'13_Mapa_Liq'!$B$6),"")</f>
        <v/>
      </c>
      <c r="X253" s="151" t="n">
        <f aca="false">IF(ISNUMBER(B253),IF(L253&lt;W253,J253*'13_Mapa_Liq'!$C$17,0),0)</f>
        <v>0</v>
      </c>
      <c r="Y253" s="151" t="str">
        <f aca="false">IF(ISNUMBER(B253),B253*(1-1/'13_Mapa_Liq'!$B$18+'13_Mapa_Liq'!$B$6),"")</f>
        <v/>
      </c>
      <c r="Z253" s="151" t="n">
        <f aca="false">IF(ISNUMBER(B253),IF(K253&gt;Y253,I253*'13_Mapa_Liq'!$C$18,0),0)</f>
        <v>0</v>
      </c>
      <c r="AA253" s="151" t="str">
        <f aca="false">IF(ISNUMBER(B253),B253*(1+1/'13_Mapa_Liq'!$B$18-'13_Mapa_Liq'!$B$6),"")</f>
        <v/>
      </c>
      <c r="AB253" s="151" t="n">
        <f aca="false">IF(ISNUMBER(B253),IF(L253&lt;AA253,J253*'13_Mapa_Liq'!$C$18,0),0)</f>
        <v>0</v>
      </c>
      <c r="AC253" s="151" t="str">
        <f aca="false">IF(ISNUMBER(B253),B253*(1-1/'13_Mapa_Liq'!$B$19+'13_Mapa_Liq'!$B$6),"")</f>
        <v/>
      </c>
      <c r="AD253" s="151" t="n">
        <f aca="false">IF(ISNUMBER(B253),IF(K253&gt;AC253,I253*'13_Mapa_Liq'!$C$19,0),0)</f>
        <v>0</v>
      </c>
      <c r="AE253" s="151" t="str">
        <f aca="false">IF(ISNUMBER(B253),B253*(1+1/'13_Mapa_Liq'!$B$19-'13_Mapa_Liq'!$B$6),"")</f>
        <v/>
      </c>
      <c r="AF253" s="151" t="n">
        <f aca="false">IF(ISNUMBER(B253),IF(L253&lt;AE253,J253*'13_Mapa_Liq'!$C$19,0),0)</f>
        <v>0</v>
      </c>
      <c r="AG253" s="151"/>
      <c r="AH253" s="151" t="n">
        <f aca="false">IF(ISNUMBER(B253),E253*F253*((K253&lt;=M253)*'13_Mapa_Liq'!$C$15+(K253&lt;=Q253)*'13_Mapa_Liq'!$C$16+(K253&lt;=U253)*'13_Mapa_Liq'!$C$17+(K253&lt;=Y253)*'13_Mapa_Liq'!$C$18+(K253&lt;=AC253)*'13_Mapa_Liq'!$C$19),0)</f>
        <v>0</v>
      </c>
      <c r="AI253" s="151" t="n">
        <f aca="false">IF(ISNUMBER(B253),E253*(1-F253)*((L253&gt;=O253)*'13_Mapa_Liq'!$C$15+(L253&gt;=S253)*'13_Mapa_Liq'!$C$16+(L253&gt;=W253)*'13_Mapa_Liq'!$C$17+(L253&gt;=AA253)*'13_Mapa_Liq'!$C$18+(L253&gt;=AE253)*'13_Mapa_Liq'!$C$19),0)</f>
        <v>0</v>
      </c>
    </row>
    <row r="254" customFormat="false" ht="15" hidden="false" customHeight="false" outlineLevel="0" collapsed="false">
      <c r="A254" s="151" t="str">
        <f aca="false">IF(ISNUMBER('12_Datos_5m'!F254),ROW()-4,"")</f>
        <v/>
      </c>
      <c r="B254" s="151" t="str">
        <f aca="false">IF(ISNUMBER('12_Datos_5m'!F254),'12_Datos_5m'!F254,"")</f>
        <v/>
      </c>
      <c r="C254" s="151" t="str">
        <f aca="false">IF(ISNUMBER('12_Datos_5m'!A254),'12_Datos_5m'!A254,"")</f>
        <v/>
      </c>
      <c r="D254" s="151" t="n">
        <f aca="false">IF(AND(ISNUMBER('12_Datos_5m'!I254),ISNUMBER('12_Datos_5m'!I253)),'12_Datos_5m'!I254-'12_Datos_5m'!I253,0)</f>
        <v>0</v>
      </c>
      <c r="E254" s="151" t="n">
        <f aca="false">MAX(0,D254)</f>
        <v>0</v>
      </c>
      <c r="F254" s="151" t="n">
        <f aca="false">IF(AND(ISNUMBER('12_Datos_5m'!G254),N('12_Datos_5m'!G254)&gt;0),'12_Datos_5m'!H254/'12_Datos_5m'!G254,0.5)</f>
        <v>0.5</v>
      </c>
      <c r="G254" s="151" t="n">
        <f aca="false">IF(ISNUMBER(C254),($C$2-C254)/3600000,0)</f>
        <v>0</v>
      </c>
      <c r="H254" s="151" t="n">
        <f aca="false">EXP(-G254/'13_Mapa_Liq'!$B$7)</f>
        <v>1</v>
      </c>
      <c r="I254" s="151" t="n">
        <f aca="false">E254*F254*H254</f>
        <v>0</v>
      </c>
      <c r="J254" s="151" t="n">
        <f aca="false">E254*(1-F254)*H254</f>
        <v>0</v>
      </c>
      <c r="K254" s="151" t="n">
        <f aca="false">IF(COUNT('12_Datos_5m'!E255:E$504)=0,1000000000000,MIN('12_Datos_5m'!E255:E$504))</f>
        <v>1000000000000</v>
      </c>
      <c r="L254" s="151" t="n">
        <f aca="false">IF(COUNT('12_Datos_5m'!D255:D$504)=0,0,MAX('12_Datos_5m'!D255:D$504))</f>
        <v>0</v>
      </c>
      <c r="M254" s="151" t="str">
        <f aca="false">IF(ISNUMBER(B254),B254*(1-1/'13_Mapa_Liq'!$B$15+'13_Mapa_Liq'!$B$6),"")</f>
        <v/>
      </c>
      <c r="N254" s="151" t="n">
        <f aca="false">IF(ISNUMBER(B254),IF(K254&gt;M254,I254*'13_Mapa_Liq'!$C$15,0),0)</f>
        <v>0</v>
      </c>
      <c r="O254" s="151" t="str">
        <f aca="false">IF(ISNUMBER(B254),B254*(1+1/'13_Mapa_Liq'!$B$15-'13_Mapa_Liq'!$B$6),"")</f>
        <v/>
      </c>
      <c r="P254" s="151" t="n">
        <f aca="false">IF(ISNUMBER(B254),IF(L254&lt;O254,J254*'13_Mapa_Liq'!$C$15,0),0)</f>
        <v>0</v>
      </c>
      <c r="Q254" s="151" t="str">
        <f aca="false">IF(ISNUMBER(B254),B254*(1-1/'13_Mapa_Liq'!$B$16+'13_Mapa_Liq'!$B$6),"")</f>
        <v/>
      </c>
      <c r="R254" s="151" t="n">
        <f aca="false">IF(ISNUMBER(B254),IF(K254&gt;Q254,I254*'13_Mapa_Liq'!$C$16,0),0)</f>
        <v>0</v>
      </c>
      <c r="S254" s="151" t="str">
        <f aca="false">IF(ISNUMBER(B254),B254*(1+1/'13_Mapa_Liq'!$B$16-'13_Mapa_Liq'!$B$6),"")</f>
        <v/>
      </c>
      <c r="T254" s="151" t="n">
        <f aca="false">IF(ISNUMBER(B254),IF(L254&lt;S254,J254*'13_Mapa_Liq'!$C$16,0),0)</f>
        <v>0</v>
      </c>
      <c r="U254" s="151" t="str">
        <f aca="false">IF(ISNUMBER(B254),B254*(1-1/'13_Mapa_Liq'!$B$17+'13_Mapa_Liq'!$B$6),"")</f>
        <v/>
      </c>
      <c r="V254" s="151" t="n">
        <f aca="false">IF(ISNUMBER(B254),IF(K254&gt;U254,I254*'13_Mapa_Liq'!$C$17,0),0)</f>
        <v>0</v>
      </c>
      <c r="W254" s="151" t="str">
        <f aca="false">IF(ISNUMBER(B254),B254*(1+1/'13_Mapa_Liq'!$B$17-'13_Mapa_Liq'!$B$6),"")</f>
        <v/>
      </c>
      <c r="X254" s="151" t="n">
        <f aca="false">IF(ISNUMBER(B254),IF(L254&lt;W254,J254*'13_Mapa_Liq'!$C$17,0),0)</f>
        <v>0</v>
      </c>
      <c r="Y254" s="151" t="str">
        <f aca="false">IF(ISNUMBER(B254),B254*(1-1/'13_Mapa_Liq'!$B$18+'13_Mapa_Liq'!$B$6),"")</f>
        <v/>
      </c>
      <c r="Z254" s="151" t="n">
        <f aca="false">IF(ISNUMBER(B254),IF(K254&gt;Y254,I254*'13_Mapa_Liq'!$C$18,0),0)</f>
        <v>0</v>
      </c>
      <c r="AA254" s="151" t="str">
        <f aca="false">IF(ISNUMBER(B254),B254*(1+1/'13_Mapa_Liq'!$B$18-'13_Mapa_Liq'!$B$6),"")</f>
        <v/>
      </c>
      <c r="AB254" s="151" t="n">
        <f aca="false">IF(ISNUMBER(B254),IF(L254&lt;AA254,J254*'13_Mapa_Liq'!$C$18,0),0)</f>
        <v>0</v>
      </c>
      <c r="AC254" s="151" t="str">
        <f aca="false">IF(ISNUMBER(B254),B254*(1-1/'13_Mapa_Liq'!$B$19+'13_Mapa_Liq'!$B$6),"")</f>
        <v/>
      </c>
      <c r="AD254" s="151" t="n">
        <f aca="false">IF(ISNUMBER(B254),IF(K254&gt;AC254,I254*'13_Mapa_Liq'!$C$19,0),0)</f>
        <v>0</v>
      </c>
      <c r="AE254" s="151" t="str">
        <f aca="false">IF(ISNUMBER(B254),B254*(1+1/'13_Mapa_Liq'!$B$19-'13_Mapa_Liq'!$B$6),"")</f>
        <v/>
      </c>
      <c r="AF254" s="151" t="n">
        <f aca="false">IF(ISNUMBER(B254),IF(L254&lt;AE254,J254*'13_Mapa_Liq'!$C$19,0),0)</f>
        <v>0</v>
      </c>
      <c r="AG254" s="151"/>
      <c r="AH254" s="151" t="n">
        <f aca="false">IF(ISNUMBER(B254),E254*F254*((K254&lt;=M254)*'13_Mapa_Liq'!$C$15+(K254&lt;=Q254)*'13_Mapa_Liq'!$C$16+(K254&lt;=U254)*'13_Mapa_Liq'!$C$17+(K254&lt;=Y254)*'13_Mapa_Liq'!$C$18+(K254&lt;=AC254)*'13_Mapa_Liq'!$C$19),0)</f>
        <v>0</v>
      </c>
      <c r="AI254" s="151" t="n">
        <f aca="false">IF(ISNUMBER(B254),E254*(1-F254)*((L254&gt;=O254)*'13_Mapa_Liq'!$C$15+(L254&gt;=S254)*'13_Mapa_Liq'!$C$16+(L254&gt;=W254)*'13_Mapa_Liq'!$C$17+(L254&gt;=AA254)*'13_Mapa_Liq'!$C$18+(L254&gt;=AE254)*'13_Mapa_Liq'!$C$19),0)</f>
        <v>0</v>
      </c>
    </row>
    <row r="255" customFormat="false" ht="15" hidden="false" customHeight="false" outlineLevel="0" collapsed="false">
      <c r="A255" s="151" t="str">
        <f aca="false">IF(ISNUMBER('12_Datos_5m'!F255),ROW()-4,"")</f>
        <v/>
      </c>
      <c r="B255" s="151" t="str">
        <f aca="false">IF(ISNUMBER('12_Datos_5m'!F255),'12_Datos_5m'!F255,"")</f>
        <v/>
      </c>
      <c r="C255" s="151" t="str">
        <f aca="false">IF(ISNUMBER('12_Datos_5m'!A255),'12_Datos_5m'!A255,"")</f>
        <v/>
      </c>
      <c r="D255" s="151" t="n">
        <f aca="false">IF(AND(ISNUMBER('12_Datos_5m'!I255),ISNUMBER('12_Datos_5m'!I254)),'12_Datos_5m'!I255-'12_Datos_5m'!I254,0)</f>
        <v>0</v>
      </c>
      <c r="E255" s="151" t="n">
        <f aca="false">MAX(0,D255)</f>
        <v>0</v>
      </c>
      <c r="F255" s="151" t="n">
        <f aca="false">IF(AND(ISNUMBER('12_Datos_5m'!G255),N('12_Datos_5m'!G255)&gt;0),'12_Datos_5m'!H255/'12_Datos_5m'!G255,0.5)</f>
        <v>0.5</v>
      </c>
      <c r="G255" s="151" t="n">
        <f aca="false">IF(ISNUMBER(C255),($C$2-C255)/3600000,0)</f>
        <v>0</v>
      </c>
      <c r="H255" s="151" t="n">
        <f aca="false">EXP(-G255/'13_Mapa_Liq'!$B$7)</f>
        <v>1</v>
      </c>
      <c r="I255" s="151" t="n">
        <f aca="false">E255*F255*H255</f>
        <v>0</v>
      </c>
      <c r="J255" s="151" t="n">
        <f aca="false">E255*(1-F255)*H255</f>
        <v>0</v>
      </c>
      <c r="K255" s="151" t="n">
        <f aca="false">IF(COUNT('12_Datos_5m'!E256:E$504)=0,1000000000000,MIN('12_Datos_5m'!E256:E$504))</f>
        <v>1000000000000</v>
      </c>
      <c r="L255" s="151" t="n">
        <f aca="false">IF(COUNT('12_Datos_5m'!D256:D$504)=0,0,MAX('12_Datos_5m'!D256:D$504))</f>
        <v>0</v>
      </c>
      <c r="M255" s="151" t="str">
        <f aca="false">IF(ISNUMBER(B255),B255*(1-1/'13_Mapa_Liq'!$B$15+'13_Mapa_Liq'!$B$6),"")</f>
        <v/>
      </c>
      <c r="N255" s="151" t="n">
        <f aca="false">IF(ISNUMBER(B255),IF(K255&gt;M255,I255*'13_Mapa_Liq'!$C$15,0),0)</f>
        <v>0</v>
      </c>
      <c r="O255" s="151" t="str">
        <f aca="false">IF(ISNUMBER(B255),B255*(1+1/'13_Mapa_Liq'!$B$15-'13_Mapa_Liq'!$B$6),"")</f>
        <v/>
      </c>
      <c r="P255" s="151" t="n">
        <f aca="false">IF(ISNUMBER(B255),IF(L255&lt;O255,J255*'13_Mapa_Liq'!$C$15,0),0)</f>
        <v>0</v>
      </c>
      <c r="Q255" s="151" t="str">
        <f aca="false">IF(ISNUMBER(B255),B255*(1-1/'13_Mapa_Liq'!$B$16+'13_Mapa_Liq'!$B$6),"")</f>
        <v/>
      </c>
      <c r="R255" s="151" t="n">
        <f aca="false">IF(ISNUMBER(B255),IF(K255&gt;Q255,I255*'13_Mapa_Liq'!$C$16,0),0)</f>
        <v>0</v>
      </c>
      <c r="S255" s="151" t="str">
        <f aca="false">IF(ISNUMBER(B255),B255*(1+1/'13_Mapa_Liq'!$B$16-'13_Mapa_Liq'!$B$6),"")</f>
        <v/>
      </c>
      <c r="T255" s="151" t="n">
        <f aca="false">IF(ISNUMBER(B255),IF(L255&lt;S255,J255*'13_Mapa_Liq'!$C$16,0),0)</f>
        <v>0</v>
      </c>
      <c r="U255" s="151" t="str">
        <f aca="false">IF(ISNUMBER(B255),B255*(1-1/'13_Mapa_Liq'!$B$17+'13_Mapa_Liq'!$B$6),"")</f>
        <v/>
      </c>
      <c r="V255" s="151" t="n">
        <f aca="false">IF(ISNUMBER(B255),IF(K255&gt;U255,I255*'13_Mapa_Liq'!$C$17,0),0)</f>
        <v>0</v>
      </c>
      <c r="W255" s="151" t="str">
        <f aca="false">IF(ISNUMBER(B255),B255*(1+1/'13_Mapa_Liq'!$B$17-'13_Mapa_Liq'!$B$6),"")</f>
        <v/>
      </c>
      <c r="X255" s="151" t="n">
        <f aca="false">IF(ISNUMBER(B255),IF(L255&lt;W255,J255*'13_Mapa_Liq'!$C$17,0),0)</f>
        <v>0</v>
      </c>
      <c r="Y255" s="151" t="str">
        <f aca="false">IF(ISNUMBER(B255),B255*(1-1/'13_Mapa_Liq'!$B$18+'13_Mapa_Liq'!$B$6),"")</f>
        <v/>
      </c>
      <c r="Z255" s="151" t="n">
        <f aca="false">IF(ISNUMBER(B255),IF(K255&gt;Y255,I255*'13_Mapa_Liq'!$C$18,0),0)</f>
        <v>0</v>
      </c>
      <c r="AA255" s="151" t="str">
        <f aca="false">IF(ISNUMBER(B255),B255*(1+1/'13_Mapa_Liq'!$B$18-'13_Mapa_Liq'!$B$6),"")</f>
        <v/>
      </c>
      <c r="AB255" s="151" t="n">
        <f aca="false">IF(ISNUMBER(B255),IF(L255&lt;AA255,J255*'13_Mapa_Liq'!$C$18,0),0)</f>
        <v>0</v>
      </c>
      <c r="AC255" s="151" t="str">
        <f aca="false">IF(ISNUMBER(B255),B255*(1-1/'13_Mapa_Liq'!$B$19+'13_Mapa_Liq'!$B$6),"")</f>
        <v/>
      </c>
      <c r="AD255" s="151" t="n">
        <f aca="false">IF(ISNUMBER(B255),IF(K255&gt;AC255,I255*'13_Mapa_Liq'!$C$19,0),0)</f>
        <v>0</v>
      </c>
      <c r="AE255" s="151" t="str">
        <f aca="false">IF(ISNUMBER(B255),B255*(1+1/'13_Mapa_Liq'!$B$19-'13_Mapa_Liq'!$B$6),"")</f>
        <v/>
      </c>
      <c r="AF255" s="151" t="n">
        <f aca="false">IF(ISNUMBER(B255),IF(L255&lt;AE255,J255*'13_Mapa_Liq'!$C$19,0),0)</f>
        <v>0</v>
      </c>
      <c r="AG255" s="151"/>
      <c r="AH255" s="151" t="n">
        <f aca="false">IF(ISNUMBER(B255),E255*F255*((K255&lt;=M255)*'13_Mapa_Liq'!$C$15+(K255&lt;=Q255)*'13_Mapa_Liq'!$C$16+(K255&lt;=U255)*'13_Mapa_Liq'!$C$17+(K255&lt;=Y255)*'13_Mapa_Liq'!$C$18+(K255&lt;=AC255)*'13_Mapa_Liq'!$C$19),0)</f>
        <v>0</v>
      </c>
      <c r="AI255" s="151" t="n">
        <f aca="false">IF(ISNUMBER(B255),E255*(1-F255)*((L255&gt;=O255)*'13_Mapa_Liq'!$C$15+(L255&gt;=S255)*'13_Mapa_Liq'!$C$16+(L255&gt;=W255)*'13_Mapa_Liq'!$C$17+(L255&gt;=AA255)*'13_Mapa_Liq'!$C$18+(L255&gt;=AE255)*'13_Mapa_Liq'!$C$19),0)</f>
        <v>0</v>
      </c>
    </row>
    <row r="256" customFormat="false" ht="15" hidden="false" customHeight="false" outlineLevel="0" collapsed="false">
      <c r="A256" s="151" t="str">
        <f aca="false">IF(ISNUMBER('12_Datos_5m'!F256),ROW()-4,"")</f>
        <v/>
      </c>
      <c r="B256" s="151" t="str">
        <f aca="false">IF(ISNUMBER('12_Datos_5m'!F256),'12_Datos_5m'!F256,"")</f>
        <v/>
      </c>
      <c r="C256" s="151" t="str">
        <f aca="false">IF(ISNUMBER('12_Datos_5m'!A256),'12_Datos_5m'!A256,"")</f>
        <v/>
      </c>
      <c r="D256" s="151" t="n">
        <f aca="false">IF(AND(ISNUMBER('12_Datos_5m'!I256),ISNUMBER('12_Datos_5m'!I255)),'12_Datos_5m'!I256-'12_Datos_5m'!I255,0)</f>
        <v>0</v>
      </c>
      <c r="E256" s="151" t="n">
        <f aca="false">MAX(0,D256)</f>
        <v>0</v>
      </c>
      <c r="F256" s="151" t="n">
        <f aca="false">IF(AND(ISNUMBER('12_Datos_5m'!G256),N('12_Datos_5m'!G256)&gt;0),'12_Datos_5m'!H256/'12_Datos_5m'!G256,0.5)</f>
        <v>0.5</v>
      </c>
      <c r="G256" s="151" t="n">
        <f aca="false">IF(ISNUMBER(C256),($C$2-C256)/3600000,0)</f>
        <v>0</v>
      </c>
      <c r="H256" s="151" t="n">
        <f aca="false">EXP(-G256/'13_Mapa_Liq'!$B$7)</f>
        <v>1</v>
      </c>
      <c r="I256" s="151" t="n">
        <f aca="false">E256*F256*H256</f>
        <v>0</v>
      </c>
      <c r="J256" s="151" t="n">
        <f aca="false">E256*(1-F256)*H256</f>
        <v>0</v>
      </c>
      <c r="K256" s="151" t="n">
        <f aca="false">IF(COUNT('12_Datos_5m'!E257:E$504)=0,1000000000000,MIN('12_Datos_5m'!E257:E$504))</f>
        <v>1000000000000</v>
      </c>
      <c r="L256" s="151" t="n">
        <f aca="false">IF(COUNT('12_Datos_5m'!D257:D$504)=0,0,MAX('12_Datos_5m'!D257:D$504))</f>
        <v>0</v>
      </c>
      <c r="M256" s="151" t="str">
        <f aca="false">IF(ISNUMBER(B256),B256*(1-1/'13_Mapa_Liq'!$B$15+'13_Mapa_Liq'!$B$6),"")</f>
        <v/>
      </c>
      <c r="N256" s="151" t="n">
        <f aca="false">IF(ISNUMBER(B256),IF(K256&gt;M256,I256*'13_Mapa_Liq'!$C$15,0),0)</f>
        <v>0</v>
      </c>
      <c r="O256" s="151" t="str">
        <f aca="false">IF(ISNUMBER(B256),B256*(1+1/'13_Mapa_Liq'!$B$15-'13_Mapa_Liq'!$B$6),"")</f>
        <v/>
      </c>
      <c r="P256" s="151" t="n">
        <f aca="false">IF(ISNUMBER(B256),IF(L256&lt;O256,J256*'13_Mapa_Liq'!$C$15,0),0)</f>
        <v>0</v>
      </c>
      <c r="Q256" s="151" t="str">
        <f aca="false">IF(ISNUMBER(B256),B256*(1-1/'13_Mapa_Liq'!$B$16+'13_Mapa_Liq'!$B$6),"")</f>
        <v/>
      </c>
      <c r="R256" s="151" t="n">
        <f aca="false">IF(ISNUMBER(B256),IF(K256&gt;Q256,I256*'13_Mapa_Liq'!$C$16,0),0)</f>
        <v>0</v>
      </c>
      <c r="S256" s="151" t="str">
        <f aca="false">IF(ISNUMBER(B256),B256*(1+1/'13_Mapa_Liq'!$B$16-'13_Mapa_Liq'!$B$6),"")</f>
        <v/>
      </c>
      <c r="T256" s="151" t="n">
        <f aca="false">IF(ISNUMBER(B256),IF(L256&lt;S256,J256*'13_Mapa_Liq'!$C$16,0),0)</f>
        <v>0</v>
      </c>
      <c r="U256" s="151" t="str">
        <f aca="false">IF(ISNUMBER(B256),B256*(1-1/'13_Mapa_Liq'!$B$17+'13_Mapa_Liq'!$B$6),"")</f>
        <v/>
      </c>
      <c r="V256" s="151" t="n">
        <f aca="false">IF(ISNUMBER(B256),IF(K256&gt;U256,I256*'13_Mapa_Liq'!$C$17,0),0)</f>
        <v>0</v>
      </c>
      <c r="W256" s="151" t="str">
        <f aca="false">IF(ISNUMBER(B256),B256*(1+1/'13_Mapa_Liq'!$B$17-'13_Mapa_Liq'!$B$6),"")</f>
        <v/>
      </c>
      <c r="X256" s="151" t="n">
        <f aca="false">IF(ISNUMBER(B256),IF(L256&lt;W256,J256*'13_Mapa_Liq'!$C$17,0),0)</f>
        <v>0</v>
      </c>
      <c r="Y256" s="151" t="str">
        <f aca="false">IF(ISNUMBER(B256),B256*(1-1/'13_Mapa_Liq'!$B$18+'13_Mapa_Liq'!$B$6),"")</f>
        <v/>
      </c>
      <c r="Z256" s="151" t="n">
        <f aca="false">IF(ISNUMBER(B256),IF(K256&gt;Y256,I256*'13_Mapa_Liq'!$C$18,0),0)</f>
        <v>0</v>
      </c>
      <c r="AA256" s="151" t="str">
        <f aca="false">IF(ISNUMBER(B256),B256*(1+1/'13_Mapa_Liq'!$B$18-'13_Mapa_Liq'!$B$6),"")</f>
        <v/>
      </c>
      <c r="AB256" s="151" t="n">
        <f aca="false">IF(ISNUMBER(B256),IF(L256&lt;AA256,J256*'13_Mapa_Liq'!$C$18,0),0)</f>
        <v>0</v>
      </c>
      <c r="AC256" s="151" t="str">
        <f aca="false">IF(ISNUMBER(B256),B256*(1-1/'13_Mapa_Liq'!$B$19+'13_Mapa_Liq'!$B$6),"")</f>
        <v/>
      </c>
      <c r="AD256" s="151" t="n">
        <f aca="false">IF(ISNUMBER(B256),IF(K256&gt;AC256,I256*'13_Mapa_Liq'!$C$19,0),0)</f>
        <v>0</v>
      </c>
      <c r="AE256" s="151" t="str">
        <f aca="false">IF(ISNUMBER(B256),B256*(1+1/'13_Mapa_Liq'!$B$19-'13_Mapa_Liq'!$B$6),"")</f>
        <v/>
      </c>
      <c r="AF256" s="151" t="n">
        <f aca="false">IF(ISNUMBER(B256),IF(L256&lt;AE256,J256*'13_Mapa_Liq'!$C$19,0),0)</f>
        <v>0</v>
      </c>
      <c r="AG256" s="151"/>
      <c r="AH256" s="151" t="n">
        <f aca="false">IF(ISNUMBER(B256),E256*F256*((K256&lt;=M256)*'13_Mapa_Liq'!$C$15+(K256&lt;=Q256)*'13_Mapa_Liq'!$C$16+(K256&lt;=U256)*'13_Mapa_Liq'!$C$17+(K256&lt;=Y256)*'13_Mapa_Liq'!$C$18+(K256&lt;=AC256)*'13_Mapa_Liq'!$C$19),0)</f>
        <v>0</v>
      </c>
      <c r="AI256" s="151" t="n">
        <f aca="false">IF(ISNUMBER(B256),E256*(1-F256)*((L256&gt;=O256)*'13_Mapa_Liq'!$C$15+(L256&gt;=S256)*'13_Mapa_Liq'!$C$16+(L256&gt;=W256)*'13_Mapa_Liq'!$C$17+(L256&gt;=AA256)*'13_Mapa_Liq'!$C$18+(L256&gt;=AE256)*'13_Mapa_Liq'!$C$19),0)</f>
        <v>0</v>
      </c>
    </row>
    <row r="257" customFormat="false" ht="15" hidden="false" customHeight="false" outlineLevel="0" collapsed="false">
      <c r="A257" s="151" t="str">
        <f aca="false">IF(ISNUMBER('12_Datos_5m'!F257),ROW()-4,"")</f>
        <v/>
      </c>
      <c r="B257" s="151" t="str">
        <f aca="false">IF(ISNUMBER('12_Datos_5m'!F257),'12_Datos_5m'!F257,"")</f>
        <v/>
      </c>
      <c r="C257" s="151" t="str">
        <f aca="false">IF(ISNUMBER('12_Datos_5m'!A257),'12_Datos_5m'!A257,"")</f>
        <v/>
      </c>
      <c r="D257" s="151" t="n">
        <f aca="false">IF(AND(ISNUMBER('12_Datos_5m'!I257),ISNUMBER('12_Datos_5m'!I256)),'12_Datos_5m'!I257-'12_Datos_5m'!I256,0)</f>
        <v>0</v>
      </c>
      <c r="E257" s="151" t="n">
        <f aca="false">MAX(0,D257)</f>
        <v>0</v>
      </c>
      <c r="F257" s="151" t="n">
        <f aca="false">IF(AND(ISNUMBER('12_Datos_5m'!G257),N('12_Datos_5m'!G257)&gt;0),'12_Datos_5m'!H257/'12_Datos_5m'!G257,0.5)</f>
        <v>0.5</v>
      </c>
      <c r="G257" s="151" t="n">
        <f aca="false">IF(ISNUMBER(C257),($C$2-C257)/3600000,0)</f>
        <v>0</v>
      </c>
      <c r="H257" s="151" t="n">
        <f aca="false">EXP(-G257/'13_Mapa_Liq'!$B$7)</f>
        <v>1</v>
      </c>
      <c r="I257" s="151" t="n">
        <f aca="false">E257*F257*H257</f>
        <v>0</v>
      </c>
      <c r="J257" s="151" t="n">
        <f aca="false">E257*(1-F257)*H257</f>
        <v>0</v>
      </c>
      <c r="K257" s="151" t="n">
        <f aca="false">IF(COUNT('12_Datos_5m'!E258:E$504)=0,1000000000000,MIN('12_Datos_5m'!E258:E$504))</f>
        <v>1000000000000</v>
      </c>
      <c r="L257" s="151" t="n">
        <f aca="false">IF(COUNT('12_Datos_5m'!D258:D$504)=0,0,MAX('12_Datos_5m'!D258:D$504))</f>
        <v>0</v>
      </c>
      <c r="M257" s="151" t="str">
        <f aca="false">IF(ISNUMBER(B257),B257*(1-1/'13_Mapa_Liq'!$B$15+'13_Mapa_Liq'!$B$6),"")</f>
        <v/>
      </c>
      <c r="N257" s="151" t="n">
        <f aca="false">IF(ISNUMBER(B257),IF(K257&gt;M257,I257*'13_Mapa_Liq'!$C$15,0),0)</f>
        <v>0</v>
      </c>
      <c r="O257" s="151" t="str">
        <f aca="false">IF(ISNUMBER(B257),B257*(1+1/'13_Mapa_Liq'!$B$15-'13_Mapa_Liq'!$B$6),"")</f>
        <v/>
      </c>
      <c r="P257" s="151" t="n">
        <f aca="false">IF(ISNUMBER(B257),IF(L257&lt;O257,J257*'13_Mapa_Liq'!$C$15,0),0)</f>
        <v>0</v>
      </c>
      <c r="Q257" s="151" t="str">
        <f aca="false">IF(ISNUMBER(B257),B257*(1-1/'13_Mapa_Liq'!$B$16+'13_Mapa_Liq'!$B$6),"")</f>
        <v/>
      </c>
      <c r="R257" s="151" t="n">
        <f aca="false">IF(ISNUMBER(B257),IF(K257&gt;Q257,I257*'13_Mapa_Liq'!$C$16,0),0)</f>
        <v>0</v>
      </c>
      <c r="S257" s="151" t="str">
        <f aca="false">IF(ISNUMBER(B257),B257*(1+1/'13_Mapa_Liq'!$B$16-'13_Mapa_Liq'!$B$6),"")</f>
        <v/>
      </c>
      <c r="T257" s="151" t="n">
        <f aca="false">IF(ISNUMBER(B257),IF(L257&lt;S257,J257*'13_Mapa_Liq'!$C$16,0),0)</f>
        <v>0</v>
      </c>
      <c r="U257" s="151" t="str">
        <f aca="false">IF(ISNUMBER(B257),B257*(1-1/'13_Mapa_Liq'!$B$17+'13_Mapa_Liq'!$B$6),"")</f>
        <v/>
      </c>
      <c r="V257" s="151" t="n">
        <f aca="false">IF(ISNUMBER(B257),IF(K257&gt;U257,I257*'13_Mapa_Liq'!$C$17,0),0)</f>
        <v>0</v>
      </c>
      <c r="W257" s="151" t="str">
        <f aca="false">IF(ISNUMBER(B257),B257*(1+1/'13_Mapa_Liq'!$B$17-'13_Mapa_Liq'!$B$6),"")</f>
        <v/>
      </c>
      <c r="X257" s="151" t="n">
        <f aca="false">IF(ISNUMBER(B257),IF(L257&lt;W257,J257*'13_Mapa_Liq'!$C$17,0),0)</f>
        <v>0</v>
      </c>
      <c r="Y257" s="151" t="str">
        <f aca="false">IF(ISNUMBER(B257),B257*(1-1/'13_Mapa_Liq'!$B$18+'13_Mapa_Liq'!$B$6),"")</f>
        <v/>
      </c>
      <c r="Z257" s="151" t="n">
        <f aca="false">IF(ISNUMBER(B257),IF(K257&gt;Y257,I257*'13_Mapa_Liq'!$C$18,0),0)</f>
        <v>0</v>
      </c>
      <c r="AA257" s="151" t="str">
        <f aca="false">IF(ISNUMBER(B257),B257*(1+1/'13_Mapa_Liq'!$B$18-'13_Mapa_Liq'!$B$6),"")</f>
        <v/>
      </c>
      <c r="AB257" s="151" t="n">
        <f aca="false">IF(ISNUMBER(B257),IF(L257&lt;AA257,J257*'13_Mapa_Liq'!$C$18,0),0)</f>
        <v>0</v>
      </c>
      <c r="AC257" s="151" t="str">
        <f aca="false">IF(ISNUMBER(B257),B257*(1-1/'13_Mapa_Liq'!$B$19+'13_Mapa_Liq'!$B$6),"")</f>
        <v/>
      </c>
      <c r="AD257" s="151" t="n">
        <f aca="false">IF(ISNUMBER(B257),IF(K257&gt;AC257,I257*'13_Mapa_Liq'!$C$19,0),0)</f>
        <v>0</v>
      </c>
      <c r="AE257" s="151" t="str">
        <f aca="false">IF(ISNUMBER(B257),B257*(1+1/'13_Mapa_Liq'!$B$19-'13_Mapa_Liq'!$B$6),"")</f>
        <v/>
      </c>
      <c r="AF257" s="151" t="n">
        <f aca="false">IF(ISNUMBER(B257),IF(L257&lt;AE257,J257*'13_Mapa_Liq'!$C$19,0),0)</f>
        <v>0</v>
      </c>
      <c r="AG257" s="151"/>
      <c r="AH257" s="151" t="n">
        <f aca="false">IF(ISNUMBER(B257),E257*F257*((K257&lt;=M257)*'13_Mapa_Liq'!$C$15+(K257&lt;=Q257)*'13_Mapa_Liq'!$C$16+(K257&lt;=U257)*'13_Mapa_Liq'!$C$17+(K257&lt;=Y257)*'13_Mapa_Liq'!$C$18+(K257&lt;=AC257)*'13_Mapa_Liq'!$C$19),0)</f>
        <v>0</v>
      </c>
      <c r="AI257" s="151" t="n">
        <f aca="false">IF(ISNUMBER(B257),E257*(1-F257)*((L257&gt;=O257)*'13_Mapa_Liq'!$C$15+(L257&gt;=S257)*'13_Mapa_Liq'!$C$16+(L257&gt;=W257)*'13_Mapa_Liq'!$C$17+(L257&gt;=AA257)*'13_Mapa_Liq'!$C$18+(L257&gt;=AE257)*'13_Mapa_Liq'!$C$19),0)</f>
        <v>0</v>
      </c>
    </row>
    <row r="258" customFormat="false" ht="15" hidden="false" customHeight="false" outlineLevel="0" collapsed="false">
      <c r="A258" s="151" t="str">
        <f aca="false">IF(ISNUMBER('12_Datos_5m'!F258),ROW()-4,"")</f>
        <v/>
      </c>
      <c r="B258" s="151" t="str">
        <f aca="false">IF(ISNUMBER('12_Datos_5m'!F258),'12_Datos_5m'!F258,"")</f>
        <v/>
      </c>
      <c r="C258" s="151" t="str">
        <f aca="false">IF(ISNUMBER('12_Datos_5m'!A258),'12_Datos_5m'!A258,"")</f>
        <v/>
      </c>
      <c r="D258" s="151" t="n">
        <f aca="false">IF(AND(ISNUMBER('12_Datos_5m'!I258),ISNUMBER('12_Datos_5m'!I257)),'12_Datos_5m'!I258-'12_Datos_5m'!I257,0)</f>
        <v>0</v>
      </c>
      <c r="E258" s="151" t="n">
        <f aca="false">MAX(0,D258)</f>
        <v>0</v>
      </c>
      <c r="F258" s="151" t="n">
        <f aca="false">IF(AND(ISNUMBER('12_Datos_5m'!G258),N('12_Datos_5m'!G258)&gt;0),'12_Datos_5m'!H258/'12_Datos_5m'!G258,0.5)</f>
        <v>0.5</v>
      </c>
      <c r="G258" s="151" t="n">
        <f aca="false">IF(ISNUMBER(C258),($C$2-C258)/3600000,0)</f>
        <v>0</v>
      </c>
      <c r="H258" s="151" t="n">
        <f aca="false">EXP(-G258/'13_Mapa_Liq'!$B$7)</f>
        <v>1</v>
      </c>
      <c r="I258" s="151" t="n">
        <f aca="false">E258*F258*H258</f>
        <v>0</v>
      </c>
      <c r="J258" s="151" t="n">
        <f aca="false">E258*(1-F258)*H258</f>
        <v>0</v>
      </c>
      <c r="K258" s="151" t="n">
        <f aca="false">IF(COUNT('12_Datos_5m'!E259:E$504)=0,1000000000000,MIN('12_Datos_5m'!E259:E$504))</f>
        <v>1000000000000</v>
      </c>
      <c r="L258" s="151" t="n">
        <f aca="false">IF(COUNT('12_Datos_5m'!D259:D$504)=0,0,MAX('12_Datos_5m'!D259:D$504))</f>
        <v>0</v>
      </c>
      <c r="M258" s="151" t="str">
        <f aca="false">IF(ISNUMBER(B258),B258*(1-1/'13_Mapa_Liq'!$B$15+'13_Mapa_Liq'!$B$6),"")</f>
        <v/>
      </c>
      <c r="N258" s="151" t="n">
        <f aca="false">IF(ISNUMBER(B258),IF(K258&gt;M258,I258*'13_Mapa_Liq'!$C$15,0),0)</f>
        <v>0</v>
      </c>
      <c r="O258" s="151" t="str">
        <f aca="false">IF(ISNUMBER(B258),B258*(1+1/'13_Mapa_Liq'!$B$15-'13_Mapa_Liq'!$B$6),"")</f>
        <v/>
      </c>
      <c r="P258" s="151" t="n">
        <f aca="false">IF(ISNUMBER(B258),IF(L258&lt;O258,J258*'13_Mapa_Liq'!$C$15,0),0)</f>
        <v>0</v>
      </c>
      <c r="Q258" s="151" t="str">
        <f aca="false">IF(ISNUMBER(B258),B258*(1-1/'13_Mapa_Liq'!$B$16+'13_Mapa_Liq'!$B$6),"")</f>
        <v/>
      </c>
      <c r="R258" s="151" t="n">
        <f aca="false">IF(ISNUMBER(B258),IF(K258&gt;Q258,I258*'13_Mapa_Liq'!$C$16,0),0)</f>
        <v>0</v>
      </c>
      <c r="S258" s="151" t="str">
        <f aca="false">IF(ISNUMBER(B258),B258*(1+1/'13_Mapa_Liq'!$B$16-'13_Mapa_Liq'!$B$6),"")</f>
        <v/>
      </c>
      <c r="T258" s="151" t="n">
        <f aca="false">IF(ISNUMBER(B258),IF(L258&lt;S258,J258*'13_Mapa_Liq'!$C$16,0),0)</f>
        <v>0</v>
      </c>
      <c r="U258" s="151" t="str">
        <f aca="false">IF(ISNUMBER(B258),B258*(1-1/'13_Mapa_Liq'!$B$17+'13_Mapa_Liq'!$B$6),"")</f>
        <v/>
      </c>
      <c r="V258" s="151" t="n">
        <f aca="false">IF(ISNUMBER(B258),IF(K258&gt;U258,I258*'13_Mapa_Liq'!$C$17,0),0)</f>
        <v>0</v>
      </c>
      <c r="W258" s="151" t="str">
        <f aca="false">IF(ISNUMBER(B258),B258*(1+1/'13_Mapa_Liq'!$B$17-'13_Mapa_Liq'!$B$6),"")</f>
        <v/>
      </c>
      <c r="X258" s="151" t="n">
        <f aca="false">IF(ISNUMBER(B258),IF(L258&lt;W258,J258*'13_Mapa_Liq'!$C$17,0),0)</f>
        <v>0</v>
      </c>
      <c r="Y258" s="151" t="str">
        <f aca="false">IF(ISNUMBER(B258),B258*(1-1/'13_Mapa_Liq'!$B$18+'13_Mapa_Liq'!$B$6),"")</f>
        <v/>
      </c>
      <c r="Z258" s="151" t="n">
        <f aca="false">IF(ISNUMBER(B258),IF(K258&gt;Y258,I258*'13_Mapa_Liq'!$C$18,0),0)</f>
        <v>0</v>
      </c>
      <c r="AA258" s="151" t="str">
        <f aca="false">IF(ISNUMBER(B258),B258*(1+1/'13_Mapa_Liq'!$B$18-'13_Mapa_Liq'!$B$6),"")</f>
        <v/>
      </c>
      <c r="AB258" s="151" t="n">
        <f aca="false">IF(ISNUMBER(B258),IF(L258&lt;AA258,J258*'13_Mapa_Liq'!$C$18,0),0)</f>
        <v>0</v>
      </c>
      <c r="AC258" s="151" t="str">
        <f aca="false">IF(ISNUMBER(B258),B258*(1-1/'13_Mapa_Liq'!$B$19+'13_Mapa_Liq'!$B$6),"")</f>
        <v/>
      </c>
      <c r="AD258" s="151" t="n">
        <f aca="false">IF(ISNUMBER(B258),IF(K258&gt;AC258,I258*'13_Mapa_Liq'!$C$19,0),0)</f>
        <v>0</v>
      </c>
      <c r="AE258" s="151" t="str">
        <f aca="false">IF(ISNUMBER(B258),B258*(1+1/'13_Mapa_Liq'!$B$19-'13_Mapa_Liq'!$B$6),"")</f>
        <v/>
      </c>
      <c r="AF258" s="151" t="n">
        <f aca="false">IF(ISNUMBER(B258),IF(L258&lt;AE258,J258*'13_Mapa_Liq'!$C$19,0),0)</f>
        <v>0</v>
      </c>
      <c r="AG258" s="151"/>
      <c r="AH258" s="151" t="n">
        <f aca="false">IF(ISNUMBER(B258),E258*F258*((K258&lt;=M258)*'13_Mapa_Liq'!$C$15+(K258&lt;=Q258)*'13_Mapa_Liq'!$C$16+(K258&lt;=U258)*'13_Mapa_Liq'!$C$17+(K258&lt;=Y258)*'13_Mapa_Liq'!$C$18+(K258&lt;=AC258)*'13_Mapa_Liq'!$C$19),0)</f>
        <v>0</v>
      </c>
      <c r="AI258" s="151" t="n">
        <f aca="false">IF(ISNUMBER(B258),E258*(1-F258)*((L258&gt;=O258)*'13_Mapa_Liq'!$C$15+(L258&gt;=S258)*'13_Mapa_Liq'!$C$16+(L258&gt;=W258)*'13_Mapa_Liq'!$C$17+(L258&gt;=AA258)*'13_Mapa_Liq'!$C$18+(L258&gt;=AE258)*'13_Mapa_Liq'!$C$19),0)</f>
        <v>0</v>
      </c>
    </row>
    <row r="259" customFormat="false" ht="15" hidden="false" customHeight="false" outlineLevel="0" collapsed="false">
      <c r="A259" s="151" t="str">
        <f aca="false">IF(ISNUMBER('12_Datos_5m'!F259),ROW()-4,"")</f>
        <v/>
      </c>
      <c r="B259" s="151" t="str">
        <f aca="false">IF(ISNUMBER('12_Datos_5m'!F259),'12_Datos_5m'!F259,"")</f>
        <v/>
      </c>
      <c r="C259" s="151" t="str">
        <f aca="false">IF(ISNUMBER('12_Datos_5m'!A259),'12_Datos_5m'!A259,"")</f>
        <v/>
      </c>
      <c r="D259" s="151" t="n">
        <f aca="false">IF(AND(ISNUMBER('12_Datos_5m'!I259),ISNUMBER('12_Datos_5m'!I258)),'12_Datos_5m'!I259-'12_Datos_5m'!I258,0)</f>
        <v>0</v>
      </c>
      <c r="E259" s="151" t="n">
        <f aca="false">MAX(0,D259)</f>
        <v>0</v>
      </c>
      <c r="F259" s="151" t="n">
        <f aca="false">IF(AND(ISNUMBER('12_Datos_5m'!G259),N('12_Datos_5m'!G259)&gt;0),'12_Datos_5m'!H259/'12_Datos_5m'!G259,0.5)</f>
        <v>0.5</v>
      </c>
      <c r="G259" s="151" t="n">
        <f aca="false">IF(ISNUMBER(C259),($C$2-C259)/3600000,0)</f>
        <v>0</v>
      </c>
      <c r="H259" s="151" t="n">
        <f aca="false">EXP(-G259/'13_Mapa_Liq'!$B$7)</f>
        <v>1</v>
      </c>
      <c r="I259" s="151" t="n">
        <f aca="false">E259*F259*H259</f>
        <v>0</v>
      </c>
      <c r="J259" s="151" t="n">
        <f aca="false">E259*(1-F259)*H259</f>
        <v>0</v>
      </c>
      <c r="K259" s="151" t="n">
        <f aca="false">IF(COUNT('12_Datos_5m'!E260:E$504)=0,1000000000000,MIN('12_Datos_5m'!E260:E$504))</f>
        <v>1000000000000</v>
      </c>
      <c r="L259" s="151" t="n">
        <f aca="false">IF(COUNT('12_Datos_5m'!D260:D$504)=0,0,MAX('12_Datos_5m'!D260:D$504))</f>
        <v>0</v>
      </c>
      <c r="M259" s="151" t="str">
        <f aca="false">IF(ISNUMBER(B259),B259*(1-1/'13_Mapa_Liq'!$B$15+'13_Mapa_Liq'!$B$6),"")</f>
        <v/>
      </c>
      <c r="N259" s="151" t="n">
        <f aca="false">IF(ISNUMBER(B259),IF(K259&gt;M259,I259*'13_Mapa_Liq'!$C$15,0),0)</f>
        <v>0</v>
      </c>
      <c r="O259" s="151" t="str">
        <f aca="false">IF(ISNUMBER(B259),B259*(1+1/'13_Mapa_Liq'!$B$15-'13_Mapa_Liq'!$B$6),"")</f>
        <v/>
      </c>
      <c r="P259" s="151" t="n">
        <f aca="false">IF(ISNUMBER(B259),IF(L259&lt;O259,J259*'13_Mapa_Liq'!$C$15,0),0)</f>
        <v>0</v>
      </c>
      <c r="Q259" s="151" t="str">
        <f aca="false">IF(ISNUMBER(B259),B259*(1-1/'13_Mapa_Liq'!$B$16+'13_Mapa_Liq'!$B$6),"")</f>
        <v/>
      </c>
      <c r="R259" s="151" t="n">
        <f aca="false">IF(ISNUMBER(B259),IF(K259&gt;Q259,I259*'13_Mapa_Liq'!$C$16,0),0)</f>
        <v>0</v>
      </c>
      <c r="S259" s="151" t="str">
        <f aca="false">IF(ISNUMBER(B259),B259*(1+1/'13_Mapa_Liq'!$B$16-'13_Mapa_Liq'!$B$6),"")</f>
        <v/>
      </c>
      <c r="T259" s="151" t="n">
        <f aca="false">IF(ISNUMBER(B259),IF(L259&lt;S259,J259*'13_Mapa_Liq'!$C$16,0),0)</f>
        <v>0</v>
      </c>
      <c r="U259" s="151" t="str">
        <f aca="false">IF(ISNUMBER(B259),B259*(1-1/'13_Mapa_Liq'!$B$17+'13_Mapa_Liq'!$B$6),"")</f>
        <v/>
      </c>
      <c r="V259" s="151" t="n">
        <f aca="false">IF(ISNUMBER(B259),IF(K259&gt;U259,I259*'13_Mapa_Liq'!$C$17,0),0)</f>
        <v>0</v>
      </c>
      <c r="W259" s="151" t="str">
        <f aca="false">IF(ISNUMBER(B259),B259*(1+1/'13_Mapa_Liq'!$B$17-'13_Mapa_Liq'!$B$6),"")</f>
        <v/>
      </c>
      <c r="X259" s="151" t="n">
        <f aca="false">IF(ISNUMBER(B259),IF(L259&lt;W259,J259*'13_Mapa_Liq'!$C$17,0),0)</f>
        <v>0</v>
      </c>
      <c r="Y259" s="151" t="str">
        <f aca="false">IF(ISNUMBER(B259),B259*(1-1/'13_Mapa_Liq'!$B$18+'13_Mapa_Liq'!$B$6),"")</f>
        <v/>
      </c>
      <c r="Z259" s="151" t="n">
        <f aca="false">IF(ISNUMBER(B259),IF(K259&gt;Y259,I259*'13_Mapa_Liq'!$C$18,0),0)</f>
        <v>0</v>
      </c>
      <c r="AA259" s="151" t="str">
        <f aca="false">IF(ISNUMBER(B259),B259*(1+1/'13_Mapa_Liq'!$B$18-'13_Mapa_Liq'!$B$6),"")</f>
        <v/>
      </c>
      <c r="AB259" s="151" t="n">
        <f aca="false">IF(ISNUMBER(B259),IF(L259&lt;AA259,J259*'13_Mapa_Liq'!$C$18,0),0)</f>
        <v>0</v>
      </c>
      <c r="AC259" s="151" t="str">
        <f aca="false">IF(ISNUMBER(B259),B259*(1-1/'13_Mapa_Liq'!$B$19+'13_Mapa_Liq'!$B$6),"")</f>
        <v/>
      </c>
      <c r="AD259" s="151" t="n">
        <f aca="false">IF(ISNUMBER(B259),IF(K259&gt;AC259,I259*'13_Mapa_Liq'!$C$19,0),0)</f>
        <v>0</v>
      </c>
      <c r="AE259" s="151" t="str">
        <f aca="false">IF(ISNUMBER(B259),B259*(1+1/'13_Mapa_Liq'!$B$19-'13_Mapa_Liq'!$B$6),"")</f>
        <v/>
      </c>
      <c r="AF259" s="151" t="n">
        <f aca="false">IF(ISNUMBER(B259),IF(L259&lt;AE259,J259*'13_Mapa_Liq'!$C$19,0),0)</f>
        <v>0</v>
      </c>
      <c r="AG259" s="151"/>
      <c r="AH259" s="151" t="n">
        <f aca="false">IF(ISNUMBER(B259),E259*F259*((K259&lt;=M259)*'13_Mapa_Liq'!$C$15+(K259&lt;=Q259)*'13_Mapa_Liq'!$C$16+(K259&lt;=U259)*'13_Mapa_Liq'!$C$17+(K259&lt;=Y259)*'13_Mapa_Liq'!$C$18+(K259&lt;=AC259)*'13_Mapa_Liq'!$C$19),0)</f>
        <v>0</v>
      </c>
      <c r="AI259" s="151" t="n">
        <f aca="false">IF(ISNUMBER(B259),E259*(1-F259)*((L259&gt;=O259)*'13_Mapa_Liq'!$C$15+(L259&gt;=S259)*'13_Mapa_Liq'!$C$16+(L259&gt;=W259)*'13_Mapa_Liq'!$C$17+(L259&gt;=AA259)*'13_Mapa_Liq'!$C$18+(L259&gt;=AE259)*'13_Mapa_Liq'!$C$19),0)</f>
        <v>0</v>
      </c>
    </row>
    <row r="260" customFormat="false" ht="15" hidden="false" customHeight="false" outlineLevel="0" collapsed="false">
      <c r="A260" s="151" t="str">
        <f aca="false">IF(ISNUMBER('12_Datos_5m'!F260),ROW()-4,"")</f>
        <v/>
      </c>
      <c r="B260" s="151" t="str">
        <f aca="false">IF(ISNUMBER('12_Datos_5m'!F260),'12_Datos_5m'!F260,"")</f>
        <v/>
      </c>
      <c r="C260" s="151" t="str">
        <f aca="false">IF(ISNUMBER('12_Datos_5m'!A260),'12_Datos_5m'!A260,"")</f>
        <v/>
      </c>
      <c r="D260" s="151" t="n">
        <f aca="false">IF(AND(ISNUMBER('12_Datos_5m'!I260),ISNUMBER('12_Datos_5m'!I259)),'12_Datos_5m'!I260-'12_Datos_5m'!I259,0)</f>
        <v>0</v>
      </c>
      <c r="E260" s="151" t="n">
        <f aca="false">MAX(0,D260)</f>
        <v>0</v>
      </c>
      <c r="F260" s="151" t="n">
        <f aca="false">IF(AND(ISNUMBER('12_Datos_5m'!G260),N('12_Datos_5m'!G260)&gt;0),'12_Datos_5m'!H260/'12_Datos_5m'!G260,0.5)</f>
        <v>0.5</v>
      </c>
      <c r="G260" s="151" t="n">
        <f aca="false">IF(ISNUMBER(C260),($C$2-C260)/3600000,0)</f>
        <v>0</v>
      </c>
      <c r="H260" s="151" t="n">
        <f aca="false">EXP(-G260/'13_Mapa_Liq'!$B$7)</f>
        <v>1</v>
      </c>
      <c r="I260" s="151" t="n">
        <f aca="false">E260*F260*H260</f>
        <v>0</v>
      </c>
      <c r="J260" s="151" t="n">
        <f aca="false">E260*(1-F260)*H260</f>
        <v>0</v>
      </c>
      <c r="K260" s="151" t="n">
        <f aca="false">IF(COUNT('12_Datos_5m'!E261:E$504)=0,1000000000000,MIN('12_Datos_5m'!E261:E$504))</f>
        <v>1000000000000</v>
      </c>
      <c r="L260" s="151" t="n">
        <f aca="false">IF(COUNT('12_Datos_5m'!D261:D$504)=0,0,MAX('12_Datos_5m'!D261:D$504))</f>
        <v>0</v>
      </c>
      <c r="M260" s="151" t="str">
        <f aca="false">IF(ISNUMBER(B260),B260*(1-1/'13_Mapa_Liq'!$B$15+'13_Mapa_Liq'!$B$6),"")</f>
        <v/>
      </c>
      <c r="N260" s="151" t="n">
        <f aca="false">IF(ISNUMBER(B260),IF(K260&gt;M260,I260*'13_Mapa_Liq'!$C$15,0),0)</f>
        <v>0</v>
      </c>
      <c r="O260" s="151" t="str">
        <f aca="false">IF(ISNUMBER(B260),B260*(1+1/'13_Mapa_Liq'!$B$15-'13_Mapa_Liq'!$B$6),"")</f>
        <v/>
      </c>
      <c r="P260" s="151" t="n">
        <f aca="false">IF(ISNUMBER(B260),IF(L260&lt;O260,J260*'13_Mapa_Liq'!$C$15,0),0)</f>
        <v>0</v>
      </c>
      <c r="Q260" s="151" t="str">
        <f aca="false">IF(ISNUMBER(B260),B260*(1-1/'13_Mapa_Liq'!$B$16+'13_Mapa_Liq'!$B$6),"")</f>
        <v/>
      </c>
      <c r="R260" s="151" t="n">
        <f aca="false">IF(ISNUMBER(B260),IF(K260&gt;Q260,I260*'13_Mapa_Liq'!$C$16,0),0)</f>
        <v>0</v>
      </c>
      <c r="S260" s="151" t="str">
        <f aca="false">IF(ISNUMBER(B260),B260*(1+1/'13_Mapa_Liq'!$B$16-'13_Mapa_Liq'!$B$6),"")</f>
        <v/>
      </c>
      <c r="T260" s="151" t="n">
        <f aca="false">IF(ISNUMBER(B260),IF(L260&lt;S260,J260*'13_Mapa_Liq'!$C$16,0),0)</f>
        <v>0</v>
      </c>
      <c r="U260" s="151" t="str">
        <f aca="false">IF(ISNUMBER(B260),B260*(1-1/'13_Mapa_Liq'!$B$17+'13_Mapa_Liq'!$B$6),"")</f>
        <v/>
      </c>
      <c r="V260" s="151" t="n">
        <f aca="false">IF(ISNUMBER(B260),IF(K260&gt;U260,I260*'13_Mapa_Liq'!$C$17,0),0)</f>
        <v>0</v>
      </c>
      <c r="W260" s="151" t="str">
        <f aca="false">IF(ISNUMBER(B260),B260*(1+1/'13_Mapa_Liq'!$B$17-'13_Mapa_Liq'!$B$6),"")</f>
        <v/>
      </c>
      <c r="X260" s="151" t="n">
        <f aca="false">IF(ISNUMBER(B260),IF(L260&lt;W260,J260*'13_Mapa_Liq'!$C$17,0),0)</f>
        <v>0</v>
      </c>
      <c r="Y260" s="151" t="str">
        <f aca="false">IF(ISNUMBER(B260),B260*(1-1/'13_Mapa_Liq'!$B$18+'13_Mapa_Liq'!$B$6),"")</f>
        <v/>
      </c>
      <c r="Z260" s="151" t="n">
        <f aca="false">IF(ISNUMBER(B260),IF(K260&gt;Y260,I260*'13_Mapa_Liq'!$C$18,0),0)</f>
        <v>0</v>
      </c>
      <c r="AA260" s="151" t="str">
        <f aca="false">IF(ISNUMBER(B260),B260*(1+1/'13_Mapa_Liq'!$B$18-'13_Mapa_Liq'!$B$6),"")</f>
        <v/>
      </c>
      <c r="AB260" s="151" t="n">
        <f aca="false">IF(ISNUMBER(B260),IF(L260&lt;AA260,J260*'13_Mapa_Liq'!$C$18,0),0)</f>
        <v>0</v>
      </c>
      <c r="AC260" s="151" t="str">
        <f aca="false">IF(ISNUMBER(B260),B260*(1-1/'13_Mapa_Liq'!$B$19+'13_Mapa_Liq'!$B$6),"")</f>
        <v/>
      </c>
      <c r="AD260" s="151" t="n">
        <f aca="false">IF(ISNUMBER(B260),IF(K260&gt;AC260,I260*'13_Mapa_Liq'!$C$19,0),0)</f>
        <v>0</v>
      </c>
      <c r="AE260" s="151" t="str">
        <f aca="false">IF(ISNUMBER(B260),B260*(1+1/'13_Mapa_Liq'!$B$19-'13_Mapa_Liq'!$B$6),"")</f>
        <v/>
      </c>
      <c r="AF260" s="151" t="n">
        <f aca="false">IF(ISNUMBER(B260),IF(L260&lt;AE260,J260*'13_Mapa_Liq'!$C$19,0),0)</f>
        <v>0</v>
      </c>
      <c r="AG260" s="151"/>
      <c r="AH260" s="151" t="n">
        <f aca="false">IF(ISNUMBER(B260),E260*F260*((K260&lt;=M260)*'13_Mapa_Liq'!$C$15+(K260&lt;=Q260)*'13_Mapa_Liq'!$C$16+(K260&lt;=U260)*'13_Mapa_Liq'!$C$17+(K260&lt;=Y260)*'13_Mapa_Liq'!$C$18+(K260&lt;=AC260)*'13_Mapa_Liq'!$C$19),0)</f>
        <v>0</v>
      </c>
      <c r="AI260" s="151" t="n">
        <f aca="false">IF(ISNUMBER(B260),E260*(1-F260)*((L260&gt;=O260)*'13_Mapa_Liq'!$C$15+(L260&gt;=S260)*'13_Mapa_Liq'!$C$16+(L260&gt;=W260)*'13_Mapa_Liq'!$C$17+(L260&gt;=AA260)*'13_Mapa_Liq'!$C$18+(L260&gt;=AE260)*'13_Mapa_Liq'!$C$19),0)</f>
        <v>0</v>
      </c>
    </row>
    <row r="261" customFormat="false" ht="15" hidden="false" customHeight="false" outlineLevel="0" collapsed="false">
      <c r="A261" s="151" t="str">
        <f aca="false">IF(ISNUMBER('12_Datos_5m'!F261),ROW()-4,"")</f>
        <v/>
      </c>
      <c r="B261" s="151" t="str">
        <f aca="false">IF(ISNUMBER('12_Datos_5m'!F261),'12_Datos_5m'!F261,"")</f>
        <v/>
      </c>
      <c r="C261" s="151" t="str">
        <f aca="false">IF(ISNUMBER('12_Datos_5m'!A261),'12_Datos_5m'!A261,"")</f>
        <v/>
      </c>
      <c r="D261" s="151" t="n">
        <f aca="false">IF(AND(ISNUMBER('12_Datos_5m'!I261),ISNUMBER('12_Datos_5m'!I260)),'12_Datos_5m'!I261-'12_Datos_5m'!I260,0)</f>
        <v>0</v>
      </c>
      <c r="E261" s="151" t="n">
        <f aca="false">MAX(0,D261)</f>
        <v>0</v>
      </c>
      <c r="F261" s="151" t="n">
        <f aca="false">IF(AND(ISNUMBER('12_Datos_5m'!G261),N('12_Datos_5m'!G261)&gt;0),'12_Datos_5m'!H261/'12_Datos_5m'!G261,0.5)</f>
        <v>0.5</v>
      </c>
      <c r="G261" s="151" t="n">
        <f aca="false">IF(ISNUMBER(C261),($C$2-C261)/3600000,0)</f>
        <v>0</v>
      </c>
      <c r="H261" s="151" t="n">
        <f aca="false">EXP(-G261/'13_Mapa_Liq'!$B$7)</f>
        <v>1</v>
      </c>
      <c r="I261" s="151" t="n">
        <f aca="false">E261*F261*H261</f>
        <v>0</v>
      </c>
      <c r="J261" s="151" t="n">
        <f aca="false">E261*(1-F261)*H261</f>
        <v>0</v>
      </c>
      <c r="K261" s="151" t="n">
        <f aca="false">IF(COUNT('12_Datos_5m'!E262:E$504)=0,1000000000000,MIN('12_Datos_5m'!E262:E$504))</f>
        <v>1000000000000</v>
      </c>
      <c r="L261" s="151" t="n">
        <f aca="false">IF(COUNT('12_Datos_5m'!D262:D$504)=0,0,MAX('12_Datos_5m'!D262:D$504))</f>
        <v>0</v>
      </c>
      <c r="M261" s="151" t="str">
        <f aca="false">IF(ISNUMBER(B261),B261*(1-1/'13_Mapa_Liq'!$B$15+'13_Mapa_Liq'!$B$6),"")</f>
        <v/>
      </c>
      <c r="N261" s="151" t="n">
        <f aca="false">IF(ISNUMBER(B261),IF(K261&gt;M261,I261*'13_Mapa_Liq'!$C$15,0),0)</f>
        <v>0</v>
      </c>
      <c r="O261" s="151" t="str">
        <f aca="false">IF(ISNUMBER(B261),B261*(1+1/'13_Mapa_Liq'!$B$15-'13_Mapa_Liq'!$B$6),"")</f>
        <v/>
      </c>
      <c r="P261" s="151" t="n">
        <f aca="false">IF(ISNUMBER(B261),IF(L261&lt;O261,J261*'13_Mapa_Liq'!$C$15,0),0)</f>
        <v>0</v>
      </c>
      <c r="Q261" s="151" t="str">
        <f aca="false">IF(ISNUMBER(B261),B261*(1-1/'13_Mapa_Liq'!$B$16+'13_Mapa_Liq'!$B$6),"")</f>
        <v/>
      </c>
      <c r="R261" s="151" t="n">
        <f aca="false">IF(ISNUMBER(B261),IF(K261&gt;Q261,I261*'13_Mapa_Liq'!$C$16,0),0)</f>
        <v>0</v>
      </c>
      <c r="S261" s="151" t="str">
        <f aca="false">IF(ISNUMBER(B261),B261*(1+1/'13_Mapa_Liq'!$B$16-'13_Mapa_Liq'!$B$6),"")</f>
        <v/>
      </c>
      <c r="T261" s="151" t="n">
        <f aca="false">IF(ISNUMBER(B261),IF(L261&lt;S261,J261*'13_Mapa_Liq'!$C$16,0),0)</f>
        <v>0</v>
      </c>
      <c r="U261" s="151" t="str">
        <f aca="false">IF(ISNUMBER(B261),B261*(1-1/'13_Mapa_Liq'!$B$17+'13_Mapa_Liq'!$B$6),"")</f>
        <v/>
      </c>
      <c r="V261" s="151" t="n">
        <f aca="false">IF(ISNUMBER(B261),IF(K261&gt;U261,I261*'13_Mapa_Liq'!$C$17,0),0)</f>
        <v>0</v>
      </c>
      <c r="W261" s="151" t="str">
        <f aca="false">IF(ISNUMBER(B261),B261*(1+1/'13_Mapa_Liq'!$B$17-'13_Mapa_Liq'!$B$6),"")</f>
        <v/>
      </c>
      <c r="X261" s="151" t="n">
        <f aca="false">IF(ISNUMBER(B261),IF(L261&lt;W261,J261*'13_Mapa_Liq'!$C$17,0),0)</f>
        <v>0</v>
      </c>
      <c r="Y261" s="151" t="str">
        <f aca="false">IF(ISNUMBER(B261),B261*(1-1/'13_Mapa_Liq'!$B$18+'13_Mapa_Liq'!$B$6),"")</f>
        <v/>
      </c>
      <c r="Z261" s="151" t="n">
        <f aca="false">IF(ISNUMBER(B261),IF(K261&gt;Y261,I261*'13_Mapa_Liq'!$C$18,0),0)</f>
        <v>0</v>
      </c>
      <c r="AA261" s="151" t="str">
        <f aca="false">IF(ISNUMBER(B261),B261*(1+1/'13_Mapa_Liq'!$B$18-'13_Mapa_Liq'!$B$6),"")</f>
        <v/>
      </c>
      <c r="AB261" s="151" t="n">
        <f aca="false">IF(ISNUMBER(B261),IF(L261&lt;AA261,J261*'13_Mapa_Liq'!$C$18,0),0)</f>
        <v>0</v>
      </c>
      <c r="AC261" s="151" t="str">
        <f aca="false">IF(ISNUMBER(B261),B261*(1-1/'13_Mapa_Liq'!$B$19+'13_Mapa_Liq'!$B$6),"")</f>
        <v/>
      </c>
      <c r="AD261" s="151" t="n">
        <f aca="false">IF(ISNUMBER(B261),IF(K261&gt;AC261,I261*'13_Mapa_Liq'!$C$19,0),0)</f>
        <v>0</v>
      </c>
      <c r="AE261" s="151" t="str">
        <f aca="false">IF(ISNUMBER(B261),B261*(1+1/'13_Mapa_Liq'!$B$19-'13_Mapa_Liq'!$B$6),"")</f>
        <v/>
      </c>
      <c r="AF261" s="151" t="n">
        <f aca="false">IF(ISNUMBER(B261),IF(L261&lt;AE261,J261*'13_Mapa_Liq'!$C$19,0),0)</f>
        <v>0</v>
      </c>
      <c r="AG261" s="151"/>
      <c r="AH261" s="151" t="n">
        <f aca="false">IF(ISNUMBER(B261),E261*F261*((K261&lt;=M261)*'13_Mapa_Liq'!$C$15+(K261&lt;=Q261)*'13_Mapa_Liq'!$C$16+(K261&lt;=U261)*'13_Mapa_Liq'!$C$17+(K261&lt;=Y261)*'13_Mapa_Liq'!$C$18+(K261&lt;=AC261)*'13_Mapa_Liq'!$C$19),0)</f>
        <v>0</v>
      </c>
      <c r="AI261" s="151" t="n">
        <f aca="false">IF(ISNUMBER(B261),E261*(1-F261)*((L261&gt;=O261)*'13_Mapa_Liq'!$C$15+(L261&gt;=S261)*'13_Mapa_Liq'!$C$16+(L261&gt;=W261)*'13_Mapa_Liq'!$C$17+(L261&gt;=AA261)*'13_Mapa_Liq'!$C$18+(L261&gt;=AE261)*'13_Mapa_Liq'!$C$19),0)</f>
        <v>0</v>
      </c>
    </row>
    <row r="262" customFormat="false" ht="15" hidden="false" customHeight="false" outlineLevel="0" collapsed="false">
      <c r="A262" s="151" t="str">
        <f aca="false">IF(ISNUMBER('12_Datos_5m'!F262),ROW()-4,"")</f>
        <v/>
      </c>
      <c r="B262" s="151" t="str">
        <f aca="false">IF(ISNUMBER('12_Datos_5m'!F262),'12_Datos_5m'!F262,"")</f>
        <v/>
      </c>
      <c r="C262" s="151" t="str">
        <f aca="false">IF(ISNUMBER('12_Datos_5m'!A262),'12_Datos_5m'!A262,"")</f>
        <v/>
      </c>
      <c r="D262" s="151" t="n">
        <f aca="false">IF(AND(ISNUMBER('12_Datos_5m'!I262),ISNUMBER('12_Datos_5m'!I261)),'12_Datos_5m'!I262-'12_Datos_5m'!I261,0)</f>
        <v>0</v>
      </c>
      <c r="E262" s="151" t="n">
        <f aca="false">MAX(0,D262)</f>
        <v>0</v>
      </c>
      <c r="F262" s="151" t="n">
        <f aca="false">IF(AND(ISNUMBER('12_Datos_5m'!G262),N('12_Datos_5m'!G262)&gt;0),'12_Datos_5m'!H262/'12_Datos_5m'!G262,0.5)</f>
        <v>0.5</v>
      </c>
      <c r="G262" s="151" t="n">
        <f aca="false">IF(ISNUMBER(C262),($C$2-C262)/3600000,0)</f>
        <v>0</v>
      </c>
      <c r="H262" s="151" t="n">
        <f aca="false">EXP(-G262/'13_Mapa_Liq'!$B$7)</f>
        <v>1</v>
      </c>
      <c r="I262" s="151" t="n">
        <f aca="false">E262*F262*H262</f>
        <v>0</v>
      </c>
      <c r="J262" s="151" t="n">
        <f aca="false">E262*(1-F262)*H262</f>
        <v>0</v>
      </c>
      <c r="K262" s="151" t="n">
        <f aca="false">IF(COUNT('12_Datos_5m'!E263:E$504)=0,1000000000000,MIN('12_Datos_5m'!E263:E$504))</f>
        <v>1000000000000</v>
      </c>
      <c r="L262" s="151" t="n">
        <f aca="false">IF(COUNT('12_Datos_5m'!D263:D$504)=0,0,MAX('12_Datos_5m'!D263:D$504))</f>
        <v>0</v>
      </c>
      <c r="M262" s="151" t="str">
        <f aca="false">IF(ISNUMBER(B262),B262*(1-1/'13_Mapa_Liq'!$B$15+'13_Mapa_Liq'!$B$6),"")</f>
        <v/>
      </c>
      <c r="N262" s="151" t="n">
        <f aca="false">IF(ISNUMBER(B262),IF(K262&gt;M262,I262*'13_Mapa_Liq'!$C$15,0),0)</f>
        <v>0</v>
      </c>
      <c r="O262" s="151" t="str">
        <f aca="false">IF(ISNUMBER(B262),B262*(1+1/'13_Mapa_Liq'!$B$15-'13_Mapa_Liq'!$B$6),"")</f>
        <v/>
      </c>
      <c r="P262" s="151" t="n">
        <f aca="false">IF(ISNUMBER(B262),IF(L262&lt;O262,J262*'13_Mapa_Liq'!$C$15,0),0)</f>
        <v>0</v>
      </c>
      <c r="Q262" s="151" t="str">
        <f aca="false">IF(ISNUMBER(B262),B262*(1-1/'13_Mapa_Liq'!$B$16+'13_Mapa_Liq'!$B$6),"")</f>
        <v/>
      </c>
      <c r="R262" s="151" t="n">
        <f aca="false">IF(ISNUMBER(B262),IF(K262&gt;Q262,I262*'13_Mapa_Liq'!$C$16,0),0)</f>
        <v>0</v>
      </c>
      <c r="S262" s="151" t="str">
        <f aca="false">IF(ISNUMBER(B262),B262*(1+1/'13_Mapa_Liq'!$B$16-'13_Mapa_Liq'!$B$6),"")</f>
        <v/>
      </c>
      <c r="T262" s="151" t="n">
        <f aca="false">IF(ISNUMBER(B262),IF(L262&lt;S262,J262*'13_Mapa_Liq'!$C$16,0),0)</f>
        <v>0</v>
      </c>
      <c r="U262" s="151" t="str">
        <f aca="false">IF(ISNUMBER(B262),B262*(1-1/'13_Mapa_Liq'!$B$17+'13_Mapa_Liq'!$B$6),"")</f>
        <v/>
      </c>
      <c r="V262" s="151" t="n">
        <f aca="false">IF(ISNUMBER(B262),IF(K262&gt;U262,I262*'13_Mapa_Liq'!$C$17,0),0)</f>
        <v>0</v>
      </c>
      <c r="W262" s="151" t="str">
        <f aca="false">IF(ISNUMBER(B262),B262*(1+1/'13_Mapa_Liq'!$B$17-'13_Mapa_Liq'!$B$6),"")</f>
        <v/>
      </c>
      <c r="X262" s="151" t="n">
        <f aca="false">IF(ISNUMBER(B262),IF(L262&lt;W262,J262*'13_Mapa_Liq'!$C$17,0),0)</f>
        <v>0</v>
      </c>
      <c r="Y262" s="151" t="str">
        <f aca="false">IF(ISNUMBER(B262),B262*(1-1/'13_Mapa_Liq'!$B$18+'13_Mapa_Liq'!$B$6),"")</f>
        <v/>
      </c>
      <c r="Z262" s="151" t="n">
        <f aca="false">IF(ISNUMBER(B262),IF(K262&gt;Y262,I262*'13_Mapa_Liq'!$C$18,0),0)</f>
        <v>0</v>
      </c>
      <c r="AA262" s="151" t="str">
        <f aca="false">IF(ISNUMBER(B262),B262*(1+1/'13_Mapa_Liq'!$B$18-'13_Mapa_Liq'!$B$6),"")</f>
        <v/>
      </c>
      <c r="AB262" s="151" t="n">
        <f aca="false">IF(ISNUMBER(B262),IF(L262&lt;AA262,J262*'13_Mapa_Liq'!$C$18,0),0)</f>
        <v>0</v>
      </c>
      <c r="AC262" s="151" t="str">
        <f aca="false">IF(ISNUMBER(B262),B262*(1-1/'13_Mapa_Liq'!$B$19+'13_Mapa_Liq'!$B$6),"")</f>
        <v/>
      </c>
      <c r="AD262" s="151" t="n">
        <f aca="false">IF(ISNUMBER(B262),IF(K262&gt;AC262,I262*'13_Mapa_Liq'!$C$19,0),0)</f>
        <v>0</v>
      </c>
      <c r="AE262" s="151" t="str">
        <f aca="false">IF(ISNUMBER(B262),B262*(1+1/'13_Mapa_Liq'!$B$19-'13_Mapa_Liq'!$B$6),"")</f>
        <v/>
      </c>
      <c r="AF262" s="151" t="n">
        <f aca="false">IF(ISNUMBER(B262),IF(L262&lt;AE262,J262*'13_Mapa_Liq'!$C$19,0),0)</f>
        <v>0</v>
      </c>
      <c r="AG262" s="151"/>
      <c r="AH262" s="151" t="n">
        <f aca="false">IF(ISNUMBER(B262),E262*F262*((K262&lt;=M262)*'13_Mapa_Liq'!$C$15+(K262&lt;=Q262)*'13_Mapa_Liq'!$C$16+(K262&lt;=U262)*'13_Mapa_Liq'!$C$17+(K262&lt;=Y262)*'13_Mapa_Liq'!$C$18+(K262&lt;=AC262)*'13_Mapa_Liq'!$C$19),0)</f>
        <v>0</v>
      </c>
      <c r="AI262" s="151" t="n">
        <f aca="false">IF(ISNUMBER(B262),E262*(1-F262)*((L262&gt;=O262)*'13_Mapa_Liq'!$C$15+(L262&gt;=S262)*'13_Mapa_Liq'!$C$16+(L262&gt;=W262)*'13_Mapa_Liq'!$C$17+(L262&gt;=AA262)*'13_Mapa_Liq'!$C$18+(L262&gt;=AE262)*'13_Mapa_Liq'!$C$19),0)</f>
        <v>0</v>
      </c>
    </row>
    <row r="263" customFormat="false" ht="15" hidden="false" customHeight="false" outlineLevel="0" collapsed="false">
      <c r="A263" s="151" t="str">
        <f aca="false">IF(ISNUMBER('12_Datos_5m'!F263),ROW()-4,"")</f>
        <v/>
      </c>
      <c r="B263" s="151" t="str">
        <f aca="false">IF(ISNUMBER('12_Datos_5m'!F263),'12_Datos_5m'!F263,"")</f>
        <v/>
      </c>
      <c r="C263" s="151" t="str">
        <f aca="false">IF(ISNUMBER('12_Datos_5m'!A263),'12_Datos_5m'!A263,"")</f>
        <v/>
      </c>
      <c r="D263" s="151" t="n">
        <f aca="false">IF(AND(ISNUMBER('12_Datos_5m'!I263),ISNUMBER('12_Datos_5m'!I262)),'12_Datos_5m'!I263-'12_Datos_5m'!I262,0)</f>
        <v>0</v>
      </c>
      <c r="E263" s="151" t="n">
        <f aca="false">MAX(0,D263)</f>
        <v>0</v>
      </c>
      <c r="F263" s="151" t="n">
        <f aca="false">IF(AND(ISNUMBER('12_Datos_5m'!G263),N('12_Datos_5m'!G263)&gt;0),'12_Datos_5m'!H263/'12_Datos_5m'!G263,0.5)</f>
        <v>0.5</v>
      </c>
      <c r="G263" s="151" t="n">
        <f aca="false">IF(ISNUMBER(C263),($C$2-C263)/3600000,0)</f>
        <v>0</v>
      </c>
      <c r="H263" s="151" t="n">
        <f aca="false">EXP(-G263/'13_Mapa_Liq'!$B$7)</f>
        <v>1</v>
      </c>
      <c r="I263" s="151" t="n">
        <f aca="false">E263*F263*H263</f>
        <v>0</v>
      </c>
      <c r="J263" s="151" t="n">
        <f aca="false">E263*(1-F263)*H263</f>
        <v>0</v>
      </c>
      <c r="K263" s="151" t="n">
        <f aca="false">IF(COUNT('12_Datos_5m'!E264:E$504)=0,1000000000000,MIN('12_Datos_5m'!E264:E$504))</f>
        <v>1000000000000</v>
      </c>
      <c r="L263" s="151" t="n">
        <f aca="false">IF(COUNT('12_Datos_5m'!D264:D$504)=0,0,MAX('12_Datos_5m'!D264:D$504))</f>
        <v>0</v>
      </c>
      <c r="M263" s="151" t="str">
        <f aca="false">IF(ISNUMBER(B263),B263*(1-1/'13_Mapa_Liq'!$B$15+'13_Mapa_Liq'!$B$6),"")</f>
        <v/>
      </c>
      <c r="N263" s="151" t="n">
        <f aca="false">IF(ISNUMBER(B263),IF(K263&gt;M263,I263*'13_Mapa_Liq'!$C$15,0),0)</f>
        <v>0</v>
      </c>
      <c r="O263" s="151" t="str">
        <f aca="false">IF(ISNUMBER(B263),B263*(1+1/'13_Mapa_Liq'!$B$15-'13_Mapa_Liq'!$B$6),"")</f>
        <v/>
      </c>
      <c r="P263" s="151" t="n">
        <f aca="false">IF(ISNUMBER(B263),IF(L263&lt;O263,J263*'13_Mapa_Liq'!$C$15,0),0)</f>
        <v>0</v>
      </c>
      <c r="Q263" s="151" t="str">
        <f aca="false">IF(ISNUMBER(B263),B263*(1-1/'13_Mapa_Liq'!$B$16+'13_Mapa_Liq'!$B$6),"")</f>
        <v/>
      </c>
      <c r="R263" s="151" t="n">
        <f aca="false">IF(ISNUMBER(B263),IF(K263&gt;Q263,I263*'13_Mapa_Liq'!$C$16,0),0)</f>
        <v>0</v>
      </c>
      <c r="S263" s="151" t="str">
        <f aca="false">IF(ISNUMBER(B263),B263*(1+1/'13_Mapa_Liq'!$B$16-'13_Mapa_Liq'!$B$6),"")</f>
        <v/>
      </c>
      <c r="T263" s="151" t="n">
        <f aca="false">IF(ISNUMBER(B263),IF(L263&lt;S263,J263*'13_Mapa_Liq'!$C$16,0),0)</f>
        <v>0</v>
      </c>
      <c r="U263" s="151" t="str">
        <f aca="false">IF(ISNUMBER(B263),B263*(1-1/'13_Mapa_Liq'!$B$17+'13_Mapa_Liq'!$B$6),"")</f>
        <v/>
      </c>
      <c r="V263" s="151" t="n">
        <f aca="false">IF(ISNUMBER(B263),IF(K263&gt;U263,I263*'13_Mapa_Liq'!$C$17,0),0)</f>
        <v>0</v>
      </c>
      <c r="W263" s="151" t="str">
        <f aca="false">IF(ISNUMBER(B263),B263*(1+1/'13_Mapa_Liq'!$B$17-'13_Mapa_Liq'!$B$6),"")</f>
        <v/>
      </c>
      <c r="X263" s="151" t="n">
        <f aca="false">IF(ISNUMBER(B263),IF(L263&lt;W263,J263*'13_Mapa_Liq'!$C$17,0),0)</f>
        <v>0</v>
      </c>
      <c r="Y263" s="151" t="str">
        <f aca="false">IF(ISNUMBER(B263),B263*(1-1/'13_Mapa_Liq'!$B$18+'13_Mapa_Liq'!$B$6),"")</f>
        <v/>
      </c>
      <c r="Z263" s="151" t="n">
        <f aca="false">IF(ISNUMBER(B263),IF(K263&gt;Y263,I263*'13_Mapa_Liq'!$C$18,0),0)</f>
        <v>0</v>
      </c>
      <c r="AA263" s="151" t="str">
        <f aca="false">IF(ISNUMBER(B263),B263*(1+1/'13_Mapa_Liq'!$B$18-'13_Mapa_Liq'!$B$6),"")</f>
        <v/>
      </c>
      <c r="AB263" s="151" t="n">
        <f aca="false">IF(ISNUMBER(B263),IF(L263&lt;AA263,J263*'13_Mapa_Liq'!$C$18,0),0)</f>
        <v>0</v>
      </c>
      <c r="AC263" s="151" t="str">
        <f aca="false">IF(ISNUMBER(B263),B263*(1-1/'13_Mapa_Liq'!$B$19+'13_Mapa_Liq'!$B$6),"")</f>
        <v/>
      </c>
      <c r="AD263" s="151" t="n">
        <f aca="false">IF(ISNUMBER(B263),IF(K263&gt;AC263,I263*'13_Mapa_Liq'!$C$19,0),0)</f>
        <v>0</v>
      </c>
      <c r="AE263" s="151" t="str">
        <f aca="false">IF(ISNUMBER(B263),B263*(1+1/'13_Mapa_Liq'!$B$19-'13_Mapa_Liq'!$B$6),"")</f>
        <v/>
      </c>
      <c r="AF263" s="151" t="n">
        <f aca="false">IF(ISNUMBER(B263),IF(L263&lt;AE263,J263*'13_Mapa_Liq'!$C$19,0),0)</f>
        <v>0</v>
      </c>
      <c r="AG263" s="151"/>
      <c r="AH263" s="151" t="n">
        <f aca="false">IF(ISNUMBER(B263),E263*F263*((K263&lt;=M263)*'13_Mapa_Liq'!$C$15+(K263&lt;=Q263)*'13_Mapa_Liq'!$C$16+(K263&lt;=U263)*'13_Mapa_Liq'!$C$17+(K263&lt;=Y263)*'13_Mapa_Liq'!$C$18+(K263&lt;=AC263)*'13_Mapa_Liq'!$C$19),0)</f>
        <v>0</v>
      </c>
      <c r="AI263" s="151" t="n">
        <f aca="false">IF(ISNUMBER(B263),E263*(1-F263)*((L263&gt;=O263)*'13_Mapa_Liq'!$C$15+(L263&gt;=S263)*'13_Mapa_Liq'!$C$16+(L263&gt;=W263)*'13_Mapa_Liq'!$C$17+(L263&gt;=AA263)*'13_Mapa_Liq'!$C$18+(L263&gt;=AE263)*'13_Mapa_Liq'!$C$19),0)</f>
        <v>0</v>
      </c>
    </row>
    <row r="264" customFormat="false" ht="15" hidden="false" customHeight="false" outlineLevel="0" collapsed="false">
      <c r="A264" s="151" t="str">
        <f aca="false">IF(ISNUMBER('12_Datos_5m'!F264),ROW()-4,"")</f>
        <v/>
      </c>
      <c r="B264" s="151" t="str">
        <f aca="false">IF(ISNUMBER('12_Datos_5m'!F264),'12_Datos_5m'!F264,"")</f>
        <v/>
      </c>
      <c r="C264" s="151" t="str">
        <f aca="false">IF(ISNUMBER('12_Datos_5m'!A264),'12_Datos_5m'!A264,"")</f>
        <v/>
      </c>
      <c r="D264" s="151" t="n">
        <f aca="false">IF(AND(ISNUMBER('12_Datos_5m'!I264),ISNUMBER('12_Datos_5m'!I263)),'12_Datos_5m'!I264-'12_Datos_5m'!I263,0)</f>
        <v>0</v>
      </c>
      <c r="E264" s="151" t="n">
        <f aca="false">MAX(0,D264)</f>
        <v>0</v>
      </c>
      <c r="F264" s="151" t="n">
        <f aca="false">IF(AND(ISNUMBER('12_Datos_5m'!G264),N('12_Datos_5m'!G264)&gt;0),'12_Datos_5m'!H264/'12_Datos_5m'!G264,0.5)</f>
        <v>0.5</v>
      </c>
      <c r="G264" s="151" t="n">
        <f aca="false">IF(ISNUMBER(C264),($C$2-C264)/3600000,0)</f>
        <v>0</v>
      </c>
      <c r="H264" s="151" t="n">
        <f aca="false">EXP(-G264/'13_Mapa_Liq'!$B$7)</f>
        <v>1</v>
      </c>
      <c r="I264" s="151" t="n">
        <f aca="false">E264*F264*H264</f>
        <v>0</v>
      </c>
      <c r="J264" s="151" t="n">
        <f aca="false">E264*(1-F264)*H264</f>
        <v>0</v>
      </c>
      <c r="K264" s="151" t="n">
        <f aca="false">IF(COUNT('12_Datos_5m'!E265:E$504)=0,1000000000000,MIN('12_Datos_5m'!E265:E$504))</f>
        <v>1000000000000</v>
      </c>
      <c r="L264" s="151" t="n">
        <f aca="false">IF(COUNT('12_Datos_5m'!D265:D$504)=0,0,MAX('12_Datos_5m'!D265:D$504))</f>
        <v>0</v>
      </c>
      <c r="M264" s="151" t="str">
        <f aca="false">IF(ISNUMBER(B264),B264*(1-1/'13_Mapa_Liq'!$B$15+'13_Mapa_Liq'!$B$6),"")</f>
        <v/>
      </c>
      <c r="N264" s="151" t="n">
        <f aca="false">IF(ISNUMBER(B264),IF(K264&gt;M264,I264*'13_Mapa_Liq'!$C$15,0),0)</f>
        <v>0</v>
      </c>
      <c r="O264" s="151" t="str">
        <f aca="false">IF(ISNUMBER(B264),B264*(1+1/'13_Mapa_Liq'!$B$15-'13_Mapa_Liq'!$B$6),"")</f>
        <v/>
      </c>
      <c r="P264" s="151" t="n">
        <f aca="false">IF(ISNUMBER(B264),IF(L264&lt;O264,J264*'13_Mapa_Liq'!$C$15,0),0)</f>
        <v>0</v>
      </c>
      <c r="Q264" s="151" t="str">
        <f aca="false">IF(ISNUMBER(B264),B264*(1-1/'13_Mapa_Liq'!$B$16+'13_Mapa_Liq'!$B$6),"")</f>
        <v/>
      </c>
      <c r="R264" s="151" t="n">
        <f aca="false">IF(ISNUMBER(B264),IF(K264&gt;Q264,I264*'13_Mapa_Liq'!$C$16,0),0)</f>
        <v>0</v>
      </c>
      <c r="S264" s="151" t="str">
        <f aca="false">IF(ISNUMBER(B264),B264*(1+1/'13_Mapa_Liq'!$B$16-'13_Mapa_Liq'!$B$6),"")</f>
        <v/>
      </c>
      <c r="T264" s="151" t="n">
        <f aca="false">IF(ISNUMBER(B264),IF(L264&lt;S264,J264*'13_Mapa_Liq'!$C$16,0),0)</f>
        <v>0</v>
      </c>
      <c r="U264" s="151" t="str">
        <f aca="false">IF(ISNUMBER(B264),B264*(1-1/'13_Mapa_Liq'!$B$17+'13_Mapa_Liq'!$B$6),"")</f>
        <v/>
      </c>
      <c r="V264" s="151" t="n">
        <f aca="false">IF(ISNUMBER(B264),IF(K264&gt;U264,I264*'13_Mapa_Liq'!$C$17,0),0)</f>
        <v>0</v>
      </c>
      <c r="W264" s="151" t="str">
        <f aca="false">IF(ISNUMBER(B264),B264*(1+1/'13_Mapa_Liq'!$B$17-'13_Mapa_Liq'!$B$6),"")</f>
        <v/>
      </c>
      <c r="X264" s="151" t="n">
        <f aca="false">IF(ISNUMBER(B264),IF(L264&lt;W264,J264*'13_Mapa_Liq'!$C$17,0),0)</f>
        <v>0</v>
      </c>
      <c r="Y264" s="151" t="str">
        <f aca="false">IF(ISNUMBER(B264),B264*(1-1/'13_Mapa_Liq'!$B$18+'13_Mapa_Liq'!$B$6),"")</f>
        <v/>
      </c>
      <c r="Z264" s="151" t="n">
        <f aca="false">IF(ISNUMBER(B264),IF(K264&gt;Y264,I264*'13_Mapa_Liq'!$C$18,0),0)</f>
        <v>0</v>
      </c>
      <c r="AA264" s="151" t="str">
        <f aca="false">IF(ISNUMBER(B264),B264*(1+1/'13_Mapa_Liq'!$B$18-'13_Mapa_Liq'!$B$6),"")</f>
        <v/>
      </c>
      <c r="AB264" s="151" t="n">
        <f aca="false">IF(ISNUMBER(B264),IF(L264&lt;AA264,J264*'13_Mapa_Liq'!$C$18,0),0)</f>
        <v>0</v>
      </c>
      <c r="AC264" s="151" t="str">
        <f aca="false">IF(ISNUMBER(B264),B264*(1-1/'13_Mapa_Liq'!$B$19+'13_Mapa_Liq'!$B$6),"")</f>
        <v/>
      </c>
      <c r="AD264" s="151" t="n">
        <f aca="false">IF(ISNUMBER(B264),IF(K264&gt;AC264,I264*'13_Mapa_Liq'!$C$19,0),0)</f>
        <v>0</v>
      </c>
      <c r="AE264" s="151" t="str">
        <f aca="false">IF(ISNUMBER(B264),B264*(1+1/'13_Mapa_Liq'!$B$19-'13_Mapa_Liq'!$B$6),"")</f>
        <v/>
      </c>
      <c r="AF264" s="151" t="n">
        <f aca="false">IF(ISNUMBER(B264),IF(L264&lt;AE264,J264*'13_Mapa_Liq'!$C$19,0),0)</f>
        <v>0</v>
      </c>
      <c r="AG264" s="151"/>
      <c r="AH264" s="151" t="n">
        <f aca="false">IF(ISNUMBER(B264),E264*F264*((K264&lt;=M264)*'13_Mapa_Liq'!$C$15+(K264&lt;=Q264)*'13_Mapa_Liq'!$C$16+(K264&lt;=U264)*'13_Mapa_Liq'!$C$17+(K264&lt;=Y264)*'13_Mapa_Liq'!$C$18+(K264&lt;=AC264)*'13_Mapa_Liq'!$C$19),0)</f>
        <v>0</v>
      </c>
      <c r="AI264" s="151" t="n">
        <f aca="false">IF(ISNUMBER(B264),E264*(1-F264)*((L264&gt;=O264)*'13_Mapa_Liq'!$C$15+(L264&gt;=S264)*'13_Mapa_Liq'!$C$16+(L264&gt;=W264)*'13_Mapa_Liq'!$C$17+(L264&gt;=AA264)*'13_Mapa_Liq'!$C$18+(L264&gt;=AE264)*'13_Mapa_Liq'!$C$19),0)</f>
        <v>0</v>
      </c>
    </row>
    <row r="265" customFormat="false" ht="15" hidden="false" customHeight="false" outlineLevel="0" collapsed="false">
      <c r="A265" s="151" t="str">
        <f aca="false">IF(ISNUMBER('12_Datos_5m'!F265),ROW()-4,"")</f>
        <v/>
      </c>
      <c r="B265" s="151" t="str">
        <f aca="false">IF(ISNUMBER('12_Datos_5m'!F265),'12_Datos_5m'!F265,"")</f>
        <v/>
      </c>
      <c r="C265" s="151" t="str">
        <f aca="false">IF(ISNUMBER('12_Datos_5m'!A265),'12_Datos_5m'!A265,"")</f>
        <v/>
      </c>
      <c r="D265" s="151" t="n">
        <f aca="false">IF(AND(ISNUMBER('12_Datos_5m'!I265),ISNUMBER('12_Datos_5m'!I264)),'12_Datos_5m'!I265-'12_Datos_5m'!I264,0)</f>
        <v>0</v>
      </c>
      <c r="E265" s="151" t="n">
        <f aca="false">MAX(0,D265)</f>
        <v>0</v>
      </c>
      <c r="F265" s="151" t="n">
        <f aca="false">IF(AND(ISNUMBER('12_Datos_5m'!G265),N('12_Datos_5m'!G265)&gt;0),'12_Datos_5m'!H265/'12_Datos_5m'!G265,0.5)</f>
        <v>0.5</v>
      </c>
      <c r="G265" s="151" t="n">
        <f aca="false">IF(ISNUMBER(C265),($C$2-C265)/3600000,0)</f>
        <v>0</v>
      </c>
      <c r="H265" s="151" t="n">
        <f aca="false">EXP(-G265/'13_Mapa_Liq'!$B$7)</f>
        <v>1</v>
      </c>
      <c r="I265" s="151" t="n">
        <f aca="false">E265*F265*H265</f>
        <v>0</v>
      </c>
      <c r="J265" s="151" t="n">
        <f aca="false">E265*(1-F265)*H265</f>
        <v>0</v>
      </c>
      <c r="K265" s="151" t="n">
        <f aca="false">IF(COUNT('12_Datos_5m'!E266:E$504)=0,1000000000000,MIN('12_Datos_5m'!E266:E$504))</f>
        <v>1000000000000</v>
      </c>
      <c r="L265" s="151" t="n">
        <f aca="false">IF(COUNT('12_Datos_5m'!D266:D$504)=0,0,MAX('12_Datos_5m'!D266:D$504))</f>
        <v>0</v>
      </c>
      <c r="M265" s="151" t="str">
        <f aca="false">IF(ISNUMBER(B265),B265*(1-1/'13_Mapa_Liq'!$B$15+'13_Mapa_Liq'!$B$6),"")</f>
        <v/>
      </c>
      <c r="N265" s="151" t="n">
        <f aca="false">IF(ISNUMBER(B265),IF(K265&gt;M265,I265*'13_Mapa_Liq'!$C$15,0),0)</f>
        <v>0</v>
      </c>
      <c r="O265" s="151" t="str">
        <f aca="false">IF(ISNUMBER(B265),B265*(1+1/'13_Mapa_Liq'!$B$15-'13_Mapa_Liq'!$B$6),"")</f>
        <v/>
      </c>
      <c r="P265" s="151" t="n">
        <f aca="false">IF(ISNUMBER(B265),IF(L265&lt;O265,J265*'13_Mapa_Liq'!$C$15,0),0)</f>
        <v>0</v>
      </c>
      <c r="Q265" s="151" t="str">
        <f aca="false">IF(ISNUMBER(B265),B265*(1-1/'13_Mapa_Liq'!$B$16+'13_Mapa_Liq'!$B$6),"")</f>
        <v/>
      </c>
      <c r="R265" s="151" t="n">
        <f aca="false">IF(ISNUMBER(B265),IF(K265&gt;Q265,I265*'13_Mapa_Liq'!$C$16,0),0)</f>
        <v>0</v>
      </c>
      <c r="S265" s="151" t="str">
        <f aca="false">IF(ISNUMBER(B265),B265*(1+1/'13_Mapa_Liq'!$B$16-'13_Mapa_Liq'!$B$6),"")</f>
        <v/>
      </c>
      <c r="T265" s="151" t="n">
        <f aca="false">IF(ISNUMBER(B265),IF(L265&lt;S265,J265*'13_Mapa_Liq'!$C$16,0),0)</f>
        <v>0</v>
      </c>
      <c r="U265" s="151" t="str">
        <f aca="false">IF(ISNUMBER(B265),B265*(1-1/'13_Mapa_Liq'!$B$17+'13_Mapa_Liq'!$B$6),"")</f>
        <v/>
      </c>
      <c r="V265" s="151" t="n">
        <f aca="false">IF(ISNUMBER(B265),IF(K265&gt;U265,I265*'13_Mapa_Liq'!$C$17,0),0)</f>
        <v>0</v>
      </c>
      <c r="W265" s="151" t="str">
        <f aca="false">IF(ISNUMBER(B265),B265*(1+1/'13_Mapa_Liq'!$B$17-'13_Mapa_Liq'!$B$6),"")</f>
        <v/>
      </c>
      <c r="X265" s="151" t="n">
        <f aca="false">IF(ISNUMBER(B265),IF(L265&lt;W265,J265*'13_Mapa_Liq'!$C$17,0),0)</f>
        <v>0</v>
      </c>
      <c r="Y265" s="151" t="str">
        <f aca="false">IF(ISNUMBER(B265),B265*(1-1/'13_Mapa_Liq'!$B$18+'13_Mapa_Liq'!$B$6),"")</f>
        <v/>
      </c>
      <c r="Z265" s="151" t="n">
        <f aca="false">IF(ISNUMBER(B265),IF(K265&gt;Y265,I265*'13_Mapa_Liq'!$C$18,0),0)</f>
        <v>0</v>
      </c>
      <c r="AA265" s="151" t="str">
        <f aca="false">IF(ISNUMBER(B265),B265*(1+1/'13_Mapa_Liq'!$B$18-'13_Mapa_Liq'!$B$6),"")</f>
        <v/>
      </c>
      <c r="AB265" s="151" t="n">
        <f aca="false">IF(ISNUMBER(B265),IF(L265&lt;AA265,J265*'13_Mapa_Liq'!$C$18,0),0)</f>
        <v>0</v>
      </c>
      <c r="AC265" s="151" t="str">
        <f aca="false">IF(ISNUMBER(B265),B265*(1-1/'13_Mapa_Liq'!$B$19+'13_Mapa_Liq'!$B$6),"")</f>
        <v/>
      </c>
      <c r="AD265" s="151" t="n">
        <f aca="false">IF(ISNUMBER(B265),IF(K265&gt;AC265,I265*'13_Mapa_Liq'!$C$19,0),0)</f>
        <v>0</v>
      </c>
      <c r="AE265" s="151" t="str">
        <f aca="false">IF(ISNUMBER(B265),B265*(1+1/'13_Mapa_Liq'!$B$19-'13_Mapa_Liq'!$B$6),"")</f>
        <v/>
      </c>
      <c r="AF265" s="151" t="n">
        <f aca="false">IF(ISNUMBER(B265),IF(L265&lt;AE265,J265*'13_Mapa_Liq'!$C$19,0),0)</f>
        <v>0</v>
      </c>
      <c r="AG265" s="151"/>
      <c r="AH265" s="151" t="n">
        <f aca="false">IF(ISNUMBER(B265),E265*F265*((K265&lt;=M265)*'13_Mapa_Liq'!$C$15+(K265&lt;=Q265)*'13_Mapa_Liq'!$C$16+(K265&lt;=U265)*'13_Mapa_Liq'!$C$17+(K265&lt;=Y265)*'13_Mapa_Liq'!$C$18+(K265&lt;=AC265)*'13_Mapa_Liq'!$C$19),0)</f>
        <v>0</v>
      </c>
      <c r="AI265" s="151" t="n">
        <f aca="false">IF(ISNUMBER(B265),E265*(1-F265)*((L265&gt;=O265)*'13_Mapa_Liq'!$C$15+(L265&gt;=S265)*'13_Mapa_Liq'!$C$16+(L265&gt;=W265)*'13_Mapa_Liq'!$C$17+(L265&gt;=AA265)*'13_Mapa_Liq'!$C$18+(L265&gt;=AE265)*'13_Mapa_Liq'!$C$19),0)</f>
        <v>0</v>
      </c>
    </row>
    <row r="266" customFormat="false" ht="15" hidden="false" customHeight="false" outlineLevel="0" collapsed="false">
      <c r="A266" s="151" t="str">
        <f aca="false">IF(ISNUMBER('12_Datos_5m'!F266),ROW()-4,"")</f>
        <v/>
      </c>
      <c r="B266" s="151" t="str">
        <f aca="false">IF(ISNUMBER('12_Datos_5m'!F266),'12_Datos_5m'!F266,"")</f>
        <v/>
      </c>
      <c r="C266" s="151" t="str">
        <f aca="false">IF(ISNUMBER('12_Datos_5m'!A266),'12_Datos_5m'!A266,"")</f>
        <v/>
      </c>
      <c r="D266" s="151" t="n">
        <f aca="false">IF(AND(ISNUMBER('12_Datos_5m'!I266),ISNUMBER('12_Datos_5m'!I265)),'12_Datos_5m'!I266-'12_Datos_5m'!I265,0)</f>
        <v>0</v>
      </c>
      <c r="E266" s="151" t="n">
        <f aca="false">MAX(0,D266)</f>
        <v>0</v>
      </c>
      <c r="F266" s="151" t="n">
        <f aca="false">IF(AND(ISNUMBER('12_Datos_5m'!G266),N('12_Datos_5m'!G266)&gt;0),'12_Datos_5m'!H266/'12_Datos_5m'!G266,0.5)</f>
        <v>0.5</v>
      </c>
      <c r="G266" s="151" t="n">
        <f aca="false">IF(ISNUMBER(C266),($C$2-C266)/3600000,0)</f>
        <v>0</v>
      </c>
      <c r="H266" s="151" t="n">
        <f aca="false">EXP(-G266/'13_Mapa_Liq'!$B$7)</f>
        <v>1</v>
      </c>
      <c r="I266" s="151" t="n">
        <f aca="false">E266*F266*H266</f>
        <v>0</v>
      </c>
      <c r="J266" s="151" t="n">
        <f aca="false">E266*(1-F266)*H266</f>
        <v>0</v>
      </c>
      <c r="K266" s="151" t="n">
        <f aca="false">IF(COUNT('12_Datos_5m'!E267:E$504)=0,1000000000000,MIN('12_Datos_5m'!E267:E$504))</f>
        <v>1000000000000</v>
      </c>
      <c r="L266" s="151" t="n">
        <f aca="false">IF(COUNT('12_Datos_5m'!D267:D$504)=0,0,MAX('12_Datos_5m'!D267:D$504))</f>
        <v>0</v>
      </c>
      <c r="M266" s="151" t="str">
        <f aca="false">IF(ISNUMBER(B266),B266*(1-1/'13_Mapa_Liq'!$B$15+'13_Mapa_Liq'!$B$6),"")</f>
        <v/>
      </c>
      <c r="N266" s="151" t="n">
        <f aca="false">IF(ISNUMBER(B266),IF(K266&gt;M266,I266*'13_Mapa_Liq'!$C$15,0),0)</f>
        <v>0</v>
      </c>
      <c r="O266" s="151" t="str">
        <f aca="false">IF(ISNUMBER(B266),B266*(1+1/'13_Mapa_Liq'!$B$15-'13_Mapa_Liq'!$B$6),"")</f>
        <v/>
      </c>
      <c r="P266" s="151" t="n">
        <f aca="false">IF(ISNUMBER(B266),IF(L266&lt;O266,J266*'13_Mapa_Liq'!$C$15,0),0)</f>
        <v>0</v>
      </c>
      <c r="Q266" s="151" t="str">
        <f aca="false">IF(ISNUMBER(B266),B266*(1-1/'13_Mapa_Liq'!$B$16+'13_Mapa_Liq'!$B$6),"")</f>
        <v/>
      </c>
      <c r="R266" s="151" t="n">
        <f aca="false">IF(ISNUMBER(B266),IF(K266&gt;Q266,I266*'13_Mapa_Liq'!$C$16,0),0)</f>
        <v>0</v>
      </c>
      <c r="S266" s="151" t="str">
        <f aca="false">IF(ISNUMBER(B266),B266*(1+1/'13_Mapa_Liq'!$B$16-'13_Mapa_Liq'!$B$6),"")</f>
        <v/>
      </c>
      <c r="T266" s="151" t="n">
        <f aca="false">IF(ISNUMBER(B266),IF(L266&lt;S266,J266*'13_Mapa_Liq'!$C$16,0),0)</f>
        <v>0</v>
      </c>
      <c r="U266" s="151" t="str">
        <f aca="false">IF(ISNUMBER(B266),B266*(1-1/'13_Mapa_Liq'!$B$17+'13_Mapa_Liq'!$B$6),"")</f>
        <v/>
      </c>
      <c r="V266" s="151" t="n">
        <f aca="false">IF(ISNUMBER(B266),IF(K266&gt;U266,I266*'13_Mapa_Liq'!$C$17,0),0)</f>
        <v>0</v>
      </c>
      <c r="W266" s="151" t="str">
        <f aca="false">IF(ISNUMBER(B266),B266*(1+1/'13_Mapa_Liq'!$B$17-'13_Mapa_Liq'!$B$6),"")</f>
        <v/>
      </c>
      <c r="X266" s="151" t="n">
        <f aca="false">IF(ISNUMBER(B266),IF(L266&lt;W266,J266*'13_Mapa_Liq'!$C$17,0),0)</f>
        <v>0</v>
      </c>
      <c r="Y266" s="151" t="str">
        <f aca="false">IF(ISNUMBER(B266),B266*(1-1/'13_Mapa_Liq'!$B$18+'13_Mapa_Liq'!$B$6),"")</f>
        <v/>
      </c>
      <c r="Z266" s="151" t="n">
        <f aca="false">IF(ISNUMBER(B266),IF(K266&gt;Y266,I266*'13_Mapa_Liq'!$C$18,0),0)</f>
        <v>0</v>
      </c>
      <c r="AA266" s="151" t="str">
        <f aca="false">IF(ISNUMBER(B266),B266*(1+1/'13_Mapa_Liq'!$B$18-'13_Mapa_Liq'!$B$6),"")</f>
        <v/>
      </c>
      <c r="AB266" s="151" t="n">
        <f aca="false">IF(ISNUMBER(B266),IF(L266&lt;AA266,J266*'13_Mapa_Liq'!$C$18,0),0)</f>
        <v>0</v>
      </c>
      <c r="AC266" s="151" t="str">
        <f aca="false">IF(ISNUMBER(B266),B266*(1-1/'13_Mapa_Liq'!$B$19+'13_Mapa_Liq'!$B$6),"")</f>
        <v/>
      </c>
      <c r="AD266" s="151" t="n">
        <f aca="false">IF(ISNUMBER(B266),IF(K266&gt;AC266,I266*'13_Mapa_Liq'!$C$19,0),0)</f>
        <v>0</v>
      </c>
      <c r="AE266" s="151" t="str">
        <f aca="false">IF(ISNUMBER(B266),B266*(1+1/'13_Mapa_Liq'!$B$19-'13_Mapa_Liq'!$B$6),"")</f>
        <v/>
      </c>
      <c r="AF266" s="151" t="n">
        <f aca="false">IF(ISNUMBER(B266),IF(L266&lt;AE266,J266*'13_Mapa_Liq'!$C$19,0),0)</f>
        <v>0</v>
      </c>
      <c r="AG266" s="151"/>
      <c r="AH266" s="151" t="n">
        <f aca="false">IF(ISNUMBER(B266),E266*F266*((K266&lt;=M266)*'13_Mapa_Liq'!$C$15+(K266&lt;=Q266)*'13_Mapa_Liq'!$C$16+(K266&lt;=U266)*'13_Mapa_Liq'!$C$17+(K266&lt;=Y266)*'13_Mapa_Liq'!$C$18+(K266&lt;=AC266)*'13_Mapa_Liq'!$C$19),0)</f>
        <v>0</v>
      </c>
      <c r="AI266" s="151" t="n">
        <f aca="false">IF(ISNUMBER(B266),E266*(1-F266)*((L266&gt;=O266)*'13_Mapa_Liq'!$C$15+(L266&gt;=S266)*'13_Mapa_Liq'!$C$16+(L266&gt;=W266)*'13_Mapa_Liq'!$C$17+(L266&gt;=AA266)*'13_Mapa_Liq'!$C$18+(L266&gt;=AE266)*'13_Mapa_Liq'!$C$19),0)</f>
        <v>0</v>
      </c>
    </row>
    <row r="267" customFormat="false" ht="15" hidden="false" customHeight="false" outlineLevel="0" collapsed="false">
      <c r="A267" s="151" t="str">
        <f aca="false">IF(ISNUMBER('12_Datos_5m'!F267),ROW()-4,"")</f>
        <v/>
      </c>
      <c r="B267" s="151" t="str">
        <f aca="false">IF(ISNUMBER('12_Datos_5m'!F267),'12_Datos_5m'!F267,"")</f>
        <v/>
      </c>
      <c r="C267" s="151" t="str">
        <f aca="false">IF(ISNUMBER('12_Datos_5m'!A267),'12_Datos_5m'!A267,"")</f>
        <v/>
      </c>
      <c r="D267" s="151" t="n">
        <f aca="false">IF(AND(ISNUMBER('12_Datos_5m'!I267),ISNUMBER('12_Datos_5m'!I266)),'12_Datos_5m'!I267-'12_Datos_5m'!I266,0)</f>
        <v>0</v>
      </c>
      <c r="E267" s="151" t="n">
        <f aca="false">MAX(0,D267)</f>
        <v>0</v>
      </c>
      <c r="F267" s="151" t="n">
        <f aca="false">IF(AND(ISNUMBER('12_Datos_5m'!G267),N('12_Datos_5m'!G267)&gt;0),'12_Datos_5m'!H267/'12_Datos_5m'!G267,0.5)</f>
        <v>0.5</v>
      </c>
      <c r="G267" s="151" t="n">
        <f aca="false">IF(ISNUMBER(C267),($C$2-C267)/3600000,0)</f>
        <v>0</v>
      </c>
      <c r="H267" s="151" t="n">
        <f aca="false">EXP(-G267/'13_Mapa_Liq'!$B$7)</f>
        <v>1</v>
      </c>
      <c r="I267" s="151" t="n">
        <f aca="false">E267*F267*H267</f>
        <v>0</v>
      </c>
      <c r="J267" s="151" t="n">
        <f aca="false">E267*(1-F267)*H267</f>
        <v>0</v>
      </c>
      <c r="K267" s="151" t="n">
        <f aca="false">IF(COUNT('12_Datos_5m'!E268:E$504)=0,1000000000000,MIN('12_Datos_5m'!E268:E$504))</f>
        <v>1000000000000</v>
      </c>
      <c r="L267" s="151" t="n">
        <f aca="false">IF(COUNT('12_Datos_5m'!D268:D$504)=0,0,MAX('12_Datos_5m'!D268:D$504))</f>
        <v>0</v>
      </c>
      <c r="M267" s="151" t="str">
        <f aca="false">IF(ISNUMBER(B267),B267*(1-1/'13_Mapa_Liq'!$B$15+'13_Mapa_Liq'!$B$6),"")</f>
        <v/>
      </c>
      <c r="N267" s="151" t="n">
        <f aca="false">IF(ISNUMBER(B267),IF(K267&gt;M267,I267*'13_Mapa_Liq'!$C$15,0),0)</f>
        <v>0</v>
      </c>
      <c r="O267" s="151" t="str">
        <f aca="false">IF(ISNUMBER(B267),B267*(1+1/'13_Mapa_Liq'!$B$15-'13_Mapa_Liq'!$B$6),"")</f>
        <v/>
      </c>
      <c r="P267" s="151" t="n">
        <f aca="false">IF(ISNUMBER(B267),IF(L267&lt;O267,J267*'13_Mapa_Liq'!$C$15,0),0)</f>
        <v>0</v>
      </c>
      <c r="Q267" s="151" t="str">
        <f aca="false">IF(ISNUMBER(B267),B267*(1-1/'13_Mapa_Liq'!$B$16+'13_Mapa_Liq'!$B$6),"")</f>
        <v/>
      </c>
      <c r="R267" s="151" t="n">
        <f aca="false">IF(ISNUMBER(B267),IF(K267&gt;Q267,I267*'13_Mapa_Liq'!$C$16,0),0)</f>
        <v>0</v>
      </c>
      <c r="S267" s="151" t="str">
        <f aca="false">IF(ISNUMBER(B267),B267*(1+1/'13_Mapa_Liq'!$B$16-'13_Mapa_Liq'!$B$6),"")</f>
        <v/>
      </c>
      <c r="T267" s="151" t="n">
        <f aca="false">IF(ISNUMBER(B267),IF(L267&lt;S267,J267*'13_Mapa_Liq'!$C$16,0),0)</f>
        <v>0</v>
      </c>
      <c r="U267" s="151" t="str">
        <f aca="false">IF(ISNUMBER(B267),B267*(1-1/'13_Mapa_Liq'!$B$17+'13_Mapa_Liq'!$B$6),"")</f>
        <v/>
      </c>
      <c r="V267" s="151" t="n">
        <f aca="false">IF(ISNUMBER(B267),IF(K267&gt;U267,I267*'13_Mapa_Liq'!$C$17,0),0)</f>
        <v>0</v>
      </c>
      <c r="W267" s="151" t="str">
        <f aca="false">IF(ISNUMBER(B267),B267*(1+1/'13_Mapa_Liq'!$B$17-'13_Mapa_Liq'!$B$6),"")</f>
        <v/>
      </c>
      <c r="X267" s="151" t="n">
        <f aca="false">IF(ISNUMBER(B267),IF(L267&lt;W267,J267*'13_Mapa_Liq'!$C$17,0),0)</f>
        <v>0</v>
      </c>
      <c r="Y267" s="151" t="str">
        <f aca="false">IF(ISNUMBER(B267),B267*(1-1/'13_Mapa_Liq'!$B$18+'13_Mapa_Liq'!$B$6),"")</f>
        <v/>
      </c>
      <c r="Z267" s="151" t="n">
        <f aca="false">IF(ISNUMBER(B267),IF(K267&gt;Y267,I267*'13_Mapa_Liq'!$C$18,0),0)</f>
        <v>0</v>
      </c>
      <c r="AA267" s="151" t="str">
        <f aca="false">IF(ISNUMBER(B267),B267*(1+1/'13_Mapa_Liq'!$B$18-'13_Mapa_Liq'!$B$6),"")</f>
        <v/>
      </c>
      <c r="AB267" s="151" t="n">
        <f aca="false">IF(ISNUMBER(B267),IF(L267&lt;AA267,J267*'13_Mapa_Liq'!$C$18,0),0)</f>
        <v>0</v>
      </c>
      <c r="AC267" s="151" t="str">
        <f aca="false">IF(ISNUMBER(B267),B267*(1-1/'13_Mapa_Liq'!$B$19+'13_Mapa_Liq'!$B$6),"")</f>
        <v/>
      </c>
      <c r="AD267" s="151" t="n">
        <f aca="false">IF(ISNUMBER(B267),IF(K267&gt;AC267,I267*'13_Mapa_Liq'!$C$19,0),0)</f>
        <v>0</v>
      </c>
      <c r="AE267" s="151" t="str">
        <f aca="false">IF(ISNUMBER(B267),B267*(1+1/'13_Mapa_Liq'!$B$19-'13_Mapa_Liq'!$B$6),"")</f>
        <v/>
      </c>
      <c r="AF267" s="151" t="n">
        <f aca="false">IF(ISNUMBER(B267),IF(L267&lt;AE267,J267*'13_Mapa_Liq'!$C$19,0),0)</f>
        <v>0</v>
      </c>
      <c r="AG267" s="151"/>
      <c r="AH267" s="151" t="n">
        <f aca="false">IF(ISNUMBER(B267),E267*F267*((K267&lt;=M267)*'13_Mapa_Liq'!$C$15+(K267&lt;=Q267)*'13_Mapa_Liq'!$C$16+(K267&lt;=U267)*'13_Mapa_Liq'!$C$17+(K267&lt;=Y267)*'13_Mapa_Liq'!$C$18+(K267&lt;=AC267)*'13_Mapa_Liq'!$C$19),0)</f>
        <v>0</v>
      </c>
      <c r="AI267" s="151" t="n">
        <f aca="false">IF(ISNUMBER(B267),E267*(1-F267)*((L267&gt;=O267)*'13_Mapa_Liq'!$C$15+(L267&gt;=S267)*'13_Mapa_Liq'!$C$16+(L267&gt;=W267)*'13_Mapa_Liq'!$C$17+(L267&gt;=AA267)*'13_Mapa_Liq'!$C$18+(L267&gt;=AE267)*'13_Mapa_Liq'!$C$19),0)</f>
        <v>0</v>
      </c>
    </row>
    <row r="268" customFormat="false" ht="15" hidden="false" customHeight="false" outlineLevel="0" collapsed="false">
      <c r="A268" s="151" t="str">
        <f aca="false">IF(ISNUMBER('12_Datos_5m'!F268),ROW()-4,"")</f>
        <v/>
      </c>
      <c r="B268" s="151" t="str">
        <f aca="false">IF(ISNUMBER('12_Datos_5m'!F268),'12_Datos_5m'!F268,"")</f>
        <v/>
      </c>
      <c r="C268" s="151" t="str">
        <f aca="false">IF(ISNUMBER('12_Datos_5m'!A268),'12_Datos_5m'!A268,"")</f>
        <v/>
      </c>
      <c r="D268" s="151" t="n">
        <f aca="false">IF(AND(ISNUMBER('12_Datos_5m'!I268),ISNUMBER('12_Datos_5m'!I267)),'12_Datos_5m'!I268-'12_Datos_5m'!I267,0)</f>
        <v>0</v>
      </c>
      <c r="E268" s="151" t="n">
        <f aca="false">MAX(0,D268)</f>
        <v>0</v>
      </c>
      <c r="F268" s="151" t="n">
        <f aca="false">IF(AND(ISNUMBER('12_Datos_5m'!G268),N('12_Datos_5m'!G268)&gt;0),'12_Datos_5m'!H268/'12_Datos_5m'!G268,0.5)</f>
        <v>0.5</v>
      </c>
      <c r="G268" s="151" t="n">
        <f aca="false">IF(ISNUMBER(C268),($C$2-C268)/3600000,0)</f>
        <v>0</v>
      </c>
      <c r="H268" s="151" t="n">
        <f aca="false">EXP(-G268/'13_Mapa_Liq'!$B$7)</f>
        <v>1</v>
      </c>
      <c r="I268" s="151" t="n">
        <f aca="false">E268*F268*H268</f>
        <v>0</v>
      </c>
      <c r="J268" s="151" t="n">
        <f aca="false">E268*(1-F268)*H268</f>
        <v>0</v>
      </c>
      <c r="K268" s="151" t="n">
        <f aca="false">IF(COUNT('12_Datos_5m'!E269:E$504)=0,1000000000000,MIN('12_Datos_5m'!E269:E$504))</f>
        <v>1000000000000</v>
      </c>
      <c r="L268" s="151" t="n">
        <f aca="false">IF(COUNT('12_Datos_5m'!D269:D$504)=0,0,MAX('12_Datos_5m'!D269:D$504))</f>
        <v>0</v>
      </c>
      <c r="M268" s="151" t="str">
        <f aca="false">IF(ISNUMBER(B268),B268*(1-1/'13_Mapa_Liq'!$B$15+'13_Mapa_Liq'!$B$6),"")</f>
        <v/>
      </c>
      <c r="N268" s="151" t="n">
        <f aca="false">IF(ISNUMBER(B268),IF(K268&gt;M268,I268*'13_Mapa_Liq'!$C$15,0),0)</f>
        <v>0</v>
      </c>
      <c r="O268" s="151" t="str">
        <f aca="false">IF(ISNUMBER(B268),B268*(1+1/'13_Mapa_Liq'!$B$15-'13_Mapa_Liq'!$B$6),"")</f>
        <v/>
      </c>
      <c r="P268" s="151" t="n">
        <f aca="false">IF(ISNUMBER(B268),IF(L268&lt;O268,J268*'13_Mapa_Liq'!$C$15,0),0)</f>
        <v>0</v>
      </c>
      <c r="Q268" s="151" t="str">
        <f aca="false">IF(ISNUMBER(B268),B268*(1-1/'13_Mapa_Liq'!$B$16+'13_Mapa_Liq'!$B$6),"")</f>
        <v/>
      </c>
      <c r="R268" s="151" t="n">
        <f aca="false">IF(ISNUMBER(B268),IF(K268&gt;Q268,I268*'13_Mapa_Liq'!$C$16,0),0)</f>
        <v>0</v>
      </c>
      <c r="S268" s="151" t="str">
        <f aca="false">IF(ISNUMBER(B268),B268*(1+1/'13_Mapa_Liq'!$B$16-'13_Mapa_Liq'!$B$6),"")</f>
        <v/>
      </c>
      <c r="T268" s="151" t="n">
        <f aca="false">IF(ISNUMBER(B268),IF(L268&lt;S268,J268*'13_Mapa_Liq'!$C$16,0),0)</f>
        <v>0</v>
      </c>
      <c r="U268" s="151" t="str">
        <f aca="false">IF(ISNUMBER(B268),B268*(1-1/'13_Mapa_Liq'!$B$17+'13_Mapa_Liq'!$B$6),"")</f>
        <v/>
      </c>
      <c r="V268" s="151" t="n">
        <f aca="false">IF(ISNUMBER(B268),IF(K268&gt;U268,I268*'13_Mapa_Liq'!$C$17,0),0)</f>
        <v>0</v>
      </c>
      <c r="W268" s="151" t="str">
        <f aca="false">IF(ISNUMBER(B268),B268*(1+1/'13_Mapa_Liq'!$B$17-'13_Mapa_Liq'!$B$6),"")</f>
        <v/>
      </c>
      <c r="X268" s="151" t="n">
        <f aca="false">IF(ISNUMBER(B268),IF(L268&lt;W268,J268*'13_Mapa_Liq'!$C$17,0),0)</f>
        <v>0</v>
      </c>
      <c r="Y268" s="151" t="str">
        <f aca="false">IF(ISNUMBER(B268),B268*(1-1/'13_Mapa_Liq'!$B$18+'13_Mapa_Liq'!$B$6),"")</f>
        <v/>
      </c>
      <c r="Z268" s="151" t="n">
        <f aca="false">IF(ISNUMBER(B268),IF(K268&gt;Y268,I268*'13_Mapa_Liq'!$C$18,0),0)</f>
        <v>0</v>
      </c>
      <c r="AA268" s="151" t="str">
        <f aca="false">IF(ISNUMBER(B268),B268*(1+1/'13_Mapa_Liq'!$B$18-'13_Mapa_Liq'!$B$6),"")</f>
        <v/>
      </c>
      <c r="AB268" s="151" t="n">
        <f aca="false">IF(ISNUMBER(B268),IF(L268&lt;AA268,J268*'13_Mapa_Liq'!$C$18,0),0)</f>
        <v>0</v>
      </c>
      <c r="AC268" s="151" t="str">
        <f aca="false">IF(ISNUMBER(B268),B268*(1-1/'13_Mapa_Liq'!$B$19+'13_Mapa_Liq'!$B$6),"")</f>
        <v/>
      </c>
      <c r="AD268" s="151" t="n">
        <f aca="false">IF(ISNUMBER(B268),IF(K268&gt;AC268,I268*'13_Mapa_Liq'!$C$19,0),0)</f>
        <v>0</v>
      </c>
      <c r="AE268" s="151" t="str">
        <f aca="false">IF(ISNUMBER(B268),B268*(1+1/'13_Mapa_Liq'!$B$19-'13_Mapa_Liq'!$B$6),"")</f>
        <v/>
      </c>
      <c r="AF268" s="151" t="n">
        <f aca="false">IF(ISNUMBER(B268),IF(L268&lt;AE268,J268*'13_Mapa_Liq'!$C$19,0),0)</f>
        <v>0</v>
      </c>
      <c r="AG268" s="151"/>
      <c r="AH268" s="151" t="n">
        <f aca="false">IF(ISNUMBER(B268),E268*F268*((K268&lt;=M268)*'13_Mapa_Liq'!$C$15+(K268&lt;=Q268)*'13_Mapa_Liq'!$C$16+(K268&lt;=U268)*'13_Mapa_Liq'!$C$17+(K268&lt;=Y268)*'13_Mapa_Liq'!$C$18+(K268&lt;=AC268)*'13_Mapa_Liq'!$C$19),0)</f>
        <v>0</v>
      </c>
      <c r="AI268" s="151" t="n">
        <f aca="false">IF(ISNUMBER(B268),E268*(1-F268)*((L268&gt;=O268)*'13_Mapa_Liq'!$C$15+(L268&gt;=S268)*'13_Mapa_Liq'!$C$16+(L268&gt;=W268)*'13_Mapa_Liq'!$C$17+(L268&gt;=AA268)*'13_Mapa_Liq'!$C$18+(L268&gt;=AE268)*'13_Mapa_Liq'!$C$19),0)</f>
        <v>0</v>
      </c>
    </row>
    <row r="269" customFormat="false" ht="15" hidden="false" customHeight="false" outlineLevel="0" collapsed="false">
      <c r="A269" s="151" t="str">
        <f aca="false">IF(ISNUMBER('12_Datos_5m'!F269),ROW()-4,"")</f>
        <v/>
      </c>
      <c r="B269" s="151" t="str">
        <f aca="false">IF(ISNUMBER('12_Datos_5m'!F269),'12_Datos_5m'!F269,"")</f>
        <v/>
      </c>
      <c r="C269" s="151" t="str">
        <f aca="false">IF(ISNUMBER('12_Datos_5m'!A269),'12_Datos_5m'!A269,"")</f>
        <v/>
      </c>
      <c r="D269" s="151" t="n">
        <f aca="false">IF(AND(ISNUMBER('12_Datos_5m'!I269),ISNUMBER('12_Datos_5m'!I268)),'12_Datos_5m'!I269-'12_Datos_5m'!I268,0)</f>
        <v>0</v>
      </c>
      <c r="E269" s="151" t="n">
        <f aca="false">MAX(0,D269)</f>
        <v>0</v>
      </c>
      <c r="F269" s="151" t="n">
        <f aca="false">IF(AND(ISNUMBER('12_Datos_5m'!G269),N('12_Datos_5m'!G269)&gt;0),'12_Datos_5m'!H269/'12_Datos_5m'!G269,0.5)</f>
        <v>0.5</v>
      </c>
      <c r="G269" s="151" t="n">
        <f aca="false">IF(ISNUMBER(C269),($C$2-C269)/3600000,0)</f>
        <v>0</v>
      </c>
      <c r="H269" s="151" t="n">
        <f aca="false">EXP(-G269/'13_Mapa_Liq'!$B$7)</f>
        <v>1</v>
      </c>
      <c r="I269" s="151" t="n">
        <f aca="false">E269*F269*H269</f>
        <v>0</v>
      </c>
      <c r="J269" s="151" t="n">
        <f aca="false">E269*(1-F269)*H269</f>
        <v>0</v>
      </c>
      <c r="K269" s="151" t="n">
        <f aca="false">IF(COUNT('12_Datos_5m'!E270:E$504)=0,1000000000000,MIN('12_Datos_5m'!E270:E$504))</f>
        <v>1000000000000</v>
      </c>
      <c r="L269" s="151" t="n">
        <f aca="false">IF(COUNT('12_Datos_5m'!D270:D$504)=0,0,MAX('12_Datos_5m'!D270:D$504))</f>
        <v>0</v>
      </c>
      <c r="M269" s="151" t="str">
        <f aca="false">IF(ISNUMBER(B269),B269*(1-1/'13_Mapa_Liq'!$B$15+'13_Mapa_Liq'!$B$6),"")</f>
        <v/>
      </c>
      <c r="N269" s="151" t="n">
        <f aca="false">IF(ISNUMBER(B269),IF(K269&gt;M269,I269*'13_Mapa_Liq'!$C$15,0),0)</f>
        <v>0</v>
      </c>
      <c r="O269" s="151" t="str">
        <f aca="false">IF(ISNUMBER(B269),B269*(1+1/'13_Mapa_Liq'!$B$15-'13_Mapa_Liq'!$B$6),"")</f>
        <v/>
      </c>
      <c r="P269" s="151" t="n">
        <f aca="false">IF(ISNUMBER(B269),IF(L269&lt;O269,J269*'13_Mapa_Liq'!$C$15,0),0)</f>
        <v>0</v>
      </c>
      <c r="Q269" s="151" t="str">
        <f aca="false">IF(ISNUMBER(B269),B269*(1-1/'13_Mapa_Liq'!$B$16+'13_Mapa_Liq'!$B$6),"")</f>
        <v/>
      </c>
      <c r="R269" s="151" t="n">
        <f aca="false">IF(ISNUMBER(B269),IF(K269&gt;Q269,I269*'13_Mapa_Liq'!$C$16,0),0)</f>
        <v>0</v>
      </c>
      <c r="S269" s="151" t="str">
        <f aca="false">IF(ISNUMBER(B269),B269*(1+1/'13_Mapa_Liq'!$B$16-'13_Mapa_Liq'!$B$6),"")</f>
        <v/>
      </c>
      <c r="T269" s="151" t="n">
        <f aca="false">IF(ISNUMBER(B269),IF(L269&lt;S269,J269*'13_Mapa_Liq'!$C$16,0),0)</f>
        <v>0</v>
      </c>
      <c r="U269" s="151" t="str">
        <f aca="false">IF(ISNUMBER(B269),B269*(1-1/'13_Mapa_Liq'!$B$17+'13_Mapa_Liq'!$B$6),"")</f>
        <v/>
      </c>
      <c r="V269" s="151" t="n">
        <f aca="false">IF(ISNUMBER(B269),IF(K269&gt;U269,I269*'13_Mapa_Liq'!$C$17,0),0)</f>
        <v>0</v>
      </c>
      <c r="W269" s="151" t="str">
        <f aca="false">IF(ISNUMBER(B269),B269*(1+1/'13_Mapa_Liq'!$B$17-'13_Mapa_Liq'!$B$6),"")</f>
        <v/>
      </c>
      <c r="X269" s="151" t="n">
        <f aca="false">IF(ISNUMBER(B269),IF(L269&lt;W269,J269*'13_Mapa_Liq'!$C$17,0),0)</f>
        <v>0</v>
      </c>
      <c r="Y269" s="151" t="str">
        <f aca="false">IF(ISNUMBER(B269),B269*(1-1/'13_Mapa_Liq'!$B$18+'13_Mapa_Liq'!$B$6),"")</f>
        <v/>
      </c>
      <c r="Z269" s="151" t="n">
        <f aca="false">IF(ISNUMBER(B269),IF(K269&gt;Y269,I269*'13_Mapa_Liq'!$C$18,0),0)</f>
        <v>0</v>
      </c>
      <c r="AA269" s="151" t="str">
        <f aca="false">IF(ISNUMBER(B269),B269*(1+1/'13_Mapa_Liq'!$B$18-'13_Mapa_Liq'!$B$6),"")</f>
        <v/>
      </c>
      <c r="AB269" s="151" t="n">
        <f aca="false">IF(ISNUMBER(B269),IF(L269&lt;AA269,J269*'13_Mapa_Liq'!$C$18,0),0)</f>
        <v>0</v>
      </c>
      <c r="AC269" s="151" t="str">
        <f aca="false">IF(ISNUMBER(B269),B269*(1-1/'13_Mapa_Liq'!$B$19+'13_Mapa_Liq'!$B$6),"")</f>
        <v/>
      </c>
      <c r="AD269" s="151" t="n">
        <f aca="false">IF(ISNUMBER(B269),IF(K269&gt;AC269,I269*'13_Mapa_Liq'!$C$19,0),0)</f>
        <v>0</v>
      </c>
      <c r="AE269" s="151" t="str">
        <f aca="false">IF(ISNUMBER(B269),B269*(1+1/'13_Mapa_Liq'!$B$19-'13_Mapa_Liq'!$B$6),"")</f>
        <v/>
      </c>
      <c r="AF269" s="151" t="n">
        <f aca="false">IF(ISNUMBER(B269),IF(L269&lt;AE269,J269*'13_Mapa_Liq'!$C$19,0),0)</f>
        <v>0</v>
      </c>
      <c r="AG269" s="151"/>
      <c r="AH269" s="151" t="n">
        <f aca="false">IF(ISNUMBER(B269),E269*F269*((K269&lt;=M269)*'13_Mapa_Liq'!$C$15+(K269&lt;=Q269)*'13_Mapa_Liq'!$C$16+(K269&lt;=U269)*'13_Mapa_Liq'!$C$17+(K269&lt;=Y269)*'13_Mapa_Liq'!$C$18+(K269&lt;=AC269)*'13_Mapa_Liq'!$C$19),0)</f>
        <v>0</v>
      </c>
      <c r="AI269" s="151" t="n">
        <f aca="false">IF(ISNUMBER(B269),E269*(1-F269)*((L269&gt;=O269)*'13_Mapa_Liq'!$C$15+(L269&gt;=S269)*'13_Mapa_Liq'!$C$16+(L269&gt;=W269)*'13_Mapa_Liq'!$C$17+(L269&gt;=AA269)*'13_Mapa_Liq'!$C$18+(L269&gt;=AE269)*'13_Mapa_Liq'!$C$19),0)</f>
        <v>0</v>
      </c>
    </row>
    <row r="270" customFormat="false" ht="15" hidden="false" customHeight="false" outlineLevel="0" collapsed="false">
      <c r="A270" s="151" t="str">
        <f aca="false">IF(ISNUMBER('12_Datos_5m'!F270),ROW()-4,"")</f>
        <v/>
      </c>
      <c r="B270" s="151" t="str">
        <f aca="false">IF(ISNUMBER('12_Datos_5m'!F270),'12_Datos_5m'!F270,"")</f>
        <v/>
      </c>
      <c r="C270" s="151" t="str">
        <f aca="false">IF(ISNUMBER('12_Datos_5m'!A270),'12_Datos_5m'!A270,"")</f>
        <v/>
      </c>
      <c r="D270" s="151" t="n">
        <f aca="false">IF(AND(ISNUMBER('12_Datos_5m'!I270),ISNUMBER('12_Datos_5m'!I269)),'12_Datos_5m'!I270-'12_Datos_5m'!I269,0)</f>
        <v>0</v>
      </c>
      <c r="E270" s="151" t="n">
        <f aca="false">MAX(0,D270)</f>
        <v>0</v>
      </c>
      <c r="F270" s="151" t="n">
        <f aca="false">IF(AND(ISNUMBER('12_Datos_5m'!G270),N('12_Datos_5m'!G270)&gt;0),'12_Datos_5m'!H270/'12_Datos_5m'!G270,0.5)</f>
        <v>0.5</v>
      </c>
      <c r="G270" s="151" t="n">
        <f aca="false">IF(ISNUMBER(C270),($C$2-C270)/3600000,0)</f>
        <v>0</v>
      </c>
      <c r="H270" s="151" t="n">
        <f aca="false">EXP(-G270/'13_Mapa_Liq'!$B$7)</f>
        <v>1</v>
      </c>
      <c r="I270" s="151" t="n">
        <f aca="false">E270*F270*H270</f>
        <v>0</v>
      </c>
      <c r="J270" s="151" t="n">
        <f aca="false">E270*(1-F270)*H270</f>
        <v>0</v>
      </c>
      <c r="K270" s="151" t="n">
        <f aca="false">IF(COUNT('12_Datos_5m'!E271:E$504)=0,1000000000000,MIN('12_Datos_5m'!E271:E$504))</f>
        <v>1000000000000</v>
      </c>
      <c r="L270" s="151" t="n">
        <f aca="false">IF(COUNT('12_Datos_5m'!D271:D$504)=0,0,MAX('12_Datos_5m'!D271:D$504))</f>
        <v>0</v>
      </c>
      <c r="M270" s="151" t="str">
        <f aca="false">IF(ISNUMBER(B270),B270*(1-1/'13_Mapa_Liq'!$B$15+'13_Mapa_Liq'!$B$6),"")</f>
        <v/>
      </c>
      <c r="N270" s="151" t="n">
        <f aca="false">IF(ISNUMBER(B270),IF(K270&gt;M270,I270*'13_Mapa_Liq'!$C$15,0),0)</f>
        <v>0</v>
      </c>
      <c r="O270" s="151" t="str">
        <f aca="false">IF(ISNUMBER(B270),B270*(1+1/'13_Mapa_Liq'!$B$15-'13_Mapa_Liq'!$B$6),"")</f>
        <v/>
      </c>
      <c r="P270" s="151" t="n">
        <f aca="false">IF(ISNUMBER(B270),IF(L270&lt;O270,J270*'13_Mapa_Liq'!$C$15,0),0)</f>
        <v>0</v>
      </c>
      <c r="Q270" s="151" t="str">
        <f aca="false">IF(ISNUMBER(B270),B270*(1-1/'13_Mapa_Liq'!$B$16+'13_Mapa_Liq'!$B$6),"")</f>
        <v/>
      </c>
      <c r="R270" s="151" t="n">
        <f aca="false">IF(ISNUMBER(B270),IF(K270&gt;Q270,I270*'13_Mapa_Liq'!$C$16,0),0)</f>
        <v>0</v>
      </c>
      <c r="S270" s="151" t="str">
        <f aca="false">IF(ISNUMBER(B270),B270*(1+1/'13_Mapa_Liq'!$B$16-'13_Mapa_Liq'!$B$6),"")</f>
        <v/>
      </c>
      <c r="T270" s="151" t="n">
        <f aca="false">IF(ISNUMBER(B270),IF(L270&lt;S270,J270*'13_Mapa_Liq'!$C$16,0),0)</f>
        <v>0</v>
      </c>
      <c r="U270" s="151" t="str">
        <f aca="false">IF(ISNUMBER(B270),B270*(1-1/'13_Mapa_Liq'!$B$17+'13_Mapa_Liq'!$B$6),"")</f>
        <v/>
      </c>
      <c r="V270" s="151" t="n">
        <f aca="false">IF(ISNUMBER(B270),IF(K270&gt;U270,I270*'13_Mapa_Liq'!$C$17,0),0)</f>
        <v>0</v>
      </c>
      <c r="W270" s="151" t="str">
        <f aca="false">IF(ISNUMBER(B270),B270*(1+1/'13_Mapa_Liq'!$B$17-'13_Mapa_Liq'!$B$6),"")</f>
        <v/>
      </c>
      <c r="X270" s="151" t="n">
        <f aca="false">IF(ISNUMBER(B270),IF(L270&lt;W270,J270*'13_Mapa_Liq'!$C$17,0),0)</f>
        <v>0</v>
      </c>
      <c r="Y270" s="151" t="str">
        <f aca="false">IF(ISNUMBER(B270),B270*(1-1/'13_Mapa_Liq'!$B$18+'13_Mapa_Liq'!$B$6),"")</f>
        <v/>
      </c>
      <c r="Z270" s="151" t="n">
        <f aca="false">IF(ISNUMBER(B270),IF(K270&gt;Y270,I270*'13_Mapa_Liq'!$C$18,0),0)</f>
        <v>0</v>
      </c>
      <c r="AA270" s="151" t="str">
        <f aca="false">IF(ISNUMBER(B270),B270*(1+1/'13_Mapa_Liq'!$B$18-'13_Mapa_Liq'!$B$6),"")</f>
        <v/>
      </c>
      <c r="AB270" s="151" t="n">
        <f aca="false">IF(ISNUMBER(B270),IF(L270&lt;AA270,J270*'13_Mapa_Liq'!$C$18,0),0)</f>
        <v>0</v>
      </c>
      <c r="AC270" s="151" t="str">
        <f aca="false">IF(ISNUMBER(B270),B270*(1-1/'13_Mapa_Liq'!$B$19+'13_Mapa_Liq'!$B$6),"")</f>
        <v/>
      </c>
      <c r="AD270" s="151" t="n">
        <f aca="false">IF(ISNUMBER(B270),IF(K270&gt;AC270,I270*'13_Mapa_Liq'!$C$19,0),0)</f>
        <v>0</v>
      </c>
      <c r="AE270" s="151" t="str">
        <f aca="false">IF(ISNUMBER(B270),B270*(1+1/'13_Mapa_Liq'!$B$19-'13_Mapa_Liq'!$B$6),"")</f>
        <v/>
      </c>
      <c r="AF270" s="151" t="n">
        <f aca="false">IF(ISNUMBER(B270),IF(L270&lt;AE270,J270*'13_Mapa_Liq'!$C$19,0),0)</f>
        <v>0</v>
      </c>
      <c r="AG270" s="151"/>
      <c r="AH270" s="151" t="n">
        <f aca="false">IF(ISNUMBER(B270),E270*F270*((K270&lt;=M270)*'13_Mapa_Liq'!$C$15+(K270&lt;=Q270)*'13_Mapa_Liq'!$C$16+(K270&lt;=U270)*'13_Mapa_Liq'!$C$17+(K270&lt;=Y270)*'13_Mapa_Liq'!$C$18+(K270&lt;=AC270)*'13_Mapa_Liq'!$C$19),0)</f>
        <v>0</v>
      </c>
      <c r="AI270" s="151" t="n">
        <f aca="false">IF(ISNUMBER(B270),E270*(1-F270)*((L270&gt;=O270)*'13_Mapa_Liq'!$C$15+(L270&gt;=S270)*'13_Mapa_Liq'!$C$16+(L270&gt;=W270)*'13_Mapa_Liq'!$C$17+(L270&gt;=AA270)*'13_Mapa_Liq'!$C$18+(L270&gt;=AE270)*'13_Mapa_Liq'!$C$19),0)</f>
        <v>0</v>
      </c>
    </row>
    <row r="271" customFormat="false" ht="15" hidden="false" customHeight="false" outlineLevel="0" collapsed="false">
      <c r="A271" s="151" t="str">
        <f aca="false">IF(ISNUMBER('12_Datos_5m'!F271),ROW()-4,"")</f>
        <v/>
      </c>
      <c r="B271" s="151" t="str">
        <f aca="false">IF(ISNUMBER('12_Datos_5m'!F271),'12_Datos_5m'!F271,"")</f>
        <v/>
      </c>
      <c r="C271" s="151" t="str">
        <f aca="false">IF(ISNUMBER('12_Datos_5m'!A271),'12_Datos_5m'!A271,"")</f>
        <v/>
      </c>
      <c r="D271" s="151" t="n">
        <f aca="false">IF(AND(ISNUMBER('12_Datos_5m'!I271),ISNUMBER('12_Datos_5m'!I270)),'12_Datos_5m'!I271-'12_Datos_5m'!I270,0)</f>
        <v>0</v>
      </c>
      <c r="E271" s="151" t="n">
        <f aca="false">MAX(0,D271)</f>
        <v>0</v>
      </c>
      <c r="F271" s="151" t="n">
        <f aca="false">IF(AND(ISNUMBER('12_Datos_5m'!G271),N('12_Datos_5m'!G271)&gt;0),'12_Datos_5m'!H271/'12_Datos_5m'!G271,0.5)</f>
        <v>0.5</v>
      </c>
      <c r="G271" s="151" t="n">
        <f aca="false">IF(ISNUMBER(C271),($C$2-C271)/3600000,0)</f>
        <v>0</v>
      </c>
      <c r="H271" s="151" t="n">
        <f aca="false">EXP(-G271/'13_Mapa_Liq'!$B$7)</f>
        <v>1</v>
      </c>
      <c r="I271" s="151" t="n">
        <f aca="false">E271*F271*H271</f>
        <v>0</v>
      </c>
      <c r="J271" s="151" t="n">
        <f aca="false">E271*(1-F271)*H271</f>
        <v>0</v>
      </c>
      <c r="K271" s="151" t="n">
        <f aca="false">IF(COUNT('12_Datos_5m'!E272:E$504)=0,1000000000000,MIN('12_Datos_5m'!E272:E$504))</f>
        <v>1000000000000</v>
      </c>
      <c r="L271" s="151" t="n">
        <f aca="false">IF(COUNT('12_Datos_5m'!D272:D$504)=0,0,MAX('12_Datos_5m'!D272:D$504))</f>
        <v>0</v>
      </c>
      <c r="M271" s="151" t="str">
        <f aca="false">IF(ISNUMBER(B271),B271*(1-1/'13_Mapa_Liq'!$B$15+'13_Mapa_Liq'!$B$6),"")</f>
        <v/>
      </c>
      <c r="N271" s="151" t="n">
        <f aca="false">IF(ISNUMBER(B271),IF(K271&gt;M271,I271*'13_Mapa_Liq'!$C$15,0),0)</f>
        <v>0</v>
      </c>
      <c r="O271" s="151" t="str">
        <f aca="false">IF(ISNUMBER(B271),B271*(1+1/'13_Mapa_Liq'!$B$15-'13_Mapa_Liq'!$B$6),"")</f>
        <v/>
      </c>
      <c r="P271" s="151" t="n">
        <f aca="false">IF(ISNUMBER(B271),IF(L271&lt;O271,J271*'13_Mapa_Liq'!$C$15,0),0)</f>
        <v>0</v>
      </c>
      <c r="Q271" s="151" t="str">
        <f aca="false">IF(ISNUMBER(B271),B271*(1-1/'13_Mapa_Liq'!$B$16+'13_Mapa_Liq'!$B$6),"")</f>
        <v/>
      </c>
      <c r="R271" s="151" t="n">
        <f aca="false">IF(ISNUMBER(B271),IF(K271&gt;Q271,I271*'13_Mapa_Liq'!$C$16,0),0)</f>
        <v>0</v>
      </c>
      <c r="S271" s="151" t="str">
        <f aca="false">IF(ISNUMBER(B271),B271*(1+1/'13_Mapa_Liq'!$B$16-'13_Mapa_Liq'!$B$6),"")</f>
        <v/>
      </c>
      <c r="T271" s="151" t="n">
        <f aca="false">IF(ISNUMBER(B271),IF(L271&lt;S271,J271*'13_Mapa_Liq'!$C$16,0),0)</f>
        <v>0</v>
      </c>
      <c r="U271" s="151" t="str">
        <f aca="false">IF(ISNUMBER(B271),B271*(1-1/'13_Mapa_Liq'!$B$17+'13_Mapa_Liq'!$B$6),"")</f>
        <v/>
      </c>
      <c r="V271" s="151" t="n">
        <f aca="false">IF(ISNUMBER(B271),IF(K271&gt;U271,I271*'13_Mapa_Liq'!$C$17,0),0)</f>
        <v>0</v>
      </c>
      <c r="W271" s="151" t="str">
        <f aca="false">IF(ISNUMBER(B271),B271*(1+1/'13_Mapa_Liq'!$B$17-'13_Mapa_Liq'!$B$6),"")</f>
        <v/>
      </c>
      <c r="X271" s="151" t="n">
        <f aca="false">IF(ISNUMBER(B271),IF(L271&lt;W271,J271*'13_Mapa_Liq'!$C$17,0),0)</f>
        <v>0</v>
      </c>
      <c r="Y271" s="151" t="str">
        <f aca="false">IF(ISNUMBER(B271),B271*(1-1/'13_Mapa_Liq'!$B$18+'13_Mapa_Liq'!$B$6),"")</f>
        <v/>
      </c>
      <c r="Z271" s="151" t="n">
        <f aca="false">IF(ISNUMBER(B271),IF(K271&gt;Y271,I271*'13_Mapa_Liq'!$C$18,0),0)</f>
        <v>0</v>
      </c>
      <c r="AA271" s="151" t="str">
        <f aca="false">IF(ISNUMBER(B271),B271*(1+1/'13_Mapa_Liq'!$B$18-'13_Mapa_Liq'!$B$6),"")</f>
        <v/>
      </c>
      <c r="AB271" s="151" t="n">
        <f aca="false">IF(ISNUMBER(B271),IF(L271&lt;AA271,J271*'13_Mapa_Liq'!$C$18,0),0)</f>
        <v>0</v>
      </c>
      <c r="AC271" s="151" t="str">
        <f aca="false">IF(ISNUMBER(B271),B271*(1-1/'13_Mapa_Liq'!$B$19+'13_Mapa_Liq'!$B$6),"")</f>
        <v/>
      </c>
      <c r="AD271" s="151" t="n">
        <f aca="false">IF(ISNUMBER(B271),IF(K271&gt;AC271,I271*'13_Mapa_Liq'!$C$19,0),0)</f>
        <v>0</v>
      </c>
      <c r="AE271" s="151" t="str">
        <f aca="false">IF(ISNUMBER(B271),B271*(1+1/'13_Mapa_Liq'!$B$19-'13_Mapa_Liq'!$B$6),"")</f>
        <v/>
      </c>
      <c r="AF271" s="151" t="n">
        <f aca="false">IF(ISNUMBER(B271),IF(L271&lt;AE271,J271*'13_Mapa_Liq'!$C$19,0),0)</f>
        <v>0</v>
      </c>
      <c r="AG271" s="151"/>
      <c r="AH271" s="151" t="n">
        <f aca="false">IF(ISNUMBER(B271),E271*F271*((K271&lt;=M271)*'13_Mapa_Liq'!$C$15+(K271&lt;=Q271)*'13_Mapa_Liq'!$C$16+(K271&lt;=U271)*'13_Mapa_Liq'!$C$17+(K271&lt;=Y271)*'13_Mapa_Liq'!$C$18+(K271&lt;=AC271)*'13_Mapa_Liq'!$C$19),0)</f>
        <v>0</v>
      </c>
      <c r="AI271" s="151" t="n">
        <f aca="false">IF(ISNUMBER(B271),E271*(1-F271)*((L271&gt;=O271)*'13_Mapa_Liq'!$C$15+(L271&gt;=S271)*'13_Mapa_Liq'!$C$16+(L271&gt;=W271)*'13_Mapa_Liq'!$C$17+(L271&gt;=AA271)*'13_Mapa_Liq'!$C$18+(L271&gt;=AE271)*'13_Mapa_Liq'!$C$19),0)</f>
        <v>0</v>
      </c>
    </row>
    <row r="272" customFormat="false" ht="15" hidden="false" customHeight="false" outlineLevel="0" collapsed="false">
      <c r="A272" s="151" t="str">
        <f aca="false">IF(ISNUMBER('12_Datos_5m'!F272),ROW()-4,"")</f>
        <v/>
      </c>
      <c r="B272" s="151" t="str">
        <f aca="false">IF(ISNUMBER('12_Datos_5m'!F272),'12_Datos_5m'!F272,"")</f>
        <v/>
      </c>
      <c r="C272" s="151" t="str">
        <f aca="false">IF(ISNUMBER('12_Datos_5m'!A272),'12_Datos_5m'!A272,"")</f>
        <v/>
      </c>
      <c r="D272" s="151" t="n">
        <f aca="false">IF(AND(ISNUMBER('12_Datos_5m'!I272),ISNUMBER('12_Datos_5m'!I271)),'12_Datos_5m'!I272-'12_Datos_5m'!I271,0)</f>
        <v>0</v>
      </c>
      <c r="E272" s="151" t="n">
        <f aca="false">MAX(0,D272)</f>
        <v>0</v>
      </c>
      <c r="F272" s="151" t="n">
        <f aca="false">IF(AND(ISNUMBER('12_Datos_5m'!G272),N('12_Datos_5m'!G272)&gt;0),'12_Datos_5m'!H272/'12_Datos_5m'!G272,0.5)</f>
        <v>0.5</v>
      </c>
      <c r="G272" s="151" t="n">
        <f aca="false">IF(ISNUMBER(C272),($C$2-C272)/3600000,0)</f>
        <v>0</v>
      </c>
      <c r="H272" s="151" t="n">
        <f aca="false">EXP(-G272/'13_Mapa_Liq'!$B$7)</f>
        <v>1</v>
      </c>
      <c r="I272" s="151" t="n">
        <f aca="false">E272*F272*H272</f>
        <v>0</v>
      </c>
      <c r="J272" s="151" t="n">
        <f aca="false">E272*(1-F272)*H272</f>
        <v>0</v>
      </c>
      <c r="K272" s="151" t="n">
        <f aca="false">IF(COUNT('12_Datos_5m'!E273:E$504)=0,1000000000000,MIN('12_Datos_5m'!E273:E$504))</f>
        <v>1000000000000</v>
      </c>
      <c r="L272" s="151" t="n">
        <f aca="false">IF(COUNT('12_Datos_5m'!D273:D$504)=0,0,MAX('12_Datos_5m'!D273:D$504))</f>
        <v>0</v>
      </c>
      <c r="M272" s="151" t="str">
        <f aca="false">IF(ISNUMBER(B272),B272*(1-1/'13_Mapa_Liq'!$B$15+'13_Mapa_Liq'!$B$6),"")</f>
        <v/>
      </c>
      <c r="N272" s="151" t="n">
        <f aca="false">IF(ISNUMBER(B272),IF(K272&gt;M272,I272*'13_Mapa_Liq'!$C$15,0),0)</f>
        <v>0</v>
      </c>
      <c r="O272" s="151" t="str">
        <f aca="false">IF(ISNUMBER(B272),B272*(1+1/'13_Mapa_Liq'!$B$15-'13_Mapa_Liq'!$B$6),"")</f>
        <v/>
      </c>
      <c r="P272" s="151" t="n">
        <f aca="false">IF(ISNUMBER(B272),IF(L272&lt;O272,J272*'13_Mapa_Liq'!$C$15,0),0)</f>
        <v>0</v>
      </c>
      <c r="Q272" s="151" t="str">
        <f aca="false">IF(ISNUMBER(B272),B272*(1-1/'13_Mapa_Liq'!$B$16+'13_Mapa_Liq'!$B$6),"")</f>
        <v/>
      </c>
      <c r="R272" s="151" t="n">
        <f aca="false">IF(ISNUMBER(B272),IF(K272&gt;Q272,I272*'13_Mapa_Liq'!$C$16,0),0)</f>
        <v>0</v>
      </c>
      <c r="S272" s="151" t="str">
        <f aca="false">IF(ISNUMBER(B272),B272*(1+1/'13_Mapa_Liq'!$B$16-'13_Mapa_Liq'!$B$6),"")</f>
        <v/>
      </c>
      <c r="T272" s="151" t="n">
        <f aca="false">IF(ISNUMBER(B272),IF(L272&lt;S272,J272*'13_Mapa_Liq'!$C$16,0),0)</f>
        <v>0</v>
      </c>
      <c r="U272" s="151" t="str">
        <f aca="false">IF(ISNUMBER(B272),B272*(1-1/'13_Mapa_Liq'!$B$17+'13_Mapa_Liq'!$B$6),"")</f>
        <v/>
      </c>
      <c r="V272" s="151" t="n">
        <f aca="false">IF(ISNUMBER(B272),IF(K272&gt;U272,I272*'13_Mapa_Liq'!$C$17,0),0)</f>
        <v>0</v>
      </c>
      <c r="W272" s="151" t="str">
        <f aca="false">IF(ISNUMBER(B272),B272*(1+1/'13_Mapa_Liq'!$B$17-'13_Mapa_Liq'!$B$6),"")</f>
        <v/>
      </c>
      <c r="X272" s="151" t="n">
        <f aca="false">IF(ISNUMBER(B272),IF(L272&lt;W272,J272*'13_Mapa_Liq'!$C$17,0),0)</f>
        <v>0</v>
      </c>
      <c r="Y272" s="151" t="str">
        <f aca="false">IF(ISNUMBER(B272),B272*(1-1/'13_Mapa_Liq'!$B$18+'13_Mapa_Liq'!$B$6),"")</f>
        <v/>
      </c>
      <c r="Z272" s="151" t="n">
        <f aca="false">IF(ISNUMBER(B272),IF(K272&gt;Y272,I272*'13_Mapa_Liq'!$C$18,0),0)</f>
        <v>0</v>
      </c>
      <c r="AA272" s="151" t="str">
        <f aca="false">IF(ISNUMBER(B272),B272*(1+1/'13_Mapa_Liq'!$B$18-'13_Mapa_Liq'!$B$6),"")</f>
        <v/>
      </c>
      <c r="AB272" s="151" t="n">
        <f aca="false">IF(ISNUMBER(B272),IF(L272&lt;AA272,J272*'13_Mapa_Liq'!$C$18,0),0)</f>
        <v>0</v>
      </c>
      <c r="AC272" s="151" t="str">
        <f aca="false">IF(ISNUMBER(B272),B272*(1-1/'13_Mapa_Liq'!$B$19+'13_Mapa_Liq'!$B$6),"")</f>
        <v/>
      </c>
      <c r="AD272" s="151" t="n">
        <f aca="false">IF(ISNUMBER(B272),IF(K272&gt;AC272,I272*'13_Mapa_Liq'!$C$19,0),0)</f>
        <v>0</v>
      </c>
      <c r="AE272" s="151" t="str">
        <f aca="false">IF(ISNUMBER(B272),B272*(1+1/'13_Mapa_Liq'!$B$19-'13_Mapa_Liq'!$B$6),"")</f>
        <v/>
      </c>
      <c r="AF272" s="151" t="n">
        <f aca="false">IF(ISNUMBER(B272),IF(L272&lt;AE272,J272*'13_Mapa_Liq'!$C$19,0),0)</f>
        <v>0</v>
      </c>
      <c r="AG272" s="151"/>
      <c r="AH272" s="151" t="n">
        <f aca="false">IF(ISNUMBER(B272),E272*F272*((K272&lt;=M272)*'13_Mapa_Liq'!$C$15+(K272&lt;=Q272)*'13_Mapa_Liq'!$C$16+(K272&lt;=U272)*'13_Mapa_Liq'!$C$17+(K272&lt;=Y272)*'13_Mapa_Liq'!$C$18+(K272&lt;=AC272)*'13_Mapa_Liq'!$C$19),0)</f>
        <v>0</v>
      </c>
      <c r="AI272" s="151" t="n">
        <f aca="false">IF(ISNUMBER(B272),E272*(1-F272)*((L272&gt;=O272)*'13_Mapa_Liq'!$C$15+(L272&gt;=S272)*'13_Mapa_Liq'!$C$16+(L272&gt;=W272)*'13_Mapa_Liq'!$C$17+(L272&gt;=AA272)*'13_Mapa_Liq'!$C$18+(L272&gt;=AE272)*'13_Mapa_Liq'!$C$19),0)</f>
        <v>0</v>
      </c>
    </row>
    <row r="273" customFormat="false" ht="15" hidden="false" customHeight="false" outlineLevel="0" collapsed="false">
      <c r="A273" s="151" t="str">
        <f aca="false">IF(ISNUMBER('12_Datos_5m'!F273),ROW()-4,"")</f>
        <v/>
      </c>
      <c r="B273" s="151" t="str">
        <f aca="false">IF(ISNUMBER('12_Datos_5m'!F273),'12_Datos_5m'!F273,"")</f>
        <v/>
      </c>
      <c r="C273" s="151" t="str">
        <f aca="false">IF(ISNUMBER('12_Datos_5m'!A273),'12_Datos_5m'!A273,"")</f>
        <v/>
      </c>
      <c r="D273" s="151" t="n">
        <f aca="false">IF(AND(ISNUMBER('12_Datos_5m'!I273),ISNUMBER('12_Datos_5m'!I272)),'12_Datos_5m'!I273-'12_Datos_5m'!I272,0)</f>
        <v>0</v>
      </c>
      <c r="E273" s="151" t="n">
        <f aca="false">MAX(0,D273)</f>
        <v>0</v>
      </c>
      <c r="F273" s="151" t="n">
        <f aca="false">IF(AND(ISNUMBER('12_Datos_5m'!G273),N('12_Datos_5m'!G273)&gt;0),'12_Datos_5m'!H273/'12_Datos_5m'!G273,0.5)</f>
        <v>0.5</v>
      </c>
      <c r="G273" s="151" t="n">
        <f aca="false">IF(ISNUMBER(C273),($C$2-C273)/3600000,0)</f>
        <v>0</v>
      </c>
      <c r="H273" s="151" t="n">
        <f aca="false">EXP(-G273/'13_Mapa_Liq'!$B$7)</f>
        <v>1</v>
      </c>
      <c r="I273" s="151" t="n">
        <f aca="false">E273*F273*H273</f>
        <v>0</v>
      </c>
      <c r="J273" s="151" t="n">
        <f aca="false">E273*(1-F273)*H273</f>
        <v>0</v>
      </c>
      <c r="K273" s="151" t="n">
        <f aca="false">IF(COUNT('12_Datos_5m'!E274:E$504)=0,1000000000000,MIN('12_Datos_5m'!E274:E$504))</f>
        <v>1000000000000</v>
      </c>
      <c r="L273" s="151" t="n">
        <f aca="false">IF(COUNT('12_Datos_5m'!D274:D$504)=0,0,MAX('12_Datos_5m'!D274:D$504))</f>
        <v>0</v>
      </c>
      <c r="M273" s="151" t="str">
        <f aca="false">IF(ISNUMBER(B273),B273*(1-1/'13_Mapa_Liq'!$B$15+'13_Mapa_Liq'!$B$6),"")</f>
        <v/>
      </c>
      <c r="N273" s="151" t="n">
        <f aca="false">IF(ISNUMBER(B273),IF(K273&gt;M273,I273*'13_Mapa_Liq'!$C$15,0),0)</f>
        <v>0</v>
      </c>
      <c r="O273" s="151" t="str">
        <f aca="false">IF(ISNUMBER(B273),B273*(1+1/'13_Mapa_Liq'!$B$15-'13_Mapa_Liq'!$B$6),"")</f>
        <v/>
      </c>
      <c r="P273" s="151" t="n">
        <f aca="false">IF(ISNUMBER(B273),IF(L273&lt;O273,J273*'13_Mapa_Liq'!$C$15,0),0)</f>
        <v>0</v>
      </c>
      <c r="Q273" s="151" t="str">
        <f aca="false">IF(ISNUMBER(B273),B273*(1-1/'13_Mapa_Liq'!$B$16+'13_Mapa_Liq'!$B$6),"")</f>
        <v/>
      </c>
      <c r="R273" s="151" t="n">
        <f aca="false">IF(ISNUMBER(B273),IF(K273&gt;Q273,I273*'13_Mapa_Liq'!$C$16,0),0)</f>
        <v>0</v>
      </c>
      <c r="S273" s="151" t="str">
        <f aca="false">IF(ISNUMBER(B273),B273*(1+1/'13_Mapa_Liq'!$B$16-'13_Mapa_Liq'!$B$6),"")</f>
        <v/>
      </c>
      <c r="T273" s="151" t="n">
        <f aca="false">IF(ISNUMBER(B273),IF(L273&lt;S273,J273*'13_Mapa_Liq'!$C$16,0),0)</f>
        <v>0</v>
      </c>
      <c r="U273" s="151" t="str">
        <f aca="false">IF(ISNUMBER(B273),B273*(1-1/'13_Mapa_Liq'!$B$17+'13_Mapa_Liq'!$B$6),"")</f>
        <v/>
      </c>
      <c r="V273" s="151" t="n">
        <f aca="false">IF(ISNUMBER(B273),IF(K273&gt;U273,I273*'13_Mapa_Liq'!$C$17,0),0)</f>
        <v>0</v>
      </c>
      <c r="W273" s="151" t="str">
        <f aca="false">IF(ISNUMBER(B273),B273*(1+1/'13_Mapa_Liq'!$B$17-'13_Mapa_Liq'!$B$6),"")</f>
        <v/>
      </c>
      <c r="X273" s="151" t="n">
        <f aca="false">IF(ISNUMBER(B273),IF(L273&lt;W273,J273*'13_Mapa_Liq'!$C$17,0),0)</f>
        <v>0</v>
      </c>
      <c r="Y273" s="151" t="str">
        <f aca="false">IF(ISNUMBER(B273),B273*(1-1/'13_Mapa_Liq'!$B$18+'13_Mapa_Liq'!$B$6),"")</f>
        <v/>
      </c>
      <c r="Z273" s="151" t="n">
        <f aca="false">IF(ISNUMBER(B273),IF(K273&gt;Y273,I273*'13_Mapa_Liq'!$C$18,0),0)</f>
        <v>0</v>
      </c>
      <c r="AA273" s="151" t="str">
        <f aca="false">IF(ISNUMBER(B273),B273*(1+1/'13_Mapa_Liq'!$B$18-'13_Mapa_Liq'!$B$6),"")</f>
        <v/>
      </c>
      <c r="AB273" s="151" t="n">
        <f aca="false">IF(ISNUMBER(B273),IF(L273&lt;AA273,J273*'13_Mapa_Liq'!$C$18,0),0)</f>
        <v>0</v>
      </c>
      <c r="AC273" s="151" t="str">
        <f aca="false">IF(ISNUMBER(B273),B273*(1-1/'13_Mapa_Liq'!$B$19+'13_Mapa_Liq'!$B$6),"")</f>
        <v/>
      </c>
      <c r="AD273" s="151" t="n">
        <f aca="false">IF(ISNUMBER(B273),IF(K273&gt;AC273,I273*'13_Mapa_Liq'!$C$19,0),0)</f>
        <v>0</v>
      </c>
      <c r="AE273" s="151" t="str">
        <f aca="false">IF(ISNUMBER(B273),B273*(1+1/'13_Mapa_Liq'!$B$19-'13_Mapa_Liq'!$B$6),"")</f>
        <v/>
      </c>
      <c r="AF273" s="151" t="n">
        <f aca="false">IF(ISNUMBER(B273),IF(L273&lt;AE273,J273*'13_Mapa_Liq'!$C$19,0),0)</f>
        <v>0</v>
      </c>
      <c r="AG273" s="151"/>
      <c r="AH273" s="151" t="n">
        <f aca="false">IF(ISNUMBER(B273),E273*F273*((K273&lt;=M273)*'13_Mapa_Liq'!$C$15+(K273&lt;=Q273)*'13_Mapa_Liq'!$C$16+(K273&lt;=U273)*'13_Mapa_Liq'!$C$17+(K273&lt;=Y273)*'13_Mapa_Liq'!$C$18+(K273&lt;=AC273)*'13_Mapa_Liq'!$C$19),0)</f>
        <v>0</v>
      </c>
      <c r="AI273" s="151" t="n">
        <f aca="false">IF(ISNUMBER(B273),E273*(1-F273)*((L273&gt;=O273)*'13_Mapa_Liq'!$C$15+(L273&gt;=S273)*'13_Mapa_Liq'!$C$16+(L273&gt;=W273)*'13_Mapa_Liq'!$C$17+(L273&gt;=AA273)*'13_Mapa_Liq'!$C$18+(L273&gt;=AE273)*'13_Mapa_Liq'!$C$19),0)</f>
        <v>0</v>
      </c>
    </row>
    <row r="274" customFormat="false" ht="15" hidden="false" customHeight="false" outlineLevel="0" collapsed="false">
      <c r="A274" s="151" t="str">
        <f aca="false">IF(ISNUMBER('12_Datos_5m'!F274),ROW()-4,"")</f>
        <v/>
      </c>
      <c r="B274" s="151" t="str">
        <f aca="false">IF(ISNUMBER('12_Datos_5m'!F274),'12_Datos_5m'!F274,"")</f>
        <v/>
      </c>
      <c r="C274" s="151" t="str">
        <f aca="false">IF(ISNUMBER('12_Datos_5m'!A274),'12_Datos_5m'!A274,"")</f>
        <v/>
      </c>
      <c r="D274" s="151" t="n">
        <f aca="false">IF(AND(ISNUMBER('12_Datos_5m'!I274),ISNUMBER('12_Datos_5m'!I273)),'12_Datos_5m'!I274-'12_Datos_5m'!I273,0)</f>
        <v>0</v>
      </c>
      <c r="E274" s="151" t="n">
        <f aca="false">MAX(0,D274)</f>
        <v>0</v>
      </c>
      <c r="F274" s="151" t="n">
        <f aca="false">IF(AND(ISNUMBER('12_Datos_5m'!G274),N('12_Datos_5m'!G274)&gt;0),'12_Datos_5m'!H274/'12_Datos_5m'!G274,0.5)</f>
        <v>0.5</v>
      </c>
      <c r="G274" s="151" t="n">
        <f aca="false">IF(ISNUMBER(C274),($C$2-C274)/3600000,0)</f>
        <v>0</v>
      </c>
      <c r="H274" s="151" t="n">
        <f aca="false">EXP(-G274/'13_Mapa_Liq'!$B$7)</f>
        <v>1</v>
      </c>
      <c r="I274" s="151" t="n">
        <f aca="false">E274*F274*H274</f>
        <v>0</v>
      </c>
      <c r="J274" s="151" t="n">
        <f aca="false">E274*(1-F274)*H274</f>
        <v>0</v>
      </c>
      <c r="K274" s="151" t="n">
        <f aca="false">IF(COUNT('12_Datos_5m'!E275:E$504)=0,1000000000000,MIN('12_Datos_5m'!E275:E$504))</f>
        <v>1000000000000</v>
      </c>
      <c r="L274" s="151" t="n">
        <f aca="false">IF(COUNT('12_Datos_5m'!D275:D$504)=0,0,MAX('12_Datos_5m'!D275:D$504))</f>
        <v>0</v>
      </c>
      <c r="M274" s="151" t="str">
        <f aca="false">IF(ISNUMBER(B274),B274*(1-1/'13_Mapa_Liq'!$B$15+'13_Mapa_Liq'!$B$6),"")</f>
        <v/>
      </c>
      <c r="N274" s="151" t="n">
        <f aca="false">IF(ISNUMBER(B274),IF(K274&gt;M274,I274*'13_Mapa_Liq'!$C$15,0),0)</f>
        <v>0</v>
      </c>
      <c r="O274" s="151" t="str">
        <f aca="false">IF(ISNUMBER(B274),B274*(1+1/'13_Mapa_Liq'!$B$15-'13_Mapa_Liq'!$B$6),"")</f>
        <v/>
      </c>
      <c r="P274" s="151" t="n">
        <f aca="false">IF(ISNUMBER(B274),IF(L274&lt;O274,J274*'13_Mapa_Liq'!$C$15,0),0)</f>
        <v>0</v>
      </c>
      <c r="Q274" s="151" t="str">
        <f aca="false">IF(ISNUMBER(B274),B274*(1-1/'13_Mapa_Liq'!$B$16+'13_Mapa_Liq'!$B$6),"")</f>
        <v/>
      </c>
      <c r="R274" s="151" t="n">
        <f aca="false">IF(ISNUMBER(B274),IF(K274&gt;Q274,I274*'13_Mapa_Liq'!$C$16,0),0)</f>
        <v>0</v>
      </c>
      <c r="S274" s="151" t="str">
        <f aca="false">IF(ISNUMBER(B274),B274*(1+1/'13_Mapa_Liq'!$B$16-'13_Mapa_Liq'!$B$6),"")</f>
        <v/>
      </c>
      <c r="T274" s="151" t="n">
        <f aca="false">IF(ISNUMBER(B274),IF(L274&lt;S274,J274*'13_Mapa_Liq'!$C$16,0),0)</f>
        <v>0</v>
      </c>
      <c r="U274" s="151" t="str">
        <f aca="false">IF(ISNUMBER(B274),B274*(1-1/'13_Mapa_Liq'!$B$17+'13_Mapa_Liq'!$B$6),"")</f>
        <v/>
      </c>
      <c r="V274" s="151" t="n">
        <f aca="false">IF(ISNUMBER(B274),IF(K274&gt;U274,I274*'13_Mapa_Liq'!$C$17,0),0)</f>
        <v>0</v>
      </c>
      <c r="W274" s="151" t="str">
        <f aca="false">IF(ISNUMBER(B274),B274*(1+1/'13_Mapa_Liq'!$B$17-'13_Mapa_Liq'!$B$6),"")</f>
        <v/>
      </c>
      <c r="X274" s="151" t="n">
        <f aca="false">IF(ISNUMBER(B274),IF(L274&lt;W274,J274*'13_Mapa_Liq'!$C$17,0),0)</f>
        <v>0</v>
      </c>
      <c r="Y274" s="151" t="str">
        <f aca="false">IF(ISNUMBER(B274),B274*(1-1/'13_Mapa_Liq'!$B$18+'13_Mapa_Liq'!$B$6),"")</f>
        <v/>
      </c>
      <c r="Z274" s="151" t="n">
        <f aca="false">IF(ISNUMBER(B274),IF(K274&gt;Y274,I274*'13_Mapa_Liq'!$C$18,0),0)</f>
        <v>0</v>
      </c>
      <c r="AA274" s="151" t="str">
        <f aca="false">IF(ISNUMBER(B274),B274*(1+1/'13_Mapa_Liq'!$B$18-'13_Mapa_Liq'!$B$6),"")</f>
        <v/>
      </c>
      <c r="AB274" s="151" t="n">
        <f aca="false">IF(ISNUMBER(B274),IF(L274&lt;AA274,J274*'13_Mapa_Liq'!$C$18,0),0)</f>
        <v>0</v>
      </c>
      <c r="AC274" s="151" t="str">
        <f aca="false">IF(ISNUMBER(B274),B274*(1-1/'13_Mapa_Liq'!$B$19+'13_Mapa_Liq'!$B$6),"")</f>
        <v/>
      </c>
      <c r="AD274" s="151" t="n">
        <f aca="false">IF(ISNUMBER(B274),IF(K274&gt;AC274,I274*'13_Mapa_Liq'!$C$19,0),0)</f>
        <v>0</v>
      </c>
      <c r="AE274" s="151" t="str">
        <f aca="false">IF(ISNUMBER(B274),B274*(1+1/'13_Mapa_Liq'!$B$19-'13_Mapa_Liq'!$B$6),"")</f>
        <v/>
      </c>
      <c r="AF274" s="151" t="n">
        <f aca="false">IF(ISNUMBER(B274),IF(L274&lt;AE274,J274*'13_Mapa_Liq'!$C$19,0),0)</f>
        <v>0</v>
      </c>
      <c r="AG274" s="151"/>
      <c r="AH274" s="151" t="n">
        <f aca="false">IF(ISNUMBER(B274),E274*F274*((K274&lt;=M274)*'13_Mapa_Liq'!$C$15+(K274&lt;=Q274)*'13_Mapa_Liq'!$C$16+(K274&lt;=U274)*'13_Mapa_Liq'!$C$17+(K274&lt;=Y274)*'13_Mapa_Liq'!$C$18+(K274&lt;=AC274)*'13_Mapa_Liq'!$C$19),0)</f>
        <v>0</v>
      </c>
      <c r="AI274" s="151" t="n">
        <f aca="false">IF(ISNUMBER(B274),E274*(1-F274)*((L274&gt;=O274)*'13_Mapa_Liq'!$C$15+(L274&gt;=S274)*'13_Mapa_Liq'!$C$16+(L274&gt;=W274)*'13_Mapa_Liq'!$C$17+(L274&gt;=AA274)*'13_Mapa_Liq'!$C$18+(L274&gt;=AE274)*'13_Mapa_Liq'!$C$19),0)</f>
        <v>0</v>
      </c>
    </row>
    <row r="275" customFormat="false" ht="15" hidden="false" customHeight="false" outlineLevel="0" collapsed="false">
      <c r="A275" s="151" t="str">
        <f aca="false">IF(ISNUMBER('12_Datos_5m'!F275),ROW()-4,"")</f>
        <v/>
      </c>
      <c r="B275" s="151" t="str">
        <f aca="false">IF(ISNUMBER('12_Datos_5m'!F275),'12_Datos_5m'!F275,"")</f>
        <v/>
      </c>
      <c r="C275" s="151" t="str">
        <f aca="false">IF(ISNUMBER('12_Datos_5m'!A275),'12_Datos_5m'!A275,"")</f>
        <v/>
      </c>
      <c r="D275" s="151" t="n">
        <f aca="false">IF(AND(ISNUMBER('12_Datos_5m'!I275),ISNUMBER('12_Datos_5m'!I274)),'12_Datos_5m'!I275-'12_Datos_5m'!I274,0)</f>
        <v>0</v>
      </c>
      <c r="E275" s="151" t="n">
        <f aca="false">MAX(0,D275)</f>
        <v>0</v>
      </c>
      <c r="F275" s="151" t="n">
        <f aca="false">IF(AND(ISNUMBER('12_Datos_5m'!G275),N('12_Datos_5m'!G275)&gt;0),'12_Datos_5m'!H275/'12_Datos_5m'!G275,0.5)</f>
        <v>0.5</v>
      </c>
      <c r="G275" s="151" t="n">
        <f aca="false">IF(ISNUMBER(C275),($C$2-C275)/3600000,0)</f>
        <v>0</v>
      </c>
      <c r="H275" s="151" t="n">
        <f aca="false">EXP(-G275/'13_Mapa_Liq'!$B$7)</f>
        <v>1</v>
      </c>
      <c r="I275" s="151" t="n">
        <f aca="false">E275*F275*H275</f>
        <v>0</v>
      </c>
      <c r="J275" s="151" t="n">
        <f aca="false">E275*(1-F275)*H275</f>
        <v>0</v>
      </c>
      <c r="K275" s="151" t="n">
        <f aca="false">IF(COUNT('12_Datos_5m'!E276:E$504)=0,1000000000000,MIN('12_Datos_5m'!E276:E$504))</f>
        <v>1000000000000</v>
      </c>
      <c r="L275" s="151" t="n">
        <f aca="false">IF(COUNT('12_Datos_5m'!D276:D$504)=0,0,MAX('12_Datos_5m'!D276:D$504))</f>
        <v>0</v>
      </c>
      <c r="M275" s="151" t="str">
        <f aca="false">IF(ISNUMBER(B275),B275*(1-1/'13_Mapa_Liq'!$B$15+'13_Mapa_Liq'!$B$6),"")</f>
        <v/>
      </c>
      <c r="N275" s="151" t="n">
        <f aca="false">IF(ISNUMBER(B275),IF(K275&gt;M275,I275*'13_Mapa_Liq'!$C$15,0),0)</f>
        <v>0</v>
      </c>
      <c r="O275" s="151" t="str">
        <f aca="false">IF(ISNUMBER(B275),B275*(1+1/'13_Mapa_Liq'!$B$15-'13_Mapa_Liq'!$B$6),"")</f>
        <v/>
      </c>
      <c r="P275" s="151" t="n">
        <f aca="false">IF(ISNUMBER(B275),IF(L275&lt;O275,J275*'13_Mapa_Liq'!$C$15,0),0)</f>
        <v>0</v>
      </c>
      <c r="Q275" s="151" t="str">
        <f aca="false">IF(ISNUMBER(B275),B275*(1-1/'13_Mapa_Liq'!$B$16+'13_Mapa_Liq'!$B$6),"")</f>
        <v/>
      </c>
      <c r="R275" s="151" t="n">
        <f aca="false">IF(ISNUMBER(B275),IF(K275&gt;Q275,I275*'13_Mapa_Liq'!$C$16,0),0)</f>
        <v>0</v>
      </c>
      <c r="S275" s="151" t="str">
        <f aca="false">IF(ISNUMBER(B275),B275*(1+1/'13_Mapa_Liq'!$B$16-'13_Mapa_Liq'!$B$6),"")</f>
        <v/>
      </c>
      <c r="T275" s="151" t="n">
        <f aca="false">IF(ISNUMBER(B275),IF(L275&lt;S275,J275*'13_Mapa_Liq'!$C$16,0),0)</f>
        <v>0</v>
      </c>
      <c r="U275" s="151" t="str">
        <f aca="false">IF(ISNUMBER(B275),B275*(1-1/'13_Mapa_Liq'!$B$17+'13_Mapa_Liq'!$B$6),"")</f>
        <v/>
      </c>
      <c r="V275" s="151" t="n">
        <f aca="false">IF(ISNUMBER(B275),IF(K275&gt;U275,I275*'13_Mapa_Liq'!$C$17,0),0)</f>
        <v>0</v>
      </c>
      <c r="W275" s="151" t="str">
        <f aca="false">IF(ISNUMBER(B275),B275*(1+1/'13_Mapa_Liq'!$B$17-'13_Mapa_Liq'!$B$6),"")</f>
        <v/>
      </c>
      <c r="X275" s="151" t="n">
        <f aca="false">IF(ISNUMBER(B275),IF(L275&lt;W275,J275*'13_Mapa_Liq'!$C$17,0),0)</f>
        <v>0</v>
      </c>
      <c r="Y275" s="151" t="str">
        <f aca="false">IF(ISNUMBER(B275),B275*(1-1/'13_Mapa_Liq'!$B$18+'13_Mapa_Liq'!$B$6),"")</f>
        <v/>
      </c>
      <c r="Z275" s="151" t="n">
        <f aca="false">IF(ISNUMBER(B275),IF(K275&gt;Y275,I275*'13_Mapa_Liq'!$C$18,0),0)</f>
        <v>0</v>
      </c>
      <c r="AA275" s="151" t="str">
        <f aca="false">IF(ISNUMBER(B275),B275*(1+1/'13_Mapa_Liq'!$B$18-'13_Mapa_Liq'!$B$6),"")</f>
        <v/>
      </c>
      <c r="AB275" s="151" t="n">
        <f aca="false">IF(ISNUMBER(B275),IF(L275&lt;AA275,J275*'13_Mapa_Liq'!$C$18,0),0)</f>
        <v>0</v>
      </c>
      <c r="AC275" s="151" t="str">
        <f aca="false">IF(ISNUMBER(B275),B275*(1-1/'13_Mapa_Liq'!$B$19+'13_Mapa_Liq'!$B$6),"")</f>
        <v/>
      </c>
      <c r="AD275" s="151" t="n">
        <f aca="false">IF(ISNUMBER(B275),IF(K275&gt;AC275,I275*'13_Mapa_Liq'!$C$19,0),0)</f>
        <v>0</v>
      </c>
      <c r="AE275" s="151" t="str">
        <f aca="false">IF(ISNUMBER(B275),B275*(1+1/'13_Mapa_Liq'!$B$19-'13_Mapa_Liq'!$B$6),"")</f>
        <v/>
      </c>
      <c r="AF275" s="151" t="n">
        <f aca="false">IF(ISNUMBER(B275),IF(L275&lt;AE275,J275*'13_Mapa_Liq'!$C$19,0),0)</f>
        <v>0</v>
      </c>
      <c r="AG275" s="151"/>
      <c r="AH275" s="151" t="n">
        <f aca="false">IF(ISNUMBER(B275),E275*F275*((K275&lt;=M275)*'13_Mapa_Liq'!$C$15+(K275&lt;=Q275)*'13_Mapa_Liq'!$C$16+(K275&lt;=U275)*'13_Mapa_Liq'!$C$17+(K275&lt;=Y275)*'13_Mapa_Liq'!$C$18+(K275&lt;=AC275)*'13_Mapa_Liq'!$C$19),0)</f>
        <v>0</v>
      </c>
      <c r="AI275" s="151" t="n">
        <f aca="false">IF(ISNUMBER(B275),E275*(1-F275)*((L275&gt;=O275)*'13_Mapa_Liq'!$C$15+(L275&gt;=S275)*'13_Mapa_Liq'!$C$16+(L275&gt;=W275)*'13_Mapa_Liq'!$C$17+(L275&gt;=AA275)*'13_Mapa_Liq'!$C$18+(L275&gt;=AE275)*'13_Mapa_Liq'!$C$19),0)</f>
        <v>0</v>
      </c>
    </row>
    <row r="276" customFormat="false" ht="15" hidden="false" customHeight="false" outlineLevel="0" collapsed="false">
      <c r="A276" s="151" t="str">
        <f aca="false">IF(ISNUMBER('12_Datos_5m'!F276),ROW()-4,"")</f>
        <v/>
      </c>
      <c r="B276" s="151" t="str">
        <f aca="false">IF(ISNUMBER('12_Datos_5m'!F276),'12_Datos_5m'!F276,"")</f>
        <v/>
      </c>
      <c r="C276" s="151" t="str">
        <f aca="false">IF(ISNUMBER('12_Datos_5m'!A276),'12_Datos_5m'!A276,"")</f>
        <v/>
      </c>
      <c r="D276" s="151" t="n">
        <f aca="false">IF(AND(ISNUMBER('12_Datos_5m'!I276),ISNUMBER('12_Datos_5m'!I275)),'12_Datos_5m'!I276-'12_Datos_5m'!I275,0)</f>
        <v>0</v>
      </c>
      <c r="E276" s="151" t="n">
        <f aca="false">MAX(0,D276)</f>
        <v>0</v>
      </c>
      <c r="F276" s="151" t="n">
        <f aca="false">IF(AND(ISNUMBER('12_Datos_5m'!G276),N('12_Datos_5m'!G276)&gt;0),'12_Datos_5m'!H276/'12_Datos_5m'!G276,0.5)</f>
        <v>0.5</v>
      </c>
      <c r="G276" s="151" t="n">
        <f aca="false">IF(ISNUMBER(C276),($C$2-C276)/3600000,0)</f>
        <v>0</v>
      </c>
      <c r="H276" s="151" t="n">
        <f aca="false">EXP(-G276/'13_Mapa_Liq'!$B$7)</f>
        <v>1</v>
      </c>
      <c r="I276" s="151" t="n">
        <f aca="false">E276*F276*H276</f>
        <v>0</v>
      </c>
      <c r="J276" s="151" t="n">
        <f aca="false">E276*(1-F276)*H276</f>
        <v>0</v>
      </c>
      <c r="K276" s="151" t="n">
        <f aca="false">IF(COUNT('12_Datos_5m'!E277:E$504)=0,1000000000000,MIN('12_Datos_5m'!E277:E$504))</f>
        <v>1000000000000</v>
      </c>
      <c r="L276" s="151" t="n">
        <f aca="false">IF(COUNT('12_Datos_5m'!D277:D$504)=0,0,MAX('12_Datos_5m'!D277:D$504))</f>
        <v>0</v>
      </c>
      <c r="M276" s="151" t="str">
        <f aca="false">IF(ISNUMBER(B276),B276*(1-1/'13_Mapa_Liq'!$B$15+'13_Mapa_Liq'!$B$6),"")</f>
        <v/>
      </c>
      <c r="N276" s="151" t="n">
        <f aca="false">IF(ISNUMBER(B276),IF(K276&gt;M276,I276*'13_Mapa_Liq'!$C$15,0),0)</f>
        <v>0</v>
      </c>
      <c r="O276" s="151" t="str">
        <f aca="false">IF(ISNUMBER(B276),B276*(1+1/'13_Mapa_Liq'!$B$15-'13_Mapa_Liq'!$B$6),"")</f>
        <v/>
      </c>
      <c r="P276" s="151" t="n">
        <f aca="false">IF(ISNUMBER(B276),IF(L276&lt;O276,J276*'13_Mapa_Liq'!$C$15,0),0)</f>
        <v>0</v>
      </c>
      <c r="Q276" s="151" t="str">
        <f aca="false">IF(ISNUMBER(B276),B276*(1-1/'13_Mapa_Liq'!$B$16+'13_Mapa_Liq'!$B$6),"")</f>
        <v/>
      </c>
      <c r="R276" s="151" t="n">
        <f aca="false">IF(ISNUMBER(B276),IF(K276&gt;Q276,I276*'13_Mapa_Liq'!$C$16,0),0)</f>
        <v>0</v>
      </c>
      <c r="S276" s="151" t="str">
        <f aca="false">IF(ISNUMBER(B276),B276*(1+1/'13_Mapa_Liq'!$B$16-'13_Mapa_Liq'!$B$6),"")</f>
        <v/>
      </c>
      <c r="T276" s="151" t="n">
        <f aca="false">IF(ISNUMBER(B276),IF(L276&lt;S276,J276*'13_Mapa_Liq'!$C$16,0),0)</f>
        <v>0</v>
      </c>
      <c r="U276" s="151" t="str">
        <f aca="false">IF(ISNUMBER(B276),B276*(1-1/'13_Mapa_Liq'!$B$17+'13_Mapa_Liq'!$B$6),"")</f>
        <v/>
      </c>
      <c r="V276" s="151" t="n">
        <f aca="false">IF(ISNUMBER(B276),IF(K276&gt;U276,I276*'13_Mapa_Liq'!$C$17,0),0)</f>
        <v>0</v>
      </c>
      <c r="W276" s="151" t="str">
        <f aca="false">IF(ISNUMBER(B276),B276*(1+1/'13_Mapa_Liq'!$B$17-'13_Mapa_Liq'!$B$6),"")</f>
        <v/>
      </c>
      <c r="X276" s="151" t="n">
        <f aca="false">IF(ISNUMBER(B276),IF(L276&lt;W276,J276*'13_Mapa_Liq'!$C$17,0),0)</f>
        <v>0</v>
      </c>
      <c r="Y276" s="151" t="str">
        <f aca="false">IF(ISNUMBER(B276),B276*(1-1/'13_Mapa_Liq'!$B$18+'13_Mapa_Liq'!$B$6),"")</f>
        <v/>
      </c>
      <c r="Z276" s="151" t="n">
        <f aca="false">IF(ISNUMBER(B276),IF(K276&gt;Y276,I276*'13_Mapa_Liq'!$C$18,0),0)</f>
        <v>0</v>
      </c>
      <c r="AA276" s="151" t="str">
        <f aca="false">IF(ISNUMBER(B276),B276*(1+1/'13_Mapa_Liq'!$B$18-'13_Mapa_Liq'!$B$6),"")</f>
        <v/>
      </c>
      <c r="AB276" s="151" t="n">
        <f aca="false">IF(ISNUMBER(B276),IF(L276&lt;AA276,J276*'13_Mapa_Liq'!$C$18,0),0)</f>
        <v>0</v>
      </c>
      <c r="AC276" s="151" t="str">
        <f aca="false">IF(ISNUMBER(B276),B276*(1-1/'13_Mapa_Liq'!$B$19+'13_Mapa_Liq'!$B$6),"")</f>
        <v/>
      </c>
      <c r="AD276" s="151" t="n">
        <f aca="false">IF(ISNUMBER(B276),IF(K276&gt;AC276,I276*'13_Mapa_Liq'!$C$19,0),0)</f>
        <v>0</v>
      </c>
      <c r="AE276" s="151" t="str">
        <f aca="false">IF(ISNUMBER(B276),B276*(1+1/'13_Mapa_Liq'!$B$19-'13_Mapa_Liq'!$B$6),"")</f>
        <v/>
      </c>
      <c r="AF276" s="151" t="n">
        <f aca="false">IF(ISNUMBER(B276),IF(L276&lt;AE276,J276*'13_Mapa_Liq'!$C$19,0),0)</f>
        <v>0</v>
      </c>
      <c r="AG276" s="151"/>
      <c r="AH276" s="151" t="n">
        <f aca="false">IF(ISNUMBER(B276),E276*F276*((K276&lt;=M276)*'13_Mapa_Liq'!$C$15+(K276&lt;=Q276)*'13_Mapa_Liq'!$C$16+(K276&lt;=U276)*'13_Mapa_Liq'!$C$17+(K276&lt;=Y276)*'13_Mapa_Liq'!$C$18+(K276&lt;=AC276)*'13_Mapa_Liq'!$C$19),0)</f>
        <v>0</v>
      </c>
      <c r="AI276" s="151" t="n">
        <f aca="false">IF(ISNUMBER(B276),E276*(1-F276)*((L276&gt;=O276)*'13_Mapa_Liq'!$C$15+(L276&gt;=S276)*'13_Mapa_Liq'!$C$16+(L276&gt;=W276)*'13_Mapa_Liq'!$C$17+(L276&gt;=AA276)*'13_Mapa_Liq'!$C$18+(L276&gt;=AE276)*'13_Mapa_Liq'!$C$19),0)</f>
        <v>0</v>
      </c>
    </row>
    <row r="277" customFormat="false" ht="15" hidden="false" customHeight="false" outlineLevel="0" collapsed="false">
      <c r="A277" s="151" t="str">
        <f aca="false">IF(ISNUMBER('12_Datos_5m'!F277),ROW()-4,"")</f>
        <v/>
      </c>
      <c r="B277" s="151" t="str">
        <f aca="false">IF(ISNUMBER('12_Datos_5m'!F277),'12_Datos_5m'!F277,"")</f>
        <v/>
      </c>
      <c r="C277" s="151" t="str">
        <f aca="false">IF(ISNUMBER('12_Datos_5m'!A277),'12_Datos_5m'!A277,"")</f>
        <v/>
      </c>
      <c r="D277" s="151" t="n">
        <f aca="false">IF(AND(ISNUMBER('12_Datos_5m'!I277),ISNUMBER('12_Datos_5m'!I276)),'12_Datos_5m'!I277-'12_Datos_5m'!I276,0)</f>
        <v>0</v>
      </c>
      <c r="E277" s="151" t="n">
        <f aca="false">MAX(0,D277)</f>
        <v>0</v>
      </c>
      <c r="F277" s="151" t="n">
        <f aca="false">IF(AND(ISNUMBER('12_Datos_5m'!G277),N('12_Datos_5m'!G277)&gt;0),'12_Datos_5m'!H277/'12_Datos_5m'!G277,0.5)</f>
        <v>0.5</v>
      </c>
      <c r="G277" s="151" t="n">
        <f aca="false">IF(ISNUMBER(C277),($C$2-C277)/3600000,0)</f>
        <v>0</v>
      </c>
      <c r="H277" s="151" t="n">
        <f aca="false">EXP(-G277/'13_Mapa_Liq'!$B$7)</f>
        <v>1</v>
      </c>
      <c r="I277" s="151" t="n">
        <f aca="false">E277*F277*H277</f>
        <v>0</v>
      </c>
      <c r="J277" s="151" t="n">
        <f aca="false">E277*(1-F277)*H277</f>
        <v>0</v>
      </c>
      <c r="K277" s="151" t="n">
        <f aca="false">IF(COUNT('12_Datos_5m'!E278:E$504)=0,1000000000000,MIN('12_Datos_5m'!E278:E$504))</f>
        <v>1000000000000</v>
      </c>
      <c r="L277" s="151" t="n">
        <f aca="false">IF(COUNT('12_Datos_5m'!D278:D$504)=0,0,MAX('12_Datos_5m'!D278:D$504))</f>
        <v>0</v>
      </c>
      <c r="M277" s="151" t="str">
        <f aca="false">IF(ISNUMBER(B277),B277*(1-1/'13_Mapa_Liq'!$B$15+'13_Mapa_Liq'!$B$6),"")</f>
        <v/>
      </c>
      <c r="N277" s="151" t="n">
        <f aca="false">IF(ISNUMBER(B277),IF(K277&gt;M277,I277*'13_Mapa_Liq'!$C$15,0),0)</f>
        <v>0</v>
      </c>
      <c r="O277" s="151" t="str">
        <f aca="false">IF(ISNUMBER(B277),B277*(1+1/'13_Mapa_Liq'!$B$15-'13_Mapa_Liq'!$B$6),"")</f>
        <v/>
      </c>
      <c r="P277" s="151" t="n">
        <f aca="false">IF(ISNUMBER(B277),IF(L277&lt;O277,J277*'13_Mapa_Liq'!$C$15,0),0)</f>
        <v>0</v>
      </c>
      <c r="Q277" s="151" t="str">
        <f aca="false">IF(ISNUMBER(B277),B277*(1-1/'13_Mapa_Liq'!$B$16+'13_Mapa_Liq'!$B$6),"")</f>
        <v/>
      </c>
      <c r="R277" s="151" t="n">
        <f aca="false">IF(ISNUMBER(B277),IF(K277&gt;Q277,I277*'13_Mapa_Liq'!$C$16,0),0)</f>
        <v>0</v>
      </c>
      <c r="S277" s="151" t="str">
        <f aca="false">IF(ISNUMBER(B277),B277*(1+1/'13_Mapa_Liq'!$B$16-'13_Mapa_Liq'!$B$6),"")</f>
        <v/>
      </c>
      <c r="T277" s="151" t="n">
        <f aca="false">IF(ISNUMBER(B277),IF(L277&lt;S277,J277*'13_Mapa_Liq'!$C$16,0),0)</f>
        <v>0</v>
      </c>
      <c r="U277" s="151" t="str">
        <f aca="false">IF(ISNUMBER(B277),B277*(1-1/'13_Mapa_Liq'!$B$17+'13_Mapa_Liq'!$B$6),"")</f>
        <v/>
      </c>
      <c r="V277" s="151" t="n">
        <f aca="false">IF(ISNUMBER(B277),IF(K277&gt;U277,I277*'13_Mapa_Liq'!$C$17,0),0)</f>
        <v>0</v>
      </c>
      <c r="W277" s="151" t="str">
        <f aca="false">IF(ISNUMBER(B277),B277*(1+1/'13_Mapa_Liq'!$B$17-'13_Mapa_Liq'!$B$6),"")</f>
        <v/>
      </c>
      <c r="X277" s="151" t="n">
        <f aca="false">IF(ISNUMBER(B277),IF(L277&lt;W277,J277*'13_Mapa_Liq'!$C$17,0),0)</f>
        <v>0</v>
      </c>
      <c r="Y277" s="151" t="str">
        <f aca="false">IF(ISNUMBER(B277),B277*(1-1/'13_Mapa_Liq'!$B$18+'13_Mapa_Liq'!$B$6),"")</f>
        <v/>
      </c>
      <c r="Z277" s="151" t="n">
        <f aca="false">IF(ISNUMBER(B277),IF(K277&gt;Y277,I277*'13_Mapa_Liq'!$C$18,0),0)</f>
        <v>0</v>
      </c>
      <c r="AA277" s="151" t="str">
        <f aca="false">IF(ISNUMBER(B277),B277*(1+1/'13_Mapa_Liq'!$B$18-'13_Mapa_Liq'!$B$6),"")</f>
        <v/>
      </c>
      <c r="AB277" s="151" t="n">
        <f aca="false">IF(ISNUMBER(B277),IF(L277&lt;AA277,J277*'13_Mapa_Liq'!$C$18,0),0)</f>
        <v>0</v>
      </c>
      <c r="AC277" s="151" t="str">
        <f aca="false">IF(ISNUMBER(B277),B277*(1-1/'13_Mapa_Liq'!$B$19+'13_Mapa_Liq'!$B$6),"")</f>
        <v/>
      </c>
      <c r="AD277" s="151" t="n">
        <f aca="false">IF(ISNUMBER(B277),IF(K277&gt;AC277,I277*'13_Mapa_Liq'!$C$19,0),0)</f>
        <v>0</v>
      </c>
      <c r="AE277" s="151" t="str">
        <f aca="false">IF(ISNUMBER(B277),B277*(1+1/'13_Mapa_Liq'!$B$19-'13_Mapa_Liq'!$B$6),"")</f>
        <v/>
      </c>
      <c r="AF277" s="151" t="n">
        <f aca="false">IF(ISNUMBER(B277),IF(L277&lt;AE277,J277*'13_Mapa_Liq'!$C$19,0),0)</f>
        <v>0</v>
      </c>
      <c r="AG277" s="151"/>
      <c r="AH277" s="151" t="n">
        <f aca="false">IF(ISNUMBER(B277),E277*F277*((K277&lt;=M277)*'13_Mapa_Liq'!$C$15+(K277&lt;=Q277)*'13_Mapa_Liq'!$C$16+(K277&lt;=U277)*'13_Mapa_Liq'!$C$17+(K277&lt;=Y277)*'13_Mapa_Liq'!$C$18+(K277&lt;=AC277)*'13_Mapa_Liq'!$C$19),0)</f>
        <v>0</v>
      </c>
      <c r="AI277" s="151" t="n">
        <f aca="false">IF(ISNUMBER(B277),E277*(1-F277)*((L277&gt;=O277)*'13_Mapa_Liq'!$C$15+(L277&gt;=S277)*'13_Mapa_Liq'!$C$16+(L277&gt;=W277)*'13_Mapa_Liq'!$C$17+(L277&gt;=AA277)*'13_Mapa_Liq'!$C$18+(L277&gt;=AE277)*'13_Mapa_Liq'!$C$19),0)</f>
        <v>0</v>
      </c>
    </row>
    <row r="278" customFormat="false" ht="15" hidden="false" customHeight="false" outlineLevel="0" collapsed="false">
      <c r="A278" s="151" t="str">
        <f aca="false">IF(ISNUMBER('12_Datos_5m'!F278),ROW()-4,"")</f>
        <v/>
      </c>
      <c r="B278" s="151" t="str">
        <f aca="false">IF(ISNUMBER('12_Datos_5m'!F278),'12_Datos_5m'!F278,"")</f>
        <v/>
      </c>
      <c r="C278" s="151" t="str">
        <f aca="false">IF(ISNUMBER('12_Datos_5m'!A278),'12_Datos_5m'!A278,"")</f>
        <v/>
      </c>
      <c r="D278" s="151" t="n">
        <f aca="false">IF(AND(ISNUMBER('12_Datos_5m'!I278),ISNUMBER('12_Datos_5m'!I277)),'12_Datos_5m'!I278-'12_Datos_5m'!I277,0)</f>
        <v>0</v>
      </c>
      <c r="E278" s="151" t="n">
        <f aca="false">MAX(0,D278)</f>
        <v>0</v>
      </c>
      <c r="F278" s="151" t="n">
        <f aca="false">IF(AND(ISNUMBER('12_Datos_5m'!G278),N('12_Datos_5m'!G278)&gt;0),'12_Datos_5m'!H278/'12_Datos_5m'!G278,0.5)</f>
        <v>0.5</v>
      </c>
      <c r="G278" s="151" t="n">
        <f aca="false">IF(ISNUMBER(C278),($C$2-C278)/3600000,0)</f>
        <v>0</v>
      </c>
      <c r="H278" s="151" t="n">
        <f aca="false">EXP(-G278/'13_Mapa_Liq'!$B$7)</f>
        <v>1</v>
      </c>
      <c r="I278" s="151" t="n">
        <f aca="false">E278*F278*H278</f>
        <v>0</v>
      </c>
      <c r="J278" s="151" t="n">
        <f aca="false">E278*(1-F278)*H278</f>
        <v>0</v>
      </c>
      <c r="K278" s="151" t="n">
        <f aca="false">IF(COUNT('12_Datos_5m'!E279:E$504)=0,1000000000000,MIN('12_Datos_5m'!E279:E$504))</f>
        <v>1000000000000</v>
      </c>
      <c r="L278" s="151" t="n">
        <f aca="false">IF(COUNT('12_Datos_5m'!D279:D$504)=0,0,MAX('12_Datos_5m'!D279:D$504))</f>
        <v>0</v>
      </c>
      <c r="M278" s="151" t="str">
        <f aca="false">IF(ISNUMBER(B278),B278*(1-1/'13_Mapa_Liq'!$B$15+'13_Mapa_Liq'!$B$6),"")</f>
        <v/>
      </c>
      <c r="N278" s="151" t="n">
        <f aca="false">IF(ISNUMBER(B278),IF(K278&gt;M278,I278*'13_Mapa_Liq'!$C$15,0),0)</f>
        <v>0</v>
      </c>
      <c r="O278" s="151" t="str">
        <f aca="false">IF(ISNUMBER(B278),B278*(1+1/'13_Mapa_Liq'!$B$15-'13_Mapa_Liq'!$B$6),"")</f>
        <v/>
      </c>
      <c r="P278" s="151" t="n">
        <f aca="false">IF(ISNUMBER(B278),IF(L278&lt;O278,J278*'13_Mapa_Liq'!$C$15,0),0)</f>
        <v>0</v>
      </c>
      <c r="Q278" s="151" t="str">
        <f aca="false">IF(ISNUMBER(B278),B278*(1-1/'13_Mapa_Liq'!$B$16+'13_Mapa_Liq'!$B$6),"")</f>
        <v/>
      </c>
      <c r="R278" s="151" t="n">
        <f aca="false">IF(ISNUMBER(B278),IF(K278&gt;Q278,I278*'13_Mapa_Liq'!$C$16,0),0)</f>
        <v>0</v>
      </c>
      <c r="S278" s="151" t="str">
        <f aca="false">IF(ISNUMBER(B278),B278*(1+1/'13_Mapa_Liq'!$B$16-'13_Mapa_Liq'!$B$6),"")</f>
        <v/>
      </c>
      <c r="T278" s="151" t="n">
        <f aca="false">IF(ISNUMBER(B278),IF(L278&lt;S278,J278*'13_Mapa_Liq'!$C$16,0),0)</f>
        <v>0</v>
      </c>
      <c r="U278" s="151" t="str">
        <f aca="false">IF(ISNUMBER(B278),B278*(1-1/'13_Mapa_Liq'!$B$17+'13_Mapa_Liq'!$B$6),"")</f>
        <v/>
      </c>
      <c r="V278" s="151" t="n">
        <f aca="false">IF(ISNUMBER(B278),IF(K278&gt;U278,I278*'13_Mapa_Liq'!$C$17,0),0)</f>
        <v>0</v>
      </c>
      <c r="W278" s="151" t="str">
        <f aca="false">IF(ISNUMBER(B278),B278*(1+1/'13_Mapa_Liq'!$B$17-'13_Mapa_Liq'!$B$6),"")</f>
        <v/>
      </c>
      <c r="X278" s="151" t="n">
        <f aca="false">IF(ISNUMBER(B278),IF(L278&lt;W278,J278*'13_Mapa_Liq'!$C$17,0),0)</f>
        <v>0</v>
      </c>
      <c r="Y278" s="151" t="str">
        <f aca="false">IF(ISNUMBER(B278),B278*(1-1/'13_Mapa_Liq'!$B$18+'13_Mapa_Liq'!$B$6),"")</f>
        <v/>
      </c>
      <c r="Z278" s="151" t="n">
        <f aca="false">IF(ISNUMBER(B278),IF(K278&gt;Y278,I278*'13_Mapa_Liq'!$C$18,0),0)</f>
        <v>0</v>
      </c>
      <c r="AA278" s="151" t="str">
        <f aca="false">IF(ISNUMBER(B278),B278*(1+1/'13_Mapa_Liq'!$B$18-'13_Mapa_Liq'!$B$6),"")</f>
        <v/>
      </c>
      <c r="AB278" s="151" t="n">
        <f aca="false">IF(ISNUMBER(B278),IF(L278&lt;AA278,J278*'13_Mapa_Liq'!$C$18,0),0)</f>
        <v>0</v>
      </c>
      <c r="AC278" s="151" t="str">
        <f aca="false">IF(ISNUMBER(B278),B278*(1-1/'13_Mapa_Liq'!$B$19+'13_Mapa_Liq'!$B$6),"")</f>
        <v/>
      </c>
      <c r="AD278" s="151" t="n">
        <f aca="false">IF(ISNUMBER(B278),IF(K278&gt;AC278,I278*'13_Mapa_Liq'!$C$19,0),0)</f>
        <v>0</v>
      </c>
      <c r="AE278" s="151" t="str">
        <f aca="false">IF(ISNUMBER(B278),B278*(1+1/'13_Mapa_Liq'!$B$19-'13_Mapa_Liq'!$B$6),"")</f>
        <v/>
      </c>
      <c r="AF278" s="151" t="n">
        <f aca="false">IF(ISNUMBER(B278),IF(L278&lt;AE278,J278*'13_Mapa_Liq'!$C$19,0),0)</f>
        <v>0</v>
      </c>
      <c r="AG278" s="151"/>
      <c r="AH278" s="151" t="n">
        <f aca="false">IF(ISNUMBER(B278),E278*F278*((K278&lt;=M278)*'13_Mapa_Liq'!$C$15+(K278&lt;=Q278)*'13_Mapa_Liq'!$C$16+(K278&lt;=U278)*'13_Mapa_Liq'!$C$17+(K278&lt;=Y278)*'13_Mapa_Liq'!$C$18+(K278&lt;=AC278)*'13_Mapa_Liq'!$C$19),0)</f>
        <v>0</v>
      </c>
      <c r="AI278" s="151" t="n">
        <f aca="false">IF(ISNUMBER(B278),E278*(1-F278)*((L278&gt;=O278)*'13_Mapa_Liq'!$C$15+(L278&gt;=S278)*'13_Mapa_Liq'!$C$16+(L278&gt;=W278)*'13_Mapa_Liq'!$C$17+(L278&gt;=AA278)*'13_Mapa_Liq'!$C$18+(L278&gt;=AE278)*'13_Mapa_Liq'!$C$19),0)</f>
        <v>0</v>
      </c>
    </row>
    <row r="279" customFormat="false" ht="15" hidden="false" customHeight="false" outlineLevel="0" collapsed="false">
      <c r="A279" s="151" t="str">
        <f aca="false">IF(ISNUMBER('12_Datos_5m'!F279),ROW()-4,"")</f>
        <v/>
      </c>
      <c r="B279" s="151" t="str">
        <f aca="false">IF(ISNUMBER('12_Datos_5m'!F279),'12_Datos_5m'!F279,"")</f>
        <v/>
      </c>
      <c r="C279" s="151" t="str">
        <f aca="false">IF(ISNUMBER('12_Datos_5m'!A279),'12_Datos_5m'!A279,"")</f>
        <v/>
      </c>
      <c r="D279" s="151" t="n">
        <f aca="false">IF(AND(ISNUMBER('12_Datos_5m'!I279),ISNUMBER('12_Datos_5m'!I278)),'12_Datos_5m'!I279-'12_Datos_5m'!I278,0)</f>
        <v>0</v>
      </c>
      <c r="E279" s="151" t="n">
        <f aca="false">MAX(0,D279)</f>
        <v>0</v>
      </c>
      <c r="F279" s="151" t="n">
        <f aca="false">IF(AND(ISNUMBER('12_Datos_5m'!G279),N('12_Datos_5m'!G279)&gt;0),'12_Datos_5m'!H279/'12_Datos_5m'!G279,0.5)</f>
        <v>0.5</v>
      </c>
      <c r="G279" s="151" t="n">
        <f aca="false">IF(ISNUMBER(C279),($C$2-C279)/3600000,0)</f>
        <v>0</v>
      </c>
      <c r="H279" s="151" t="n">
        <f aca="false">EXP(-G279/'13_Mapa_Liq'!$B$7)</f>
        <v>1</v>
      </c>
      <c r="I279" s="151" t="n">
        <f aca="false">E279*F279*H279</f>
        <v>0</v>
      </c>
      <c r="J279" s="151" t="n">
        <f aca="false">E279*(1-F279)*H279</f>
        <v>0</v>
      </c>
      <c r="K279" s="151" t="n">
        <f aca="false">IF(COUNT('12_Datos_5m'!E280:E$504)=0,1000000000000,MIN('12_Datos_5m'!E280:E$504))</f>
        <v>1000000000000</v>
      </c>
      <c r="L279" s="151" t="n">
        <f aca="false">IF(COUNT('12_Datos_5m'!D280:D$504)=0,0,MAX('12_Datos_5m'!D280:D$504))</f>
        <v>0</v>
      </c>
      <c r="M279" s="151" t="str">
        <f aca="false">IF(ISNUMBER(B279),B279*(1-1/'13_Mapa_Liq'!$B$15+'13_Mapa_Liq'!$B$6),"")</f>
        <v/>
      </c>
      <c r="N279" s="151" t="n">
        <f aca="false">IF(ISNUMBER(B279),IF(K279&gt;M279,I279*'13_Mapa_Liq'!$C$15,0),0)</f>
        <v>0</v>
      </c>
      <c r="O279" s="151" t="str">
        <f aca="false">IF(ISNUMBER(B279),B279*(1+1/'13_Mapa_Liq'!$B$15-'13_Mapa_Liq'!$B$6),"")</f>
        <v/>
      </c>
      <c r="P279" s="151" t="n">
        <f aca="false">IF(ISNUMBER(B279),IF(L279&lt;O279,J279*'13_Mapa_Liq'!$C$15,0),0)</f>
        <v>0</v>
      </c>
      <c r="Q279" s="151" t="str">
        <f aca="false">IF(ISNUMBER(B279),B279*(1-1/'13_Mapa_Liq'!$B$16+'13_Mapa_Liq'!$B$6),"")</f>
        <v/>
      </c>
      <c r="R279" s="151" t="n">
        <f aca="false">IF(ISNUMBER(B279),IF(K279&gt;Q279,I279*'13_Mapa_Liq'!$C$16,0),0)</f>
        <v>0</v>
      </c>
      <c r="S279" s="151" t="str">
        <f aca="false">IF(ISNUMBER(B279),B279*(1+1/'13_Mapa_Liq'!$B$16-'13_Mapa_Liq'!$B$6),"")</f>
        <v/>
      </c>
      <c r="T279" s="151" t="n">
        <f aca="false">IF(ISNUMBER(B279),IF(L279&lt;S279,J279*'13_Mapa_Liq'!$C$16,0),0)</f>
        <v>0</v>
      </c>
      <c r="U279" s="151" t="str">
        <f aca="false">IF(ISNUMBER(B279),B279*(1-1/'13_Mapa_Liq'!$B$17+'13_Mapa_Liq'!$B$6),"")</f>
        <v/>
      </c>
      <c r="V279" s="151" t="n">
        <f aca="false">IF(ISNUMBER(B279),IF(K279&gt;U279,I279*'13_Mapa_Liq'!$C$17,0),0)</f>
        <v>0</v>
      </c>
      <c r="W279" s="151" t="str">
        <f aca="false">IF(ISNUMBER(B279),B279*(1+1/'13_Mapa_Liq'!$B$17-'13_Mapa_Liq'!$B$6),"")</f>
        <v/>
      </c>
      <c r="X279" s="151" t="n">
        <f aca="false">IF(ISNUMBER(B279),IF(L279&lt;W279,J279*'13_Mapa_Liq'!$C$17,0),0)</f>
        <v>0</v>
      </c>
      <c r="Y279" s="151" t="str">
        <f aca="false">IF(ISNUMBER(B279),B279*(1-1/'13_Mapa_Liq'!$B$18+'13_Mapa_Liq'!$B$6),"")</f>
        <v/>
      </c>
      <c r="Z279" s="151" t="n">
        <f aca="false">IF(ISNUMBER(B279),IF(K279&gt;Y279,I279*'13_Mapa_Liq'!$C$18,0),0)</f>
        <v>0</v>
      </c>
      <c r="AA279" s="151" t="str">
        <f aca="false">IF(ISNUMBER(B279),B279*(1+1/'13_Mapa_Liq'!$B$18-'13_Mapa_Liq'!$B$6),"")</f>
        <v/>
      </c>
      <c r="AB279" s="151" t="n">
        <f aca="false">IF(ISNUMBER(B279),IF(L279&lt;AA279,J279*'13_Mapa_Liq'!$C$18,0),0)</f>
        <v>0</v>
      </c>
      <c r="AC279" s="151" t="str">
        <f aca="false">IF(ISNUMBER(B279),B279*(1-1/'13_Mapa_Liq'!$B$19+'13_Mapa_Liq'!$B$6),"")</f>
        <v/>
      </c>
      <c r="AD279" s="151" t="n">
        <f aca="false">IF(ISNUMBER(B279),IF(K279&gt;AC279,I279*'13_Mapa_Liq'!$C$19,0),0)</f>
        <v>0</v>
      </c>
      <c r="AE279" s="151" t="str">
        <f aca="false">IF(ISNUMBER(B279),B279*(1+1/'13_Mapa_Liq'!$B$19-'13_Mapa_Liq'!$B$6),"")</f>
        <v/>
      </c>
      <c r="AF279" s="151" t="n">
        <f aca="false">IF(ISNUMBER(B279),IF(L279&lt;AE279,J279*'13_Mapa_Liq'!$C$19,0),0)</f>
        <v>0</v>
      </c>
      <c r="AG279" s="151"/>
      <c r="AH279" s="151" t="n">
        <f aca="false">IF(ISNUMBER(B279),E279*F279*((K279&lt;=M279)*'13_Mapa_Liq'!$C$15+(K279&lt;=Q279)*'13_Mapa_Liq'!$C$16+(K279&lt;=U279)*'13_Mapa_Liq'!$C$17+(K279&lt;=Y279)*'13_Mapa_Liq'!$C$18+(K279&lt;=AC279)*'13_Mapa_Liq'!$C$19),0)</f>
        <v>0</v>
      </c>
      <c r="AI279" s="151" t="n">
        <f aca="false">IF(ISNUMBER(B279),E279*(1-F279)*((L279&gt;=O279)*'13_Mapa_Liq'!$C$15+(L279&gt;=S279)*'13_Mapa_Liq'!$C$16+(L279&gt;=W279)*'13_Mapa_Liq'!$C$17+(L279&gt;=AA279)*'13_Mapa_Liq'!$C$18+(L279&gt;=AE279)*'13_Mapa_Liq'!$C$19),0)</f>
        <v>0</v>
      </c>
    </row>
    <row r="280" customFormat="false" ht="15" hidden="false" customHeight="false" outlineLevel="0" collapsed="false">
      <c r="A280" s="151" t="str">
        <f aca="false">IF(ISNUMBER('12_Datos_5m'!F280),ROW()-4,"")</f>
        <v/>
      </c>
      <c r="B280" s="151" t="str">
        <f aca="false">IF(ISNUMBER('12_Datos_5m'!F280),'12_Datos_5m'!F280,"")</f>
        <v/>
      </c>
      <c r="C280" s="151" t="str">
        <f aca="false">IF(ISNUMBER('12_Datos_5m'!A280),'12_Datos_5m'!A280,"")</f>
        <v/>
      </c>
      <c r="D280" s="151" t="n">
        <f aca="false">IF(AND(ISNUMBER('12_Datos_5m'!I280),ISNUMBER('12_Datos_5m'!I279)),'12_Datos_5m'!I280-'12_Datos_5m'!I279,0)</f>
        <v>0</v>
      </c>
      <c r="E280" s="151" t="n">
        <f aca="false">MAX(0,D280)</f>
        <v>0</v>
      </c>
      <c r="F280" s="151" t="n">
        <f aca="false">IF(AND(ISNUMBER('12_Datos_5m'!G280),N('12_Datos_5m'!G280)&gt;0),'12_Datos_5m'!H280/'12_Datos_5m'!G280,0.5)</f>
        <v>0.5</v>
      </c>
      <c r="G280" s="151" t="n">
        <f aca="false">IF(ISNUMBER(C280),($C$2-C280)/3600000,0)</f>
        <v>0</v>
      </c>
      <c r="H280" s="151" t="n">
        <f aca="false">EXP(-G280/'13_Mapa_Liq'!$B$7)</f>
        <v>1</v>
      </c>
      <c r="I280" s="151" t="n">
        <f aca="false">E280*F280*H280</f>
        <v>0</v>
      </c>
      <c r="J280" s="151" t="n">
        <f aca="false">E280*(1-F280)*H280</f>
        <v>0</v>
      </c>
      <c r="K280" s="151" t="n">
        <f aca="false">IF(COUNT('12_Datos_5m'!E281:E$504)=0,1000000000000,MIN('12_Datos_5m'!E281:E$504))</f>
        <v>1000000000000</v>
      </c>
      <c r="L280" s="151" t="n">
        <f aca="false">IF(COUNT('12_Datos_5m'!D281:D$504)=0,0,MAX('12_Datos_5m'!D281:D$504))</f>
        <v>0</v>
      </c>
      <c r="M280" s="151" t="str">
        <f aca="false">IF(ISNUMBER(B280),B280*(1-1/'13_Mapa_Liq'!$B$15+'13_Mapa_Liq'!$B$6),"")</f>
        <v/>
      </c>
      <c r="N280" s="151" t="n">
        <f aca="false">IF(ISNUMBER(B280),IF(K280&gt;M280,I280*'13_Mapa_Liq'!$C$15,0),0)</f>
        <v>0</v>
      </c>
      <c r="O280" s="151" t="str">
        <f aca="false">IF(ISNUMBER(B280),B280*(1+1/'13_Mapa_Liq'!$B$15-'13_Mapa_Liq'!$B$6),"")</f>
        <v/>
      </c>
      <c r="P280" s="151" t="n">
        <f aca="false">IF(ISNUMBER(B280),IF(L280&lt;O280,J280*'13_Mapa_Liq'!$C$15,0),0)</f>
        <v>0</v>
      </c>
      <c r="Q280" s="151" t="str">
        <f aca="false">IF(ISNUMBER(B280),B280*(1-1/'13_Mapa_Liq'!$B$16+'13_Mapa_Liq'!$B$6),"")</f>
        <v/>
      </c>
      <c r="R280" s="151" t="n">
        <f aca="false">IF(ISNUMBER(B280),IF(K280&gt;Q280,I280*'13_Mapa_Liq'!$C$16,0),0)</f>
        <v>0</v>
      </c>
      <c r="S280" s="151" t="str">
        <f aca="false">IF(ISNUMBER(B280),B280*(1+1/'13_Mapa_Liq'!$B$16-'13_Mapa_Liq'!$B$6),"")</f>
        <v/>
      </c>
      <c r="T280" s="151" t="n">
        <f aca="false">IF(ISNUMBER(B280),IF(L280&lt;S280,J280*'13_Mapa_Liq'!$C$16,0),0)</f>
        <v>0</v>
      </c>
      <c r="U280" s="151" t="str">
        <f aca="false">IF(ISNUMBER(B280),B280*(1-1/'13_Mapa_Liq'!$B$17+'13_Mapa_Liq'!$B$6),"")</f>
        <v/>
      </c>
      <c r="V280" s="151" t="n">
        <f aca="false">IF(ISNUMBER(B280),IF(K280&gt;U280,I280*'13_Mapa_Liq'!$C$17,0),0)</f>
        <v>0</v>
      </c>
      <c r="W280" s="151" t="str">
        <f aca="false">IF(ISNUMBER(B280),B280*(1+1/'13_Mapa_Liq'!$B$17-'13_Mapa_Liq'!$B$6),"")</f>
        <v/>
      </c>
      <c r="X280" s="151" t="n">
        <f aca="false">IF(ISNUMBER(B280),IF(L280&lt;W280,J280*'13_Mapa_Liq'!$C$17,0),0)</f>
        <v>0</v>
      </c>
      <c r="Y280" s="151" t="str">
        <f aca="false">IF(ISNUMBER(B280),B280*(1-1/'13_Mapa_Liq'!$B$18+'13_Mapa_Liq'!$B$6),"")</f>
        <v/>
      </c>
      <c r="Z280" s="151" t="n">
        <f aca="false">IF(ISNUMBER(B280),IF(K280&gt;Y280,I280*'13_Mapa_Liq'!$C$18,0),0)</f>
        <v>0</v>
      </c>
      <c r="AA280" s="151" t="str">
        <f aca="false">IF(ISNUMBER(B280),B280*(1+1/'13_Mapa_Liq'!$B$18-'13_Mapa_Liq'!$B$6),"")</f>
        <v/>
      </c>
      <c r="AB280" s="151" t="n">
        <f aca="false">IF(ISNUMBER(B280),IF(L280&lt;AA280,J280*'13_Mapa_Liq'!$C$18,0),0)</f>
        <v>0</v>
      </c>
      <c r="AC280" s="151" t="str">
        <f aca="false">IF(ISNUMBER(B280),B280*(1-1/'13_Mapa_Liq'!$B$19+'13_Mapa_Liq'!$B$6),"")</f>
        <v/>
      </c>
      <c r="AD280" s="151" t="n">
        <f aca="false">IF(ISNUMBER(B280),IF(K280&gt;AC280,I280*'13_Mapa_Liq'!$C$19,0),0)</f>
        <v>0</v>
      </c>
      <c r="AE280" s="151" t="str">
        <f aca="false">IF(ISNUMBER(B280),B280*(1+1/'13_Mapa_Liq'!$B$19-'13_Mapa_Liq'!$B$6),"")</f>
        <v/>
      </c>
      <c r="AF280" s="151" t="n">
        <f aca="false">IF(ISNUMBER(B280),IF(L280&lt;AE280,J280*'13_Mapa_Liq'!$C$19,0),0)</f>
        <v>0</v>
      </c>
      <c r="AG280" s="151"/>
      <c r="AH280" s="151" t="n">
        <f aca="false">IF(ISNUMBER(B280),E280*F280*((K280&lt;=M280)*'13_Mapa_Liq'!$C$15+(K280&lt;=Q280)*'13_Mapa_Liq'!$C$16+(K280&lt;=U280)*'13_Mapa_Liq'!$C$17+(K280&lt;=Y280)*'13_Mapa_Liq'!$C$18+(K280&lt;=AC280)*'13_Mapa_Liq'!$C$19),0)</f>
        <v>0</v>
      </c>
      <c r="AI280" s="151" t="n">
        <f aca="false">IF(ISNUMBER(B280),E280*(1-F280)*((L280&gt;=O280)*'13_Mapa_Liq'!$C$15+(L280&gt;=S280)*'13_Mapa_Liq'!$C$16+(L280&gt;=W280)*'13_Mapa_Liq'!$C$17+(L280&gt;=AA280)*'13_Mapa_Liq'!$C$18+(L280&gt;=AE280)*'13_Mapa_Liq'!$C$19),0)</f>
        <v>0</v>
      </c>
    </row>
    <row r="281" customFormat="false" ht="15" hidden="false" customHeight="false" outlineLevel="0" collapsed="false">
      <c r="A281" s="151" t="str">
        <f aca="false">IF(ISNUMBER('12_Datos_5m'!F281),ROW()-4,"")</f>
        <v/>
      </c>
      <c r="B281" s="151" t="str">
        <f aca="false">IF(ISNUMBER('12_Datos_5m'!F281),'12_Datos_5m'!F281,"")</f>
        <v/>
      </c>
      <c r="C281" s="151" t="str">
        <f aca="false">IF(ISNUMBER('12_Datos_5m'!A281),'12_Datos_5m'!A281,"")</f>
        <v/>
      </c>
      <c r="D281" s="151" t="n">
        <f aca="false">IF(AND(ISNUMBER('12_Datos_5m'!I281),ISNUMBER('12_Datos_5m'!I280)),'12_Datos_5m'!I281-'12_Datos_5m'!I280,0)</f>
        <v>0</v>
      </c>
      <c r="E281" s="151" t="n">
        <f aca="false">MAX(0,D281)</f>
        <v>0</v>
      </c>
      <c r="F281" s="151" t="n">
        <f aca="false">IF(AND(ISNUMBER('12_Datos_5m'!G281),N('12_Datos_5m'!G281)&gt;0),'12_Datos_5m'!H281/'12_Datos_5m'!G281,0.5)</f>
        <v>0.5</v>
      </c>
      <c r="G281" s="151" t="n">
        <f aca="false">IF(ISNUMBER(C281),($C$2-C281)/3600000,0)</f>
        <v>0</v>
      </c>
      <c r="H281" s="151" t="n">
        <f aca="false">EXP(-G281/'13_Mapa_Liq'!$B$7)</f>
        <v>1</v>
      </c>
      <c r="I281" s="151" t="n">
        <f aca="false">E281*F281*H281</f>
        <v>0</v>
      </c>
      <c r="J281" s="151" t="n">
        <f aca="false">E281*(1-F281)*H281</f>
        <v>0</v>
      </c>
      <c r="K281" s="151" t="n">
        <f aca="false">IF(COUNT('12_Datos_5m'!E282:E$504)=0,1000000000000,MIN('12_Datos_5m'!E282:E$504))</f>
        <v>1000000000000</v>
      </c>
      <c r="L281" s="151" t="n">
        <f aca="false">IF(COUNT('12_Datos_5m'!D282:D$504)=0,0,MAX('12_Datos_5m'!D282:D$504))</f>
        <v>0</v>
      </c>
      <c r="M281" s="151" t="str">
        <f aca="false">IF(ISNUMBER(B281),B281*(1-1/'13_Mapa_Liq'!$B$15+'13_Mapa_Liq'!$B$6),"")</f>
        <v/>
      </c>
      <c r="N281" s="151" t="n">
        <f aca="false">IF(ISNUMBER(B281),IF(K281&gt;M281,I281*'13_Mapa_Liq'!$C$15,0),0)</f>
        <v>0</v>
      </c>
      <c r="O281" s="151" t="str">
        <f aca="false">IF(ISNUMBER(B281),B281*(1+1/'13_Mapa_Liq'!$B$15-'13_Mapa_Liq'!$B$6),"")</f>
        <v/>
      </c>
      <c r="P281" s="151" t="n">
        <f aca="false">IF(ISNUMBER(B281),IF(L281&lt;O281,J281*'13_Mapa_Liq'!$C$15,0),0)</f>
        <v>0</v>
      </c>
      <c r="Q281" s="151" t="str">
        <f aca="false">IF(ISNUMBER(B281),B281*(1-1/'13_Mapa_Liq'!$B$16+'13_Mapa_Liq'!$B$6),"")</f>
        <v/>
      </c>
      <c r="R281" s="151" t="n">
        <f aca="false">IF(ISNUMBER(B281),IF(K281&gt;Q281,I281*'13_Mapa_Liq'!$C$16,0),0)</f>
        <v>0</v>
      </c>
      <c r="S281" s="151" t="str">
        <f aca="false">IF(ISNUMBER(B281),B281*(1+1/'13_Mapa_Liq'!$B$16-'13_Mapa_Liq'!$B$6),"")</f>
        <v/>
      </c>
      <c r="T281" s="151" t="n">
        <f aca="false">IF(ISNUMBER(B281),IF(L281&lt;S281,J281*'13_Mapa_Liq'!$C$16,0),0)</f>
        <v>0</v>
      </c>
      <c r="U281" s="151" t="str">
        <f aca="false">IF(ISNUMBER(B281),B281*(1-1/'13_Mapa_Liq'!$B$17+'13_Mapa_Liq'!$B$6),"")</f>
        <v/>
      </c>
      <c r="V281" s="151" t="n">
        <f aca="false">IF(ISNUMBER(B281),IF(K281&gt;U281,I281*'13_Mapa_Liq'!$C$17,0),0)</f>
        <v>0</v>
      </c>
      <c r="W281" s="151" t="str">
        <f aca="false">IF(ISNUMBER(B281),B281*(1+1/'13_Mapa_Liq'!$B$17-'13_Mapa_Liq'!$B$6),"")</f>
        <v/>
      </c>
      <c r="X281" s="151" t="n">
        <f aca="false">IF(ISNUMBER(B281),IF(L281&lt;W281,J281*'13_Mapa_Liq'!$C$17,0),0)</f>
        <v>0</v>
      </c>
      <c r="Y281" s="151" t="str">
        <f aca="false">IF(ISNUMBER(B281),B281*(1-1/'13_Mapa_Liq'!$B$18+'13_Mapa_Liq'!$B$6),"")</f>
        <v/>
      </c>
      <c r="Z281" s="151" t="n">
        <f aca="false">IF(ISNUMBER(B281),IF(K281&gt;Y281,I281*'13_Mapa_Liq'!$C$18,0),0)</f>
        <v>0</v>
      </c>
      <c r="AA281" s="151" t="str">
        <f aca="false">IF(ISNUMBER(B281),B281*(1+1/'13_Mapa_Liq'!$B$18-'13_Mapa_Liq'!$B$6),"")</f>
        <v/>
      </c>
      <c r="AB281" s="151" t="n">
        <f aca="false">IF(ISNUMBER(B281),IF(L281&lt;AA281,J281*'13_Mapa_Liq'!$C$18,0),0)</f>
        <v>0</v>
      </c>
      <c r="AC281" s="151" t="str">
        <f aca="false">IF(ISNUMBER(B281),B281*(1-1/'13_Mapa_Liq'!$B$19+'13_Mapa_Liq'!$B$6),"")</f>
        <v/>
      </c>
      <c r="AD281" s="151" t="n">
        <f aca="false">IF(ISNUMBER(B281),IF(K281&gt;AC281,I281*'13_Mapa_Liq'!$C$19,0),0)</f>
        <v>0</v>
      </c>
      <c r="AE281" s="151" t="str">
        <f aca="false">IF(ISNUMBER(B281),B281*(1+1/'13_Mapa_Liq'!$B$19-'13_Mapa_Liq'!$B$6),"")</f>
        <v/>
      </c>
      <c r="AF281" s="151" t="n">
        <f aca="false">IF(ISNUMBER(B281),IF(L281&lt;AE281,J281*'13_Mapa_Liq'!$C$19,0),0)</f>
        <v>0</v>
      </c>
      <c r="AG281" s="151"/>
      <c r="AH281" s="151" t="n">
        <f aca="false">IF(ISNUMBER(B281),E281*F281*((K281&lt;=M281)*'13_Mapa_Liq'!$C$15+(K281&lt;=Q281)*'13_Mapa_Liq'!$C$16+(K281&lt;=U281)*'13_Mapa_Liq'!$C$17+(K281&lt;=Y281)*'13_Mapa_Liq'!$C$18+(K281&lt;=AC281)*'13_Mapa_Liq'!$C$19),0)</f>
        <v>0</v>
      </c>
      <c r="AI281" s="151" t="n">
        <f aca="false">IF(ISNUMBER(B281),E281*(1-F281)*((L281&gt;=O281)*'13_Mapa_Liq'!$C$15+(L281&gt;=S281)*'13_Mapa_Liq'!$C$16+(L281&gt;=W281)*'13_Mapa_Liq'!$C$17+(L281&gt;=AA281)*'13_Mapa_Liq'!$C$18+(L281&gt;=AE281)*'13_Mapa_Liq'!$C$19),0)</f>
        <v>0</v>
      </c>
    </row>
    <row r="282" customFormat="false" ht="15" hidden="false" customHeight="false" outlineLevel="0" collapsed="false">
      <c r="A282" s="151" t="str">
        <f aca="false">IF(ISNUMBER('12_Datos_5m'!F282),ROW()-4,"")</f>
        <v/>
      </c>
      <c r="B282" s="151" t="str">
        <f aca="false">IF(ISNUMBER('12_Datos_5m'!F282),'12_Datos_5m'!F282,"")</f>
        <v/>
      </c>
      <c r="C282" s="151" t="str">
        <f aca="false">IF(ISNUMBER('12_Datos_5m'!A282),'12_Datos_5m'!A282,"")</f>
        <v/>
      </c>
      <c r="D282" s="151" t="n">
        <f aca="false">IF(AND(ISNUMBER('12_Datos_5m'!I282),ISNUMBER('12_Datos_5m'!I281)),'12_Datos_5m'!I282-'12_Datos_5m'!I281,0)</f>
        <v>0</v>
      </c>
      <c r="E282" s="151" t="n">
        <f aca="false">MAX(0,D282)</f>
        <v>0</v>
      </c>
      <c r="F282" s="151" t="n">
        <f aca="false">IF(AND(ISNUMBER('12_Datos_5m'!G282),N('12_Datos_5m'!G282)&gt;0),'12_Datos_5m'!H282/'12_Datos_5m'!G282,0.5)</f>
        <v>0.5</v>
      </c>
      <c r="G282" s="151" t="n">
        <f aca="false">IF(ISNUMBER(C282),($C$2-C282)/3600000,0)</f>
        <v>0</v>
      </c>
      <c r="H282" s="151" t="n">
        <f aca="false">EXP(-G282/'13_Mapa_Liq'!$B$7)</f>
        <v>1</v>
      </c>
      <c r="I282" s="151" t="n">
        <f aca="false">E282*F282*H282</f>
        <v>0</v>
      </c>
      <c r="J282" s="151" t="n">
        <f aca="false">E282*(1-F282)*H282</f>
        <v>0</v>
      </c>
      <c r="K282" s="151" t="n">
        <f aca="false">IF(COUNT('12_Datos_5m'!E283:E$504)=0,1000000000000,MIN('12_Datos_5m'!E283:E$504))</f>
        <v>1000000000000</v>
      </c>
      <c r="L282" s="151" t="n">
        <f aca="false">IF(COUNT('12_Datos_5m'!D283:D$504)=0,0,MAX('12_Datos_5m'!D283:D$504))</f>
        <v>0</v>
      </c>
      <c r="M282" s="151" t="str">
        <f aca="false">IF(ISNUMBER(B282),B282*(1-1/'13_Mapa_Liq'!$B$15+'13_Mapa_Liq'!$B$6),"")</f>
        <v/>
      </c>
      <c r="N282" s="151" t="n">
        <f aca="false">IF(ISNUMBER(B282),IF(K282&gt;M282,I282*'13_Mapa_Liq'!$C$15,0),0)</f>
        <v>0</v>
      </c>
      <c r="O282" s="151" t="str">
        <f aca="false">IF(ISNUMBER(B282),B282*(1+1/'13_Mapa_Liq'!$B$15-'13_Mapa_Liq'!$B$6),"")</f>
        <v/>
      </c>
      <c r="P282" s="151" t="n">
        <f aca="false">IF(ISNUMBER(B282),IF(L282&lt;O282,J282*'13_Mapa_Liq'!$C$15,0),0)</f>
        <v>0</v>
      </c>
      <c r="Q282" s="151" t="str">
        <f aca="false">IF(ISNUMBER(B282),B282*(1-1/'13_Mapa_Liq'!$B$16+'13_Mapa_Liq'!$B$6),"")</f>
        <v/>
      </c>
      <c r="R282" s="151" t="n">
        <f aca="false">IF(ISNUMBER(B282),IF(K282&gt;Q282,I282*'13_Mapa_Liq'!$C$16,0),0)</f>
        <v>0</v>
      </c>
      <c r="S282" s="151" t="str">
        <f aca="false">IF(ISNUMBER(B282),B282*(1+1/'13_Mapa_Liq'!$B$16-'13_Mapa_Liq'!$B$6),"")</f>
        <v/>
      </c>
      <c r="T282" s="151" t="n">
        <f aca="false">IF(ISNUMBER(B282),IF(L282&lt;S282,J282*'13_Mapa_Liq'!$C$16,0),0)</f>
        <v>0</v>
      </c>
      <c r="U282" s="151" t="str">
        <f aca="false">IF(ISNUMBER(B282),B282*(1-1/'13_Mapa_Liq'!$B$17+'13_Mapa_Liq'!$B$6),"")</f>
        <v/>
      </c>
      <c r="V282" s="151" t="n">
        <f aca="false">IF(ISNUMBER(B282),IF(K282&gt;U282,I282*'13_Mapa_Liq'!$C$17,0),0)</f>
        <v>0</v>
      </c>
      <c r="W282" s="151" t="str">
        <f aca="false">IF(ISNUMBER(B282),B282*(1+1/'13_Mapa_Liq'!$B$17-'13_Mapa_Liq'!$B$6),"")</f>
        <v/>
      </c>
      <c r="X282" s="151" t="n">
        <f aca="false">IF(ISNUMBER(B282),IF(L282&lt;W282,J282*'13_Mapa_Liq'!$C$17,0),0)</f>
        <v>0</v>
      </c>
      <c r="Y282" s="151" t="str">
        <f aca="false">IF(ISNUMBER(B282),B282*(1-1/'13_Mapa_Liq'!$B$18+'13_Mapa_Liq'!$B$6),"")</f>
        <v/>
      </c>
      <c r="Z282" s="151" t="n">
        <f aca="false">IF(ISNUMBER(B282),IF(K282&gt;Y282,I282*'13_Mapa_Liq'!$C$18,0),0)</f>
        <v>0</v>
      </c>
      <c r="AA282" s="151" t="str">
        <f aca="false">IF(ISNUMBER(B282),B282*(1+1/'13_Mapa_Liq'!$B$18-'13_Mapa_Liq'!$B$6),"")</f>
        <v/>
      </c>
      <c r="AB282" s="151" t="n">
        <f aca="false">IF(ISNUMBER(B282),IF(L282&lt;AA282,J282*'13_Mapa_Liq'!$C$18,0),0)</f>
        <v>0</v>
      </c>
      <c r="AC282" s="151" t="str">
        <f aca="false">IF(ISNUMBER(B282),B282*(1-1/'13_Mapa_Liq'!$B$19+'13_Mapa_Liq'!$B$6),"")</f>
        <v/>
      </c>
      <c r="AD282" s="151" t="n">
        <f aca="false">IF(ISNUMBER(B282),IF(K282&gt;AC282,I282*'13_Mapa_Liq'!$C$19,0),0)</f>
        <v>0</v>
      </c>
      <c r="AE282" s="151" t="str">
        <f aca="false">IF(ISNUMBER(B282),B282*(1+1/'13_Mapa_Liq'!$B$19-'13_Mapa_Liq'!$B$6),"")</f>
        <v/>
      </c>
      <c r="AF282" s="151" t="n">
        <f aca="false">IF(ISNUMBER(B282),IF(L282&lt;AE282,J282*'13_Mapa_Liq'!$C$19,0),0)</f>
        <v>0</v>
      </c>
      <c r="AG282" s="151"/>
      <c r="AH282" s="151" t="n">
        <f aca="false">IF(ISNUMBER(B282),E282*F282*((K282&lt;=M282)*'13_Mapa_Liq'!$C$15+(K282&lt;=Q282)*'13_Mapa_Liq'!$C$16+(K282&lt;=U282)*'13_Mapa_Liq'!$C$17+(K282&lt;=Y282)*'13_Mapa_Liq'!$C$18+(K282&lt;=AC282)*'13_Mapa_Liq'!$C$19),0)</f>
        <v>0</v>
      </c>
      <c r="AI282" s="151" t="n">
        <f aca="false">IF(ISNUMBER(B282),E282*(1-F282)*((L282&gt;=O282)*'13_Mapa_Liq'!$C$15+(L282&gt;=S282)*'13_Mapa_Liq'!$C$16+(L282&gt;=W282)*'13_Mapa_Liq'!$C$17+(L282&gt;=AA282)*'13_Mapa_Liq'!$C$18+(L282&gt;=AE282)*'13_Mapa_Liq'!$C$19),0)</f>
        <v>0</v>
      </c>
    </row>
    <row r="283" customFormat="false" ht="15" hidden="false" customHeight="false" outlineLevel="0" collapsed="false">
      <c r="A283" s="151" t="str">
        <f aca="false">IF(ISNUMBER('12_Datos_5m'!F283),ROW()-4,"")</f>
        <v/>
      </c>
      <c r="B283" s="151" t="str">
        <f aca="false">IF(ISNUMBER('12_Datos_5m'!F283),'12_Datos_5m'!F283,"")</f>
        <v/>
      </c>
      <c r="C283" s="151" t="str">
        <f aca="false">IF(ISNUMBER('12_Datos_5m'!A283),'12_Datos_5m'!A283,"")</f>
        <v/>
      </c>
      <c r="D283" s="151" t="n">
        <f aca="false">IF(AND(ISNUMBER('12_Datos_5m'!I283),ISNUMBER('12_Datos_5m'!I282)),'12_Datos_5m'!I283-'12_Datos_5m'!I282,0)</f>
        <v>0</v>
      </c>
      <c r="E283" s="151" t="n">
        <f aca="false">MAX(0,D283)</f>
        <v>0</v>
      </c>
      <c r="F283" s="151" t="n">
        <f aca="false">IF(AND(ISNUMBER('12_Datos_5m'!G283),N('12_Datos_5m'!G283)&gt;0),'12_Datos_5m'!H283/'12_Datos_5m'!G283,0.5)</f>
        <v>0.5</v>
      </c>
      <c r="G283" s="151" t="n">
        <f aca="false">IF(ISNUMBER(C283),($C$2-C283)/3600000,0)</f>
        <v>0</v>
      </c>
      <c r="H283" s="151" t="n">
        <f aca="false">EXP(-G283/'13_Mapa_Liq'!$B$7)</f>
        <v>1</v>
      </c>
      <c r="I283" s="151" t="n">
        <f aca="false">E283*F283*H283</f>
        <v>0</v>
      </c>
      <c r="J283" s="151" t="n">
        <f aca="false">E283*(1-F283)*H283</f>
        <v>0</v>
      </c>
      <c r="K283" s="151" t="n">
        <f aca="false">IF(COUNT('12_Datos_5m'!E284:E$504)=0,1000000000000,MIN('12_Datos_5m'!E284:E$504))</f>
        <v>1000000000000</v>
      </c>
      <c r="L283" s="151" t="n">
        <f aca="false">IF(COUNT('12_Datos_5m'!D284:D$504)=0,0,MAX('12_Datos_5m'!D284:D$504))</f>
        <v>0</v>
      </c>
      <c r="M283" s="151" t="str">
        <f aca="false">IF(ISNUMBER(B283),B283*(1-1/'13_Mapa_Liq'!$B$15+'13_Mapa_Liq'!$B$6),"")</f>
        <v/>
      </c>
      <c r="N283" s="151" t="n">
        <f aca="false">IF(ISNUMBER(B283),IF(K283&gt;M283,I283*'13_Mapa_Liq'!$C$15,0),0)</f>
        <v>0</v>
      </c>
      <c r="O283" s="151" t="str">
        <f aca="false">IF(ISNUMBER(B283),B283*(1+1/'13_Mapa_Liq'!$B$15-'13_Mapa_Liq'!$B$6),"")</f>
        <v/>
      </c>
      <c r="P283" s="151" t="n">
        <f aca="false">IF(ISNUMBER(B283),IF(L283&lt;O283,J283*'13_Mapa_Liq'!$C$15,0),0)</f>
        <v>0</v>
      </c>
      <c r="Q283" s="151" t="str">
        <f aca="false">IF(ISNUMBER(B283),B283*(1-1/'13_Mapa_Liq'!$B$16+'13_Mapa_Liq'!$B$6),"")</f>
        <v/>
      </c>
      <c r="R283" s="151" t="n">
        <f aca="false">IF(ISNUMBER(B283),IF(K283&gt;Q283,I283*'13_Mapa_Liq'!$C$16,0),0)</f>
        <v>0</v>
      </c>
      <c r="S283" s="151" t="str">
        <f aca="false">IF(ISNUMBER(B283),B283*(1+1/'13_Mapa_Liq'!$B$16-'13_Mapa_Liq'!$B$6),"")</f>
        <v/>
      </c>
      <c r="T283" s="151" t="n">
        <f aca="false">IF(ISNUMBER(B283),IF(L283&lt;S283,J283*'13_Mapa_Liq'!$C$16,0),0)</f>
        <v>0</v>
      </c>
      <c r="U283" s="151" t="str">
        <f aca="false">IF(ISNUMBER(B283),B283*(1-1/'13_Mapa_Liq'!$B$17+'13_Mapa_Liq'!$B$6),"")</f>
        <v/>
      </c>
      <c r="V283" s="151" t="n">
        <f aca="false">IF(ISNUMBER(B283),IF(K283&gt;U283,I283*'13_Mapa_Liq'!$C$17,0),0)</f>
        <v>0</v>
      </c>
      <c r="W283" s="151" t="str">
        <f aca="false">IF(ISNUMBER(B283),B283*(1+1/'13_Mapa_Liq'!$B$17-'13_Mapa_Liq'!$B$6),"")</f>
        <v/>
      </c>
      <c r="X283" s="151" t="n">
        <f aca="false">IF(ISNUMBER(B283),IF(L283&lt;W283,J283*'13_Mapa_Liq'!$C$17,0),0)</f>
        <v>0</v>
      </c>
      <c r="Y283" s="151" t="str">
        <f aca="false">IF(ISNUMBER(B283),B283*(1-1/'13_Mapa_Liq'!$B$18+'13_Mapa_Liq'!$B$6),"")</f>
        <v/>
      </c>
      <c r="Z283" s="151" t="n">
        <f aca="false">IF(ISNUMBER(B283),IF(K283&gt;Y283,I283*'13_Mapa_Liq'!$C$18,0),0)</f>
        <v>0</v>
      </c>
      <c r="AA283" s="151" t="str">
        <f aca="false">IF(ISNUMBER(B283),B283*(1+1/'13_Mapa_Liq'!$B$18-'13_Mapa_Liq'!$B$6),"")</f>
        <v/>
      </c>
      <c r="AB283" s="151" t="n">
        <f aca="false">IF(ISNUMBER(B283),IF(L283&lt;AA283,J283*'13_Mapa_Liq'!$C$18,0),0)</f>
        <v>0</v>
      </c>
      <c r="AC283" s="151" t="str">
        <f aca="false">IF(ISNUMBER(B283),B283*(1-1/'13_Mapa_Liq'!$B$19+'13_Mapa_Liq'!$B$6),"")</f>
        <v/>
      </c>
      <c r="AD283" s="151" t="n">
        <f aca="false">IF(ISNUMBER(B283),IF(K283&gt;AC283,I283*'13_Mapa_Liq'!$C$19,0),0)</f>
        <v>0</v>
      </c>
      <c r="AE283" s="151" t="str">
        <f aca="false">IF(ISNUMBER(B283),B283*(1+1/'13_Mapa_Liq'!$B$19-'13_Mapa_Liq'!$B$6),"")</f>
        <v/>
      </c>
      <c r="AF283" s="151" t="n">
        <f aca="false">IF(ISNUMBER(B283),IF(L283&lt;AE283,J283*'13_Mapa_Liq'!$C$19,0),0)</f>
        <v>0</v>
      </c>
      <c r="AG283" s="151"/>
      <c r="AH283" s="151" t="n">
        <f aca="false">IF(ISNUMBER(B283),E283*F283*((K283&lt;=M283)*'13_Mapa_Liq'!$C$15+(K283&lt;=Q283)*'13_Mapa_Liq'!$C$16+(K283&lt;=U283)*'13_Mapa_Liq'!$C$17+(K283&lt;=Y283)*'13_Mapa_Liq'!$C$18+(K283&lt;=AC283)*'13_Mapa_Liq'!$C$19),0)</f>
        <v>0</v>
      </c>
      <c r="AI283" s="151" t="n">
        <f aca="false">IF(ISNUMBER(B283),E283*(1-F283)*((L283&gt;=O283)*'13_Mapa_Liq'!$C$15+(L283&gt;=S283)*'13_Mapa_Liq'!$C$16+(L283&gt;=W283)*'13_Mapa_Liq'!$C$17+(L283&gt;=AA283)*'13_Mapa_Liq'!$C$18+(L283&gt;=AE283)*'13_Mapa_Liq'!$C$19),0)</f>
        <v>0</v>
      </c>
    </row>
    <row r="284" customFormat="false" ht="15" hidden="false" customHeight="false" outlineLevel="0" collapsed="false">
      <c r="A284" s="151" t="str">
        <f aca="false">IF(ISNUMBER('12_Datos_5m'!F284),ROW()-4,"")</f>
        <v/>
      </c>
      <c r="B284" s="151" t="str">
        <f aca="false">IF(ISNUMBER('12_Datos_5m'!F284),'12_Datos_5m'!F284,"")</f>
        <v/>
      </c>
      <c r="C284" s="151" t="str">
        <f aca="false">IF(ISNUMBER('12_Datos_5m'!A284),'12_Datos_5m'!A284,"")</f>
        <v/>
      </c>
      <c r="D284" s="151" t="n">
        <f aca="false">IF(AND(ISNUMBER('12_Datos_5m'!I284),ISNUMBER('12_Datos_5m'!I283)),'12_Datos_5m'!I284-'12_Datos_5m'!I283,0)</f>
        <v>0</v>
      </c>
      <c r="E284" s="151" t="n">
        <f aca="false">MAX(0,D284)</f>
        <v>0</v>
      </c>
      <c r="F284" s="151" t="n">
        <f aca="false">IF(AND(ISNUMBER('12_Datos_5m'!G284),N('12_Datos_5m'!G284)&gt;0),'12_Datos_5m'!H284/'12_Datos_5m'!G284,0.5)</f>
        <v>0.5</v>
      </c>
      <c r="G284" s="151" t="n">
        <f aca="false">IF(ISNUMBER(C284),($C$2-C284)/3600000,0)</f>
        <v>0</v>
      </c>
      <c r="H284" s="151" t="n">
        <f aca="false">EXP(-G284/'13_Mapa_Liq'!$B$7)</f>
        <v>1</v>
      </c>
      <c r="I284" s="151" t="n">
        <f aca="false">E284*F284*H284</f>
        <v>0</v>
      </c>
      <c r="J284" s="151" t="n">
        <f aca="false">E284*(1-F284)*H284</f>
        <v>0</v>
      </c>
      <c r="K284" s="151" t="n">
        <f aca="false">IF(COUNT('12_Datos_5m'!E285:E$504)=0,1000000000000,MIN('12_Datos_5m'!E285:E$504))</f>
        <v>1000000000000</v>
      </c>
      <c r="L284" s="151" t="n">
        <f aca="false">IF(COUNT('12_Datos_5m'!D285:D$504)=0,0,MAX('12_Datos_5m'!D285:D$504))</f>
        <v>0</v>
      </c>
      <c r="M284" s="151" t="str">
        <f aca="false">IF(ISNUMBER(B284),B284*(1-1/'13_Mapa_Liq'!$B$15+'13_Mapa_Liq'!$B$6),"")</f>
        <v/>
      </c>
      <c r="N284" s="151" t="n">
        <f aca="false">IF(ISNUMBER(B284),IF(K284&gt;M284,I284*'13_Mapa_Liq'!$C$15,0),0)</f>
        <v>0</v>
      </c>
      <c r="O284" s="151" t="str">
        <f aca="false">IF(ISNUMBER(B284),B284*(1+1/'13_Mapa_Liq'!$B$15-'13_Mapa_Liq'!$B$6),"")</f>
        <v/>
      </c>
      <c r="P284" s="151" t="n">
        <f aca="false">IF(ISNUMBER(B284),IF(L284&lt;O284,J284*'13_Mapa_Liq'!$C$15,0),0)</f>
        <v>0</v>
      </c>
      <c r="Q284" s="151" t="str">
        <f aca="false">IF(ISNUMBER(B284),B284*(1-1/'13_Mapa_Liq'!$B$16+'13_Mapa_Liq'!$B$6),"")</f>
        <v/>
      </c>
      <c r="R284" s="151" t="n">
        <f aca="false">IF(ISNUMBER(B284),IF(K284&gt;Q284,I284*'13_Mapa_Liq'!$C$16,0),0)</f>
        <v>0</v>
      </c>
      <c r="S284" s="151" t="str">
        <f aca="false">IF(ISNUMBER(B284),B284*(1+1/'13_Mapa_Liq'!$B$16-'13_Mapa_Liq'!$B$6),"")</f>
        <v/>
      </c>
      <c r="T284" s="151" t="n">
        <f aca="false">IF(ISNUMBER(B284),IF(L284&lt;S284,J284*'13_Mapa_Liq'!$C$16,0),0)</f>
        <v>0</v>
      </c>
      <c r="U284" s="151" t="str">
        <f aca="false">IF(ISNUMBER(B284),B284*(1-1/'13_Mapa_Liq'!$B$17+'13_Mapa_Liq'!$B$6),"")</f>
        <v/>
      </c>
      <c r="V284" s="151" t="n">
        <f aca="false">IF(ISNUMBER(B284),IF(K284&gt;U284,I284*'13_Mapa_Liq'!$C$17,0),0)</f>
        <v>0</v>
      </c>
      <c r="W284" s="151" t="str">
        <f aca="false">IF(ISNUMBER(B284),B284*(1+1/'13_Mapa_Liq'!$B$17-'13_Mapa_Liq'!$B$6),"")</f>
        <v/>
      </c>
      <c r="X284" s="151" t="n">
        <f aca="false">IF(ISNUMBER(B284),IF(L284&lt;W284,J284*'13_Mapa_Liq'!$C$17,0),0)</f>
        <v>0</v>
      </c>
      <c r="Y284" s="151" t="str">
        <f aca="false">IF(ISNUMBER(B284),B284*(1-1/'13_Mapa_Liq'!$B$18+'13_Mapa_Liq'!$B$6),"")</f>
        <v/>
      </c>
      <c r="Z284" s="151" t="n">
        <f aca="false">IF(ISNUMBER(B284),IF(K284&gt;Y284,I284*'13_Mapa_Liq'!$C$18,0),0)</f>
        <v>0</v>
      </c>
      <c r="AA284" s="151" t="str">
        <f aca="false">IF(ISNUMBER(B284),B284*(1+1/'13_Mapa_Liq'!$B$18-'13_Mapa_Liq'!$B$6),"")</f>
        <v/>
      </c>
      <c r="AB284" s="151" t="n">
        <f aca="false">IF(ISNUMBER(B284),IF(L284&lt;AA284,J284*'13_Mapa_Liq'!$C$18,0),0)</f>
        <v>0</v>
      </c>
      <c r="AC284" s="151" t="str">
        <f aca="false">IF(ISNUMBER(B284),B284*(1-1/'13_Mapa_Liq'!$B$19+'13_Mapa_Liq'!$B$6),"")</f>
        <v/>
      </c>
      <c r="AD284" s="151" t="n">
        <f aca="false">IF(ISNUMBER(B284),IF(K284&gt;AC284,I284*'13_Mapa_Liq'!$C$19,0),0)</f>
        <v>0</v>
      </c>
      <c r="AE284" s="151" t="str">
        <f aca="false">IF(ISNUMBER(B284),B284*(1+1/'13_Mapa_Liq'!$B$19-'13_Mapa_Liq'!$B$6),"")</f>
        <v/>
      </c>
      <c r="AF284" s="151" t="n">
        <f aca="false">IF(ISNUMBER(B284),IF(L284&lt;AE284,J284*'13_Mapa_Liq'!$C$19,0),0)</f>
        <v>0</v>
      </c>
      <c r="AG284" s="151"/>
      <c r="AH284" s="151" t="n">
        <f aca="false">IF(ISNUMBER(B284),E284*F284*((K284&lt;=M284)*'13_Mapa_Liq'!$C$15+(K284&lt;=Q284)*'13_Mapa_Liq'!$C$16+(K284&lt;=U284)*'13_Mapa_Liq'!$C$17+(K284&lt;=Y284)*'13_Mapa_Liq'!$C$18+(K284&lt;=AC284)*'13_Mapa_Liq'!$C$19),0)</f>
        <v>0</v>
      </c>
      <c r="AI284" s="151" t="n">
        <f aca="false">IF(ISNUMBER(B284),E284*(1-F284)*((L284&gt;=O284)*'13_Mapa_Liq'!$C$15+(L284&gt;=S284)*'13_Mapa_Liq'!$C$16+(L284&gt;=W284)*'13_Mapa_Liq'!$C$17+(L284&gt;=AA284)*'13_Mapa_Liq'!$C$18+(L284&gt;=AE284)*'13_Mapa_Liq'!$C$19),0)</f>
        <v>0</v>
      </c>
    </row>
    <row r="285" customFormat="false" ht="15" hidden="false" customHeight="false" outlineLevel="0" collapsed="false">
      <c r="A285" s="151" t="str">
        <f aca="false">IF(ISNUMBER('12_Datos_5m'!F285),ROW()-4,"")</f>
        <v/>
      </c>
      <c r="B285" s="151" t="str">
        <f aca="false">IF(ISNUMBER('12_Datos_5m'!F285),'12_Datos_5m'!F285,"")</f>
        <v/>
      </c>
      <c r="C285" s="151" t="str">
        <f aca="false">IF(ISNUMBER('12_Datos_5m'!A285),'12_Datos_5m'!A285,"")</f>
        <v/>
      </c>
      <c r="D285" s="151" t="n">
        <f aca="false">IF(AND(ISNUMBER('12_Datos_5m'!I285),ISNUMBER('12_Datos_5m'!I284)),'12_Datos_5m'!I285-'12_Datos_5m'!I284,0)</f>
        <v>0</v>
      </c>
      <c r="E285" s="151" t="n">
        <f aca="false">MAX(0,D285)</f>
        <v>0</v>
      </c>
      <c r="F285" s="151" t="n">
        <f aca="false">IF(AND(ISNUMBER('12_Datos_5m'!G285),N('12_Datos_5m'!G285)&gt;0),'12_Datos_5m'!H285/'12_Datos_5m'!G285,0.5)</f>
        <v>0.5</v>
      </c>
      <c r="G285" s="151" t="n">
        <f aca="false">IF(ISNUMBER(C285),($C$2-C285)/3600000,0)</f>
        <v>0</v>
      </c>
      <c r="H285" s="151" t="n">
        <f aca="false">EXP(-G285/'13_Mapa_Liq'!$B$7)</f>
        <v>1</v>
      </c>
      <c r="I285" s="151" t="n">
        <f aca="false">E285*F285*H285</f>
        <v>0</v>
      </c>
      <c r="J285" s="151" t="n">
        <f aca="false">E285*(1-F285)*H285</f>
        <v>0</v>
      </c>
      <c r="K285" s="151" t="n">
        <f aca="false">IF(COUNT('12_Datos_5m'!E286:E$504)=0,1000000000000,MIN('12_Datos_5m'!E286:E$504))</f>
        <v>1000000000000</v>
      </c>
      <c r="L285" s="151" t="n">
        <f aca="false">IF(COUNT('12_Datos_5m'!D286:D$504)=0,0,MAX('12_Datos_5m'!D286:D$504))</f>
        <v>0</v>
      </c>
      <c r="M285" s="151" t="str">
        <f aca="false">IF(ISNUMBER(B285),B285*(1-1/'13_Mapa_Liq'!$B$15+'13_Mapa_Liq'!$B$6),"")</f>
        <v/>
      </c>
      <c r="N285" s="151" t="n">
        <f aca="false">IF(ISNUMBER(B285),IF(K285&gt;M285,I285*'13_Mapa_Liq'!$C$15,0),0)</f>
        <v>0</v>
      </c>
      <c r="O285" s="151" t="str">
        <f aca="false">IF(ISNUMBER(B285),B285*(1+1/'13_Mapa_Liq'!$B$15-'13_Mapa_Liq'!$B$6),"")</f>
        <v/>
      </c>
      <c r="P285" s="151" t="n">
        <f aca="false">IF(ISNUMBER(B285),IF(L285&lt;O285,J285*'13_Mapa_Liq'!$C$15,0),0)</f>
        <v>0</v>
      </c>
      <c r="Q285" s="151" t="str">
        <f aca="false">IF(ISNUMBER(B285),B285*(1-1/'13_Mapa_Liq'!$B$16+'13_Mapa_Liq'!$B$6),"")</f>
        <v/>
      </c>
      <c r="R285" s="151" t="n">
        <f aca="false">IF(ISNUMBER(B285),IF(K285&gt;Q285,I285*'13_Mapa_Liq'!$C$16,0),0)</f>
        <v>0</v>
      </c>
      <c r="S285" s="151" t="str">
        <f aca="false">IF(ISNUMBER(B285),B285*(1+1/'13_Mapa_Liq'!$B$16-'13_Mapa_Liq'!$B$6),"")</f>
        <v/>
      </c>
      <c r="T285" s="151" t="n">
        <f aca="false">IF(ISNUMBER(B285),IF(L285&lt;S285,J285*'13_Mapa_Liq'!$C$16,0),0)</f>
        <v>0</v>
      </c>
      <c r="U285" s="151" t="str">
        <f aca="false">IF(ISNUMBER(B285),B285*(1-1/'13_Mapa_Liq'!$B$17+'13_Mapa_Liq'!$B$6),"")</f>
        <v/>
      </c>
      <c r="V285" s="151" t="n">
        <f aca="false">IF(ISNUMBER(B285),IF(K285&gt;U285,I285*'13_Mapa_Liq'!$C$17,0),0)</f>
        <v>0</v>
      </c>
      <c r="W285" s="151" t="str">
        <f aca="false">IF(ISNUMBER(B285),B285*(1+1/'13_Mapa_Liq'!$B$17-'13_Mapa_Liq'!$B$6),"")</f>
        <v/>
      </c>
      <c r="X285" s="151" t="n">
        <f aca="false">IF(ISNUMBER(B285),IF(L285&lt;W285,J285*'13_Mapa_Liq'!$C$17,0),0)</f>
        <v>0</v>
      </c>
      <c r="Y285" s="151" t="str">
        <f aca="false">IF(ISNUMBER(B285),B285*(1-1/'13_Mapa_Liq'!$B$18+'13_Mapa_Liq'!$B$6),"")</f>
        <v/>
      </c>
      <c r="Z285" s="151" t="n">
        <f aca="false">IF(ISNUMBER(B285),IF(K285&gt;Y285,I285*'13_Mapa_Liq'!$C$18,0),0)</f>
        <v>0</v>
      </c>
      <c r="AA285" s="151" t="str">
        <f aca="false">IF(ISNUMBER(B285),B285*(1+1/'13_Mapa_Liq'!$B$18-'13_Mapa_Liq'!$B$6),"")</f>
        <v/>
      </c>
      <c r="AB285" s="151" t="n">
        <f aca="false">IF(ISNUMBER(B285),IF(L285&lt;AA285,J285*'13_Mapa_Liq'!$C$18,0),0)</f>
        <v>0</v>
      </c>
      <c r="AC285" s="151" t="str">
        <f aca="false">IF(ISNUMBER(B285),B285*(1-1/'13_Mapa_Liq'!$B$19+'13_Mapa_Liq'!$B$6),"")</f>
        <v/>
      </c>
      <c r="AD285" s="151" t="n">
        <f aca="false">IF(ISNUMBER(B285),IF(K285&gt;AC285,I285*'13_Mapa_Liq'!$C$19,0),0)</f>
        <v>0</v>
      </c>
      <c r="AE285" s="151" t="str">
        <f aca="false">IF(ISNUMBER(B285),B285*(1+1/'13_Mapa_Liq'!$B$19-'13_Mapa_Liq'!$B$6),"")</f>
        <v/>
      </c>
      <c r="AF285" s="151" t="n">
        <f aca="false">IF(ISNUMBER(B285),IF(L285&lt;AE285,J285*'13_Mapa_Liq'!$C$19,0),0)</f>
        <v>0</v>
      </c>
      <c r="AG285" s="151"/>
      <c r="AH285" s="151" t="n">
        <f aca="false">IF(ISNUMBER(B285),E285*F285*((K285&lt;=M285)*'13_Mapa_Liq'!$C$15+(K285&lt;=Q285)*'13_Mapa_Liq'!$C$16+(K285&lt;=U285)*'13_Mapa_Liq'!$C$17+(K285&lt;=Y285)*'13_Mapa_Liq'!$C$18+(K285&lt;=AC285)*'13_Mapa_Liq'!$C$19),0)</f>
        <v>0</v>
      </c>
      <c r="AI285" s="151" t="n">
        <f aca="false">IF(ISNUMBER(B285),E285*(1-F285)*((L285&gt;=O285)*'13_Mapa_Liq'!$C$15+(L285&gt;=S285)*'13_Mapa_Liq'!$C$16+(L285&gt;=W285)*'13_Mapa_Liq'!$C$17+(L285&gt;=AA285)*'13_Mapa_Liq'!$C$18+(L285&gt;=AE285)*'13_Mapa_Liq'!$C$19),0)</f>
        <v>0</v>
      </c>
    </row>
    <row r="286" customFormat="false" ht="15" hidden="false" customHeight="false" outlineLevel="0" collapsed="false">
      <c r="A286" s="151" t="str">
        <f aca="false">IF(ISNUMBER('12_Datos_5m'!F286),ROW()-4,"")</f>
        <v/>
      </c>
      <c r="B286" s="151" t="str">
        <f aca="false">IF(ISNUMBER('12_Datos_5m'!F286),'12_Datos_5m'!F286,"")</f>
        <v/>
      </c>
      <c r="C286" s="151" t="str">
        <f aca="false">IF(ISNUMBER('12_Datos_5m'!A286),'12_Datos_5m'!A286,"")</f>
        <v/>
      </c>
      <c r="D286" s="151" t="n">
        <f aca="false">IF(AND(ISNUMBER('12_Datos_5m'!I286),ISNUMBER('12_Datos_5m'!I285)),'12_Datos_5m'!I286-'12_Datos_5m'!I285,0)</f>
        <v>0</v>
      </c>
      <c r="E286" s="151" t="n">
        <f aca="false">MAX(0,D286)</f>
        <v>0</v>
      </c>
      <c r="F286" s="151" t="n">
        <f aca="false">IF(AND(ISNUMBER('12_Datos_5m'!G286),N('12_Datos_5m'!G286)&gt;0),'12_Datos_5m'!H286/'12_Datos_5m'!G286,0.5)</f>
        <v>0.5</v>
      </c>
      <c r="G286" s="151" t="n">
        <f aca="false">IF(ISNUMBER(C286),($C$2-C286)/3600000,0)</f>
        <v>0</v>
      </c>
      <c r="H286" s="151" t="n">
        <f aca="false">EXP(-G286/'13_Mapa_Liq'!$B$7)</f>
        <v>1</v>
      </c>
      <c r="I286" s="151" t="n">
        <f aca="false">E286*F286*H286</f>
        <v>0</v>
      </c>
      <c r="J286" s="151" t="n">
        <f aca="false">E286*(1-F286)*H286</f>
        <v>0</v>
      </c>
      <c r="K286" s="151" t="n">
        <f aca="false">IF(COUNT('12_Datos_5m'!E287:E$504)=0,1000000000000,MIN('12_Datos_5m'!E287:E$504))</f>
        <v>1000000000000</v>
      </c>
      <c r="L286" s="151" t="n">
        <f aca="false">IF(COUNT('12_Datos_5m'!D287:D$504)=0,0,MAX('12_Datos_5m'!D287:D$504))</f>
        <v>0</v>
      </c>
      <c r="M286" s="151" t="str">
        <f aca="false">IF(ISNUMBER(B286),B286*(1-1/'13_Mapa_Liq'!$B$15+'13_Mapa_Liq'!$B$6),"")</f>
        <v/>
      </c>
      <c r="N286" s="151" t="n">
        <f aca="false">IF(ISNUMBER(B286),IF(K286&gt;M286,I286*'13_Mapa_Liq'!$C$15,0),0)</f>
        <v>0</v>
      </c>
      <c r="O286" s="151" t="str">
        <f aca="false">IF(ISNUMBER(B286),B286*(1+1/'13_Mapa_Liq'!$B$15-'13_Mapa_Liq'!$B$6),"")</f>
        <v/>
      </c>
      <c r="P286" s="151" t="n">
        <f aca="false">IF(ISNUMBER(B286),IF(L286&lt;O286,J286*'13_Mapa_Liq'!$C$15,0),0)</f>
        <v>0</v>
      </c>
      <c r="Q286" s="151" t="str">
        <f aca="false">IF(ISNUMBER(B286),B286*(1-1/'13_Mapa_Liq'!$B$16+'13_Mapa_Liq'!$B$6),"")</f>
        <v/>
      </c>
      <c r="R286" s="151" t="n">
        <f aca="false">IF(ISNUMBER(B286),IF(K286&gt;Q286,I286*'13_Mapa_Liq'!$C$16,0),0)</f>
        <v>0</v>
      </c>
      <c r="S286" s="151" t="str">
        <f aca="false">IF(ISNUMBER(B286),B286*(1+1/'13_Mapa_Liq'!$B$16-'13_Mapa_Liq'!$B$6),"")</f>
        <v/>
      </c>
      <c r="T286" s="151" t="n">
        <f aca="false">IF(ISNUMBER(B286),IF(L286&lt;S286,J286*'13_Mapa_Liq'!$C$16,0),0)</f>
        <v>0</v>
      </c>
      <c r="U286" s="151" t="str">
        <f aca="false">IF(ISNUMBER(B286),B286*(1-1/'13_Mapa_Liq'!$B$17+'13_Mapa_Liq'!$B$6),"")</f>
        <v/>
      </c>
      <c r="V286" s="151" t="n">
        <f aca="false">IF(ISNUMBER(B286),IF(K286&gt;U286,I286*'13_Mapa_Liq'!$C$17,0),0)</f>
        <v>0</v>
      </c>
      <c r="W286" s="151" t="str">
        <f aca="false">IF(ISNUMBER(B286),B286*(1+1/'13_Mapa_Liq'!$B$17-'13_Mapa_Liq'!$B$6),"")</f>
        <v/>
      </c>
      <c r="X286" s="151" t="n">
        <f aca="false">IF(ISNUMBER(B286),IF(L286&lt;W286,J286*'13_Mapa_Liq'!$C$17,0),0)</f>
        <v>0</v>
      </c>
      <c r="Y286" s="151" t="str">
        <f aca="false">IF(ISNUMBER(B286),B286*(1-1/'13_Mapa_Liq'!$B$18+'13_Mapa_Liq'!$B$6),"")</f>
        <v/>
      </c>
      <c r="Z286" s="151" t="n">
        <f aca="false">IF(ISNUMBER(B286),IF(K286&gt;Y286,I286*'13_Mapa_Liq'!$C$18,0),0)</f>
        <v>0</v>
      </c>
      <c r="AA286" s="151" t="str">
        <f aca="false">IF(ISNUMBER(B286),B286*(1+1/'13_Mapa_Liq'!$B$18-'13_Mapa_Liq'!$B$6),"")</f>
        <v/>
      </c>
      <c r="AB286" s="151" t="n">
        <f aca="false">IF(ISNUMBER(B286),IF(L286&lt;AA286,J286*'13_Mapa_Liq'!$C$18,0),0)</f>
        <v>0</v>
      </c>
      <c r="AC286" s="151" t="str">
        <f aca="false">IF(ISNUMBER(B286),B286*(1-1/'13_Mapa_Liq'!$B$19+'13_Mapa_Liq'!$B$6),"")</f>
        <v/>
      </c>
      <c r="AD286" s="151" t="n">
        <f aca="false">IF(ISNUMBER(B286),IF(K286&gt;AC286,I286*'13_Mapa_Liq'!$C$19,0),0)</f>
        <v>0</v>
      </c>
      <c r="AE286" s="151" t="str">
        <f aca="false">IF(ISNUMBER(B286),B286*(1+1/'13_Mapa_Liq'!$B$19-'13_Mapa_Liq'!$B$6),"")</f>
        <v/>
      </c>
      <c r="AF286" s="151" t="n">
        <f aca="false">IF(ISNUMBER(B286),IF(L286&lt;AE286,J286*'13_Mapa_Liq'!$C$19,0),0)</f>
        <v>0</v>
      </c>
      <c r="AG286" s="151"/>
      <c r="AH286" s="151" t="n">
        <f aca="false">IF(ISNUMBER(B286),E286*F286*((K286&lt;=M286)*'13_Mapa_Liq'!$C$15+(K286&lt;=Q286)*'13_Mapa_Liq'!$C$16+(K286&lt;=U286)*'13_Mapa_Liq'!$C$17+(K286&lt;=Y286)*'13_Mapa_Liq'!$C$18+(K286&lt;=AC286)*'13_Mapa_Liq'!$C$19),0)</f>
        <v>0</v>
      </c>
      <c r="AI286" s="151" t="n">
        <f aca="false">IF(ISNUMBER(B286),E286*(1-F286)*((L286&gt;=O286)*'13_Mapa_Liq'!$C$15+(L286&gt;=S286)*'13_Mapa_Liq'!$C$16+(L286&gt;=W286)*'13_Mapa_Liq'!$C$17+(L286&gt;=AA286)*'13_Mapa_Liq'!$C$18+(L286&gt;=AE286)*'13_Mapa_Liq'!$C$19),0)</f>
        <v>0</v>
      </c>
    </row>
    <row r="287" customFormat="false" ht="15" hidden="false" customHeight="false" outlineLevel="0" collapsed="false">
      <c r="A287" s="151" t="str">
        <f aca="false">IF(ISNUMBER('12_Datos_5m'!F287),ROW()-4,"")</f>
        <v/>
      </c>
      <c r="B287" s="151" t="str">
        <f aca="false">IF(ISNUMBER('12_Datos_5m'!F287),'12_Datos_5m'!F287,"")</f>
        <v/>
      </c>
      <c r="C287" s="151" t="str">
        <f aca="false">IF(ISNUMBER('12_Datos_5m'!A287),'12_Datos_5m'!A287,"")</f>
        <v/>
      </c>
      <c r="D287" s="151" t="n">
        <f aca="false">IF(AND(ISNUMBER('12_Datos_5m'!I287),ISNUMBER('12_Datos_5m'!I286)),'12_Datos_5m'!I287-'12_Datos_5m'!I286,0)</f>
        <v>0</v>
      </c>
      <c r="E287" s="151" t="n">
        <f aca="false">MAX(0,D287)</f>
        <v>0</v>
      </c>
      <c r="F287" s="151" t="n">
        <f aca="false">IF(AND(ISNUMBER('12_Datos_5m'!G287),N('12_Datos_5m'!G287)&gt;0),'12_Datos_5m'!H287/'12_Datos_5m'!G287,0.5)</f>
        <v>0.5</v>
      </c>
      <c r="G287" s="151" t="n">
        <f aca="false">IF(ISNUMBER(C287),($C$2-C287)/3600000,0)</f>
        <v>0</v>
      </c>
      <c r="H287" s="151" t="n">
        <f aca="false">EXP(-G287/'13_Mapa_Liq'!$B$7)</f>
        <v>1</v>
      </c>
      <c r="I287" s="151" t="n">
        <f aca="false">E287*F287*H287</f>
        <v>0</v>
      </c>
      <c r="J287" s="151" t="n">
        <f aca="false">E287*(1-F287)*H287</f>
        <v>0</v>
      </c>
      <c r="K287" s="151" t="n">
        <f aca="false">IF(COUNT('12_Datos_5m'!E288:E$504)=0,1000000000000,MIN('12_Datos_5m'!E288:E$504))</f>
        <v>1000000000000</v>
      </c>
      <c r="L287" s="151" t="n">
        <f aca="false">IF(COUNT('12_Datos_5m'!D288:D$504)=0,0,MAX('12_Datos_5m'!D288:D$504))</f>
        <v>0</v>
      </c>
      <c r="M287" s="151" t="str">
        <f aca="false">IF(ISNUMBER(B287),B287*(1-1/'13_Mapa_Liq'!$B$15+'13_Mapa_Liq'!$B$6),"")</f>
        <v/>
      </c>
      <c r="N287" s="151" t="n">
        <f aca="false">IF(ISNUMBER(B287),IF(K287&gt;M287,I287*'13_Mapa_Liq'!$C$15,0),0)</f>
        <v>0</v>
      </c>
      <c r="O287" s="151" t="str">
        <f aca="false">IF(ISNUMBER(B287),B287*(1+1/'13_Mapa_Liq'!$B$15-'13_Mapa_Liq'!$B$6),"")</f>
        <v/>
      </c>
      <c r="P287" s="151" t="n">
        <f aca="false">IF(ISNUMBER(B287),IF(L287&lt;O287,J287*'13_Mapa_Liq'!$C$15,0),0)</f>
        <v>0</v>
      </c>
      <c r="Q287" s="151" t="str">
        <f aca="false">IF(ISNUMBER(B287),B287*(1-1/'13_Mapa_Liq'!$B$16+'13_Mapa_Liq'!$B$6),"")</f>
        <v/>
      </c>
      <c r="R287" s="151" t="n">
        <f aca="false">IF(ISNUMBER(B287),IF(K287&gt;Q287,I287*'13_Mapa_Liq'!$C$16,0),0)</f>
        <v>0</v>
      </c>
      <c r="S287" s="151" t="str">
        <f aca="false">IF(ISNUMBER(B287),B287*(1+1/'13_Mapa_Liq'!$B$16-'13_Mapa_Liq'!$B$6),"")</f>
        <v/>
      </c>
      <c r="T287" s="151" t="n">
        <f aca="false">IF(ISNUMBER(B287),IF(L287&lt;S287,J287*'13_Mapa_Liq'!$C$16,0),0)</f>
        <v>0</v>
      </c>
      <c r="U287" s="151" t="str">
        <f aca="false">IF(ISNUMBER(B287),B287*(1-1/'13_Mapa_Liq'!$B$17+'13_Mapa_Liq'!$B$6),"")</f>
        <v/>
      </c>
      <c r="V287" s="151" t="n">
        <f aca="false">IF(ISNUMBER(B287),IF(K287&gt;U287,I287*'13_Mapa_Liq'!$C$17,0),0)</f>
        <v>0</v>
      </c>
      <c r="W287" s="151" t="str">
        <f aca="false">IF(ISNUMBER(B287),B287*(1+1/'13_Mapa_Liq'!$B$17-'13_Mapa_Liq'!$B$6),"")</f>
        <v/>
      </c>
      <c r="X287" s="151" t="n">
        <f aca="false">IF(ISNUMBER(B287),IF(L287&lt;W287,J287*'13_Mapa_Liq'!$C$17,0),0)</f>
        <v>0</v>
      </c>
      <c r="Y287" s="151" t="str">
        <f aca="false">IF(ISNUMBER(B287),B287*(1-1/'13_Mapa_Liq'!$B$18+'13_Mapa_Liq'!$B$6),"")</f>
        <v/>
      </c>
      <c r="Z287" s="151" t="n">
        <f aca="false">IF(ISNUMBER(B287),IF(K287&gt;Y287,I287*'13_Mapa_Liq'!$C$18,0),0)</f>
        <v>0</v>
      </c>
      <c r="AA287" s="151" t="str">
        <f aca="false">IF(ISNUMBER(B287),B287*(1+1/'13_Mapa_Liq'!$B$18-'13_Mapa_Liq'!$B$6),"")</f>
        <v/>
      </c>
      <c r="AB287" s="151" t="n">
        <f aca="false">IF(ISNUMBER(B287),IF(L287&lt;AA287,J287*'13_Mapa_Liq'!$C$18,0),0)</f>
        <v>0</v>
      </c>
      <c r="AC287" s="151" t="str">
        <f aca="false">IF(ISNUMBER(B287),B287*(1-1/'13_Mapa_Liq'!$B$19+'13_Mapa_Liq'!$B$6),"")</f>
        <v/>
      </c>
      <c r="AD287" s="151" t="n">
        <f aca="false">IF(ISNUMBER(B287),IF(K287&gt;AC287,I287*'13_Mapa_Liq'!$C$19,0),0)</f>
        <v>0</v>
      </c>
      <c r="AE287" s="151" t="str">
        <f aca="false">IF(ISNUMBER(B287),B287*(1+1/'13_Mapa_Liq'!$B$19-'13_Mapa_Liq'!$B$6),"")</f>
        <v/>
      </c>
      <c r="AF287" s="151" t="n">
        <f aca="false">IF(ISNUMBER(B287),IF(L287&lt;AE287,J287*'13_Mapa_Liq'!$C$19,0),0)</f>
        <v>0</v>
      </c>
      <c r="AG287" s="151"/>
      <c r="AH287" s="151" t="n">
        <f aca="false">IF(ISNUMBER(B287),E287*F287*((K287&lt;=M287)*'13_Mapa_Liq'!$C$15+(K287&lt;=Q287)*'13_Mapa_Liq'!$C$16+(K287&lt;=U287)*'13_Mapa_Liq'!$C$17+(K287&lt;=Y287)*'13_Mapa_Liq'!$C$18+(K287&lt;=AC287)*'13_Mapa_Liq'!$C$19),0)</f>
        <v>0</v>
      </c>
      <c r="AI287" s="151" t="n">
        <f aca="false">IF(ISNUMBER(B287),E287*(1-F287)*((L287&gt;=O287)*'13_Mapa_Liq'!$C$15+(L287&gt;=S287)*'13_Mapa_Liq'!$C$16+(L287&gt;=W287)*'13_Mapa_Liq'!$C$17+(L287&gt;=AA287)*'13_Mapa_Liq'!$C$18+(L287&gt;=AE287)*'13_Mapa_Liq'!$C$19),0)</f>
        <v>0</v>
      </c>
    </row>
    <row r="288" customFormat="false" ht="15" hidden="false" customHeight="false" outlineLevel="0" collapsed="false">
      <c r="A288" s="151" t="str">
        <f aca="false">IF(ISNUMBER('12_Datos_5m'!F288),ROW()-4,"")</f>
        <v/>
      </c>
      <c r="B288" s="151" t="str">
        <f aca="false">IF(ISNUMBER('12_Datos_5m'!F288),'12_Datos_5m'!F288,"")</f>
        <v/>
      </c>
      <c r="C288" s="151" t="str">
        <f aca="false">IF(ISNUMBER('12_Datos_5m'!A288),'12_Datos_5m'!A288,"")</f>
        <v/>
      </c>
      <c r="D288" s="151" t="n">
        <f aca="false">IF(AND(ISNUMBER('12_Datos_5m'!I288),ISNUMBER('12_Datos_5m'!I287)),'12_Datos_5m'!I288-'12_Datos_5m'!I287,0)</f>
        <v>0</v>
      </c>
      <c r="E288" s="151" t="n">
        <f aca="false">MAX(0,D288)</f>
        <v>0</v>
      </c>
      <c r="F288" s="151" t="n">
        <f aca="false">IF(AND(ISNUMBER('12_Datos_5m'!G288),N('12_Datos_5m'!G288)&gt;0),'12_Datos_5m'!H288/'12_Datos_5m'!G288,0.5)</f>
        <v>0.5</v>
      </c>
      <c r="G288" s="151" t="n">
        <f aca="false">IF(ISNUMBER(C288),($C$2-C288)/3600000,0)</f>
        <v>0</v>
      </c>
      <c r="H288" s="151" t="n">
        <f aca="false">EXP(-G288/'13_Mapa_Liq'!$B$7)</f>
        <v>1</v>
      </c>
      <c r="I288" s="151" t="n">
        <f aca="false">E288*F288*H288</f>
        <v>0</v>
      </c>
      <c r="J288" s="151" t="n">
        <f aca="false">E288*(1-F288)*H288</f>
        <v>0</v>
      </c>
      <c r="K288" s="151" t="n">
        <f aca="false">IF(COUNT('12_Datos_5m'!E289:E$504)=0,1000000000000,MIN('12_Datos_5m'!E289:E$504))</f>
        <v>1000000000000</v>
      </c>
      <c r="L288" s="151" t="n">
        <f aca="false">IF(COUNT('12_Datos_5m'!D289:D$504)=0,0,MAX('12_Datos_5m'!D289:D$504))</f>
        <v>0</v>
      </c>
      <c r="M288" s="151" t="str">
        <f aca="false">IF(ISNUMBER(B288),B288*(1-1/'13_Mapa_Liq'!$B$15+'13_Mapa_Liq'!$B$6),"")</f>
        <v/>
      </c>
      <c r="N288" s="151" t="n">
        <f aca="false">IF(ISNUMBER(B288),IF(K288&gt;M288,I288*'13_Mapa_Liq'!$C$15,0),0)</f>
        <v>0</v>
      </c>
      <c r="O288" s="151" t="str">
        <f aca="false">IF(ISNUMBER(B288),B288*(1+1/'13_Mapa_Liq'!$B$15-'13_Mapa_Liq'!$B$6),"")</f>
        <v/>
      </c>
      <c r="P288" s="151" t="n">
        <f aca="false">IF(ISNUMBER(B288),IF(L288&lt;O288,J288*'13_Mapa_Liq'!$C$15,0),0)</f>
        <v>0</v>
      </c>
      <c r="Q288" s="151" t="str">
        <f aca="false">IF(ISNUMBER(B288),B288*(1-1/'13_Mapa_Liq'!$B$16+'13_Mapa_Liq'!$B$6),"")</f>
        <v/>
      </c>
      <c r="R288" s="151" t="n">
        <f aca="false">IF(ISNUMBER(B288),IF(K288&gt;Q288,I288*'13_Mapa_Liq'!$C$16,0),0)</f>
        <v>0</v>
      </c>
      <c r="S288" s="151" t="str">
        <f aca="false">IF(ISNUMBER(B288),B288*(1+1/'13_Mapa_Liq'!$B$16-'13_Mapa_Liq'!$B$6),"")</f>
        <v/>
      </c>
      <c r="T288" s="151" t="n">
        <f aca="false">IF(ISNUMBER(B288),IF(L288&lt;S288,J288*'13_Mapa_Liq'!$C$16,0),0)</f>
        <v>0</v>
      </c>
      <c r="U288" s="151" t="str">
        <f aca="false">IF(ISNUMBER(B288),B288*(1-1/'13_Mapa_Liq'!$B$17+'13_Mapa_Liq'!$B$6),"")</f>
        <v/>
      </c>
      <c r="V288" s="151" t="n">
        <f aca="false">IF(ISNUMBER(B288),IF(K288&gt;U288,I288*'13_Mapa_Liq'!$C$17,0),0)</f>
        <v>0</v>
      </c>
      <c r="W288" s="151" t="str">
        <f aca="false">IF(ISNUMBER(B288),B288*(1+1/'13_Mapa_Liq'!$B$17-'13_Mapa_Liq'!$B$6),"")</f>
        <v/>
      </c>
      <c r="X288" s="151" t="n">
        <f aca="false">IF(ISNUMBER(B288),IF(L288&lt;W288,J288*'13_Mapa_Liq'!$C$17,0),0)</f>
        <v>0</v>
      </c>
      <c r="Y288" s="151" t="str">
        <f aca="false">IF(ISNUMBER(B288),B288*(1-1/'13_Mapa_Liq'!$B$18+'13_Mapa_Liq'!$B$6),"")</f>
        <v/>
      </c>
      <c r="Z288" s="151" t="n">
        <f aca="false">IF(ISNUMBER(B288),IF(K288&gt;Y288,I288*'13_Mapa_Liq'!$C$18,0),0)</f>
        <v>0</v>
      </c>
      <c r="AA288" s="151" t="str">
        <f aca="false">IF(ISNUMBER(B288),B288*(1+1/'13_Mapa_Liq'!$B$18-'13_Mapa_Liq'!$B$6),"")</f>
        <v/>
      </c>
      <c r="AB288" s="151" t="n">
        <f aca="false">IF(ISNUMBER(B288),IF(L288&lt;AA288,J288*'13_Mapa_Liq'!$C$18,0),0)</f>
        <v>0</v>
      </c>
      <c r="AC288" s="151" t="str">
        <f aca="false">IF(ISNUMBER(B288),B288*(1-1/'13_Mapa_Liq'!$B$19+'13_Mapa_Liq'!$B$6),"")</f>
        <v/>
      </c>
      <c r="AD288" s="151" t="n">
        <f aca="false">IF(ISNUMBER(B288),IF(K288&gt;AC288,I288*'13_Mapa_Liq'!$C$19,0),0)</f>
        <v>0</v>
      </c>
      <c r="AE288" s="151" t="str">
        <f aca="false">IF(ISNUMBER(B288),B288*(1+1/'13_Mapa_Liq'!$B$19-'13_Mapa_Liq'!$B$6),"")</f>
        <v/>
      </c>
      <c r="AF288" s="151" t="n">
        <f aca="false">IF(ISNUMBER(B288),IF(L288&lt;AE288,J288*'13_Mapa_Liq'!$C$19,0),0)</f>
        <v>0</v>
      </c>
      <c r="AG288" s="151"/>
      <c r="AH288" s="151" t="n">
        <f aca="false">IF(ISNUMBER(B288),E288*F288*((K288&lt;=M288)*'13_Mapa_Liq'!$C$15+(K288&lt;=Q288)*'13_Mapa_Liq'!$C$16+(K288&lt;=U288)*'13_Mapa_Liq'!$C$17+(K288&lt;=Y288)*'13_Mapa_Liq'!$C$18+(K288&lt;=AC288)*'13_Mapa_Liq'!$C$19),0)</f>
        <v>0</v>
      </c>
      <c r="AI288" s="151" t="n">
        <f aca="false">IF(ISNUMBER(B288),E288*(1-F288)*((L288&gt;=O288)*'13_Mapa_Liq'!$C$15+(L288&gt;=S288)*'13_Mapa_Liq'!$C$16+(L288&gt;=W288)*'13_Mapa_Liq'!$C$17+(L288&gt;=AA288)*'13_Mapa_Liq'!$C$18+(L288&gt;=AE288)*'13_Mapa_Liq'!$C$19),0)</f>
        <v>0</v>
      </c>
    </row>
    <row r="289" customFormat="false" ht="15" hidden="false" customHeight="false" outlineLevel="0" collapsed="false">
      <c r="A289" s="151" t="str">
        <f aca="false">IF(ISNUMBER('12_Datos_5m'!F289),ROW()-4,"")</f>
        <v/>
      </c>
      <c r="B289" s="151" t="str">
        <f aca="false">IF(ISNUMBER('12_Datos_5m'!F289),'12_Datos_5m'!F289,"")</f>
        <v/>
      </c>
      <c r="C289" s="151" t="str">
        <f aca="false">IF(ISNUMBER('12_Datos_5m'!A289),'12_Datos_5m'!A289,"")</f>
        <v/>
      </c>
      <c r="D289" s="151" t="n">
        <f aca="false">IF(AND(ISNUMBER('12_Datos_5m'!I289),ISNUMBER('12_Datos_5m'!I288)),'12_Datos_5m'!I289-'12_Datos_5m'!I288,0)</f>
        <v>0</v>
      </c>
      <c r="E289" s="151" t="n">
        <f aca="false">MAX(0,D289)</f>
        <v>0</v>
      </c>
      <c r="F289" s="151" t="n">
        <f aca="false">IF(AND(ISNUMBER('12_Datos_5m'!G289),N('12_Datos_5m'!G289)&gt;0),'12_Datos_5m'!H289/'12_Datos_5m'!G289,0.5)</f>
        <v>0.5</v>
      </c>
      <c r="G289" s="151" t="n">
        <f aca="false">IF(ISNUMBER(C289),($C$2-C289)/3600000,0)</f>
        <v>0</v>
      </c>
      <c r="H289" s="151" t="n">
        <f aca="false">EXP(-G289/'13_Mapa_Liq'!$B$7)</f>
        <v>1</v>
      </c>
      <c r="I289" s="151" t="n">
        <f aca="false">E289*F289*H289</f>
        <v>0</v>
      </c>
      <c r="J289" s="151" t="n">
        <f aca="false">E289*(1-F289)*H289</f>
        <v>0</v>
      </c>
      <c r="K289" s="151" t="n">
        <f aca="false">IF(COUNT('12_Datos_5m'!E290:E$504)=0,1000000000000,MIN('12_Datos_5m'!E290:E$504))</f>
        <v>1000000000000</v>
      </c>
      <c r="L289" s="151" t="n">
        <f aca="false">IF(COUNT('12_Datos_5m'!D290:D$504)=0,0,MAX('12_Datos_5m'!D290:D$504))</f>
        <v>0</v>
      </c>
      <c r="M289" s="151" t="str">
        <f aca="false">IF(ISNUMBER(B289),B289*(1-1/'13_Mapa_Liq'!$B$15+'13_Mapa_Liq'!$B$6),"")</f>
        <v/>
      </c>
      <c r="N289" s="151" t="n">
        <f aca="false">IF(ISNUMBER(B289),IF(K289&gt;M289,I289*'13_Mapa_Liq'!$C$15,0),0)</f>
        <v>0</v>
      </c>
      <c r="O289" s="151" t="str">
        <f aca="false">IF(ISNUMBER(B289),B289*(1+1/'13_Mapa_Liq'!$B$15-'13_Mapa_Liq'!$B$6),"")</f>
        <v/>
      </c>
      <c r="P289" s="151" t="n">
        <f aca="false">IF(ISNUMBER(B289),IF(L289&lt;O289,J289*'13_Mapa_Liq'!$C$15,0),0)</f>
        <v>0</v>
      </c>
      <c r="Q289" s="151" t="str">
        <f aca="false">IF(ISNUMBER(B289),B289*(1-1/'13_Mapa_Liq'!$B$16+'13_Mapa_Liq'!$B$6),"")</f>
        <v/>
      </c>
      <c r="R289" s="151" t="n">
        <f aca="false">IF(ISNUMBER(B289),IF(K289&gt;Q289,I289*'13_Mapa_Liq'!$C$16,0),0)</f>
        <v>0</v>
      </c>
      <c r="S289" s="151" t="str">
        <f aca="false">IF(ISNUMBER(B289),B289*(1+1/'13_Mapa_Liq'!$B$16-'13_Mapa_Liq'!$B$6),"")</f>
        <v/>
      </c>
      <c r="T289" s="151" t="n">
        <f aca="false">IF(ISNUMBER(B289),IF(L289&lt;S289,J289*'13_Mapa_Liq'!$C$16,0),0)</f>
        <v>0</v>
      </c>
      <c r="U289" s="151" t="str">
        <f aca="false">IF(ISNUMBER(B289),B289*(1-1/'13_Mapa_Liq'!$B$17+'13_Mapa_Liq'!$B$6),"")</f>
        <v/>
      </c>
      <c r="V289" s="151" t="n">
        <f aca="false">IF(ISNUMBER(B289),IF(K289&gt;U289,I289*'13_Mapa_Liq'!$C$17,0),0)</f>
        <v>0</v>
      </c>
      <c r="W289" s="151" t="str">
        <f aca="false">IF(ISNUMBER(B289),B289*(1+1/'13_Mapa_Liq'!$B$17-'13_Mapa_Liq'!$B$6),"")</f>
        <v/>
      </c>
      <c r="X289" s="151" t="n">
        <f aca="false">IF(ISNUMBER(B289),IF(L289&lt;W289,J289*'13_Mapa_Liq'!$C$17,0),0)</f>
        <v>0</v>
      </c>
      <c r="Y289" s="151" t="str">
        <f aca="false">IF(ISNUMBER(B289),B289*(1-1/'13_Mapa_Liq'!$B$18+'13_Mapa_Liq'!$B$6),"")</f>
        <v/>
      </c>
      <c r="Z289" s="151" t="n">
        <f aca="false">IF(ISNUMBER(B289),IF(K289&gt;Y289,I289*'13_Mapa_Liq'!$C$18,0),0)</f>
        <v>0</v>
      </c>
      <c r="AA289" s="151" t="str">
        <f aca="false">IF(ISNUMBER(B289),B289*(1+1/'13_Mapa_Liq'!$B$18-'13_Mapa_Liq'!$B$6),"")</f>
        <v/>
      </c>
      <c r="AB289" s="151" t="n">
        <f aca="false">IF(ISNUMBER(B289),IF(L289&lt;AA289,J289*'13_Mapa_Liq'!$C$18,0),0)</f>
        <v>0</v>
      </c>
      <c r="AC289" s="151" t="str">
        <f aca="false">IF(ISNUMBER(B289),B289*(1-1/'13_Mapa_Liq'!$B$19+'13_Mapa_Liq'!$B$6),"")</f>
        <v/>
      </c>
      <c r="AD289" s="151" t="n">
        <f aca="false">IF(ISNUMBER(B289),IF(K289&gt;AC289,I289*'13_Mapa_Liq'!$C$19,0),0)</f>
        <v>0</v>
      </c>
      <c r="AE289" s="151" t="str">
        <f aca="false">IF(ISNUMBER(B289),B289*(1+1/'13_Mapa_Liq'!$B$19-'13_Mapa_Liq'!$B$6),"")</f>
        <v/>
      </c>
      <c r="AF289" s="151" t="n">
        <f aca="false">IF(ISNUMBER(B289),IF(L289&lt;AE289,J289*'13_Mapa_Liq'!$C$19,0),0)</f>
        <v>0</v>
      </c>
      <c r="AG289" s="151"/>
      <c r="AH289" s="151" t="n">
        <f aca="false">IF(ISNUMBER(B289),E289*F289*((K289&lt;=M289)*'13_Mapa_Liq'!$C$15+(K289&lt;=Q289)*'13_Mapa_Liq'!$C$16+(K289&lt;=U289)*'13_Mapa_Liq'!$C$17+(K289&lt;=Y289)*'13_Mapa_Liq'!$C$18+(K289&lt;=AC289)*'13_Mapa_Liq'!$C$19),0)</f>
        <v>0</v>
      </c>
      <c r="AI289" s="151" t="n">
        <f aca="false">IF(ISNUMBER(B289),E289*(1-F289)*((L289&gt;=O289)*'13_Mapa_Liq'!$C$15+(L289&gt;=S289)*'13_Mapa_Liq'!$C$16+(L289&gt;=W289)*'13_Mapa_Liq'!$C$17+(L289&gt;=AA289)*'13_Mapa_Liq'!$C$18+(L289&gt;=AE289)*'13_Mapa_Liq'!$C$19),0)</f>
        <v>0</v>
      </c>
    </row>
    <row r="290" customFormat="false" ht="15" hidden="false" customHeight="false" outlineLevel="0" collapsed="false">
      <c r="A290" s="151" t="str">
        <f aca="false">IF(ISNUMBER('12_Datos_5m'!F290),ROW()-4,"")</f>
        <v/>
      </c>
      <c r="B290" s="151" t="str">
        <f aca="false">IF(ISNUMBER('12_Datos_5m'!F290),'12_Datos_5m'!F290,"")</f>
        <v/>
      </c>
      <c r="C290" s="151" t="str">
        <f aca="false">IF(ISNUMBER('12_Datos_5m'!A290),'12_Datos_5m'!A290,"")</f>
        <v/>
      </c>
      <c r="D290" s="151" t="n">
        <f aca="false">IF(AND(ISNUMBER('12_Datos_5m'!I290),ISNUMBER('12_Datos_5m'!I289)),'12_Datos_5m'!I290-'12_Datos_5m'!I289,0)</f>
        <v>0</v>
      </c>
      <c r="E290" s="151" t="n">
        <f aca="false">MAX(0,D290)</f>
        <v>0</v>
      </c>
      <c r="F290" s="151" t="n">
        <f aca="false">IF(AND(ISNUMBER('12_Datos_5m'!G290),N('12_Datos_5m'!G290)&gt;0),'12_Datos_5m'!H290/'12_Datos_5m'!G290,0.5)</f>
        <v>0.5</v>
      </c>
      <c r="G290" s="151" t="n">
        <f aca="false">IF(ISNUMBER(C290),($C$2-C290)/3600000,0)</f>
        <v>0</v>
      </c>
      <c r="H290" s="151" t="n">
        <f aca="false">EXP(-G290/'13_Mapa_Liq'!$B$7)</f>
        <v>1</v>
      </c>
      <c r="I290" s="151" t="n">
        <f aca="false">E290*F290*H290</f>
        <v>0</v>
      </c>
      <c r="J290" s="151" t="n">
        <f aca="false">E290*(1-F290)*H290</f>
        <v>0</v>
      </c>
      <c r="K290" s="151" t="n">
        <f aca="false">IF(COUNT('12_Datos_5m'!E291:E$504)=0,1000000000000,MIN('12_Datos_5m'!E291:E$504))</f>
        <v>1000000000000</v>
      </c>
      <c r="L290" s="151" t="n">
        <f aca="false">IF(COUNT('12_Datos_5m'!D291:D$504)=0,0,MAX('12_Datos_5m'!D291:D$504))</f>
        <v>0</v>
      </c>
      <c r="M290" s="151" t="str">
        <f aca="false">IF(ISNUMBER(B290),B290*(1-1/'13_Mapa_Liq'!$B$15+'13_Mapa_Liq'!$B$6),"")</f>
        <v/>
      </c>
      <c r="N290" s="151" t="n">
        <f aca="false">IF(ISNUMBER(B290),IF(K290&gt;M290,I290*'13_Mapa_Liq'!$C$15,0),0)</f>
        <v>0</v>
      </c>
      <c r="O290" s="151" t="str">
        <f aca="false">IF(ISNUMBER(B290),B290*(1+1/'13_Mapa_Liq'!$B$15-'13_Mapa_Liq'!$B$6),"")</f>
        <v/>
      </c>
      <c r="P290" s="151" t="n">
        <f aca="false">IF(ISNUMBER(B290),IF(L290&lt;O290,J290*'13_Mapa_Liq'!$C$15,0),0)</f>
        <v>0</v>
      </c>
      <c r="Q290" s="151" t="str">
        <f aca="false">IF(ISNUMBER(B290),B290*(1-1/'13_Mapa_Liq'!$B$16+'13_Mapa_Liq'!$B$6),"")</f>
        <v/>
      </c>
      <c r="R290" s="151" t="n">
        <f aca="false">IF(ISNUMBER(B290),IF(K290&gt;Q290,I290*'13_Mapa_Liq'!$C$16,0),0)</f>
        <v>0</v>
      </c>
      <c r="S290" s="151" t="str">
        <f aca="false">IF(ISNUMBER(B290),B290*(1+1/'13_Mapa_Liq'!$B$16-'13_Mapa_Liq'!$B$6),"")</f>
        <v/>
      </c>
      <c r="T290" s="151" t="n">
        <f aca="false">IF(ISNUMBER(B290),IF(L290&lt;S290,J290*'13_Mapa_Liq'!$C$16,0),0)</f>
        <v>0</v>
      </c>
      <c r="U290" s="151" t="str">
        <f aca="false">IF(ISNUMBER(B290),B290*(1-1/'13_Mapa_Liq'!$B$17+'13_Mapa_Liq'!$B$6),"")</f>
        <v/>
      </c>
      <c r="V290" s="151" t="n">
        <f aca="false">IF(ISNUMBER(B290),IF(K290&gt;U290,I290*'13_Mapa_Liq'!$C$17,0),0)</f>
        <v>0</v>
      </c>
      <c r="W290" s="151" t="str">
        <f aca="false">IF(ISNUMBER(B290),B290*(1+1/'13_Mapa_Liq'!$B$17-'13_Mapa_Liq'!$B$6),"")</f>
        <v/>
      </c>
      <c r="X290" s="151" t="n">
        <f aca="false">IF(ISNUMBER(B290),IF(L290&lt;W290,J290*'13_Mapa_Liq'!$C$17,0),0)</f>
        <v>0</v>
      </c>
      <c r="Y290" s="151" t="str">
        <f aca="false">IF(ISNUMBER(B290),B290*(1-1/'13_Mapa_Liq'!$B$18+'13_Mapa_Liq'!$B$6),"")</f>
        <v/>
      </c>
      <c r="Z290" s="151" t="n">
        <f aca="false">IF(ISNUMBER(B290),IF(K290&gt;Y290,I290*'13_Mapa_Liq'!$C$18,0),0)</f>
        <v>0</v>
      </c>
      <c r="AA290" s="151" t="str">
        <f aca="false">IF(ISNUMBER(B290),B290*(1+1/'13_Mapa_Liq'!$B$18-'13_Mapa_Liq'!$B$6),"")</f>
        <v/>
      </c>
      <c r="AB290" s="151" t="n">
        <f aca="false">IF(ISNUMBER(B290),IF(L290&lt;AA290,J290*'13_Mapa_Liq'!$C$18,0),0)</f>
        <v>0</v>
      </c>
      <c r="AC290" s="151" t="str">
        <f aca="false">IF(ISNUMBER(B290),B290*(1-1/'13_Mapa_Liq'!$B$19+'13_Mapa_Liq'!$B$6),"")</f>
        <v/>
      </c>
      <c r="AD290" s="151" t="n">
        <f aca="false">IF(ISNUMBER(B290),IF(K290&gt;AC290,I290*'13_Mapa_Liq'!$C$19,0),0)</f>
        <v>0</v>
      </c>
      <c r="AE290" s="151" t="str">
        <f aca="false">IF(ISNUMBER(B290),B290*(1+1/'13_Mapa_Liq'!$B$19-'13_Mapa_Liq'!$B$6),"")</f>
        <v/>
      </c>
      <c r="AF290" s="151" t="n">
        <f aca="false">IF(ISNUMBER(B290),IF(L290&lt;AE290,J290*'13_Mapa_Liq'!$C$19,0),0)</f>
        <v>0</v>
      </c>
      <c r="AG290" s="151"/>
      <c r="AH290" s="151" t="n">
        <f aca="false">IF(ISNUMBER(B290),E290*F290*((K290&lt;=M290)*'13_Mapa_Liq'!$C$15+(K290&lt;=Q290)*'13_Mapa_Liq'!$C$16+(K290&lt;=U290)*'13_Mapa_Liq'!$C$17+(K290&lt;=Y290)*'13_Mapa_Liq'!$C$18+(K290&lt;=AC290)*'13_Mapa_Liq'!$C$19),0)</f>
        <v>0</v>
      </c>
      <c r="AI290" s="151" t="n">
        <f aca="false">IF(ISNUMBER(B290),E290*(1-F290)*((L290&gt;=O290)*'13_Mapa_Liq'!$C$15+(L290&gt;=S290)*'13_Mapa_Liq'!$C$16+(L290&gt;=W290)*'13_Mapa_Liq'!$C$17+(L290&gt;=AA290)*'13_Mapa_Liq'!$C$18+(L290&gt;=AE290)*'13_Mapa_Liq'!$C$19),0)</f>
        <v>0</v>
      </c>
    </row>
    <row r="291" customFormat="false" ht="15" hidden="false" customHeight="false" outlineLevel="0" collapsed="false">
      <c r="A291" s="151" t="str">
        <f aca="false">IF(ISNUMBER('12_Datos_5m'!F291),ROW()-4,"")</f>
        <v/>
      </c>
      <c r="B291" s="151" t="str">
        <f aca="false">IF(ISNUMBER('12_Datos_5m'!F291),'12_Datos_5m'!F291,"")</f>
        <v/>
      </c>
      <c r="C291" s="151" t="str">
        <f aca="false">IF(ISNUMBER('12_Datos_5m'!A291),'12_Datos_5m'!A291,"")</f>
        <v/>
      </c>
      <c r="D291" s="151" t="n">
        <f aca="false">IF(AND(ISNUMBER('12_Datos_5m'!I291),ISNUMBER('12_Datos_5m'!I290)),'12_Datos_5m'!I291-'12_Datos_5m'!I290,0)</f>
        <v>0</v>
      </c>
      <c r="E291" s="151" t="n">
        <f aca="false">MAX(0,D291)</f>
        <v>0</v>
      </c>
      <c r="F291" s="151" t="n">
        <f aca="false">IF(AND(ISNUMBER('12_Datos_5m'!G291),N('12_Datos_5m'!G291)&gt;0),'12_Datos_5m'!H291/'12_Datos_5m'!G291,0.5)</f>
        <v>0.5</v>
      </c>
      <c r="G291" s="151" t="n">
        <f aca="false">IF(ISNUMBER(C291),($C$2-C291)/3600000,0)</f>
        <v>0</v>
      </c>
      <c r="H291" s="151" t="n">
        <f aca="false">EXP(-G291/'13_Mapa_Liq'!$B$7)</f>
        <v>1</v>
      </c>
      <c r="I291" s="151" t="n">
        <f aca="false">E291*F291*H291</f>
        <v>0</v>
      </c>
      <c r="J291" s="151" t="n">
        <f aca="false">E291*(1-F291)*H291</f>
        <v>0</v>
      </c>
      <c r="K291" s="151" t="n">
        <f aca="false">IF(COUNT('12_Datos_5m'!E292:E$504)=0,1000000000000,MIN('12_Datos_5m'!E292:E$504))</f>
        <v>1000000000000</v>
      </c>
      <c r="L291" s="151" t="n">
        <f aca="false">IF(COUNT('12_Datos_5m'!D292:D$504)=0,0,MAX('12_Datos_5m'!D292:D$504))</f>
        <v>0</v>
      </c>
      <c r="M291" s="151" t="str">
        <f aca="false">IF(ISNUMBER(B291),B291*(1-1/'13_Mapa_Liq'!$B$15+'13_Mapa_Liq'!$B$6),"")</f>
        <v/>
      </c>
      <c r="N291" s="151" t="n">
        <f aca="false">IF(ISNUMBER(B291),IF(K291&gt;M291,I291*'13_Mapa_Liq'!$C$15,0),0)</f>
        <v>0</v>
      </c>
      <c r="O291" s="151" t="str">
        <f aca="false">IF(ISNUMBER(B291),B291*(1+1/'13_Mapa_Liq'!$B$15-'13_Mapa_Liq'!$B$6),"")</f>
        <v/>
      </c>
      <c r="P291" s="151" t="n">
        <f aca="false">IF(ISNUMBER(B291),IF(L291&lt;O291,J291*'13_Mapa_Liq'!$C$15,0),0)</f>
        <v>0</v>
      </c>
      <c r="Q291" s="151" t="str">
        <f aca="false">IF(ISNUMBER(B291),B291*(1-1/'13_Mapa_Liq'!$B$16+'13_Mapa_Liq'!$B$6),"")</f>
        <v/>
      </c>
      <c r="R291" s="151" t="n">
        <f aca="false">IF(ISNUMBER(B291),IF(K291&gt;Q291,I291*'13_Mapa_Liq'!$C$16,0),0)</f>
        <v>0</v>
      </c>
      <c r="S291" s="151" t="str">
        <f aca="false">IF(ISNUMBER(B291),B291*(1+1/'13_Mapa_Liq'!$B$16-'13_Mapa_Liq'!$B$6),"")</f>
        <v/>
      </c>
      <c r="T291" s="151" t="n">
        <f aca="false">IF(ISNUMBER(B291),IF(L291&lt;S291,J291*'13_Mapa_Liq'!$C$16,0),0)</f>
        <v>0</v>
      </c>
      <c r="U291" s="151" t="str">
        <f aca="false">IF(ISNUMBER(B291),B291*(1-1/'13_Mapa_Liq'!$B$17+'13_Mapa_Liq'!$B$6),"")</f>
        <v/>
      </c>
      <c r="V291" s="151" t="n">
        <f aca="false">IF(ISNUMBER(B291),IF(K291&gt;U291,I291*'13_Mapa_Liq'!$C$17,0),0)</f>
        <v>0</v>
      </c>
      <c r="W291" s="151" t="str">
        <f aca="false">IF(ISNUMBER(B291),B291*(1+1/'13_Mapa_Liq'!$B$17-'13_Mapa_Liq'!$B$6),"")</f>
        <v/>
      </c>
      <c r="X291" s="151" t="n">
        <f aca="false">IF(ISNUMBER(B291),IF(L291&lt;W291,J291*'13_Mapa_Liq'!$C$17,0),0)</f>
        <v>0</v>
      </c>
      <c r="Y291" s="151" t="str">
        <f aca="false">IF(ISNUMBER(B291),B291*(1-1/'13_Mapa_Liq'!$B$18+'13_Mapa_Liq'!$B$6),"")</f>
        <v/>
      </c>
      <c r="Z291" s="151" t="n">
        <f aca="false">IF(ISNUMBER(B291),IF(K291&gt;Y291,I291*'13_Mapa_Liq'!$C$18,0),0)</f>
        <v>0</v>
      </c>
      <c r="AA291" s="151" t="str">
        <f aca="false">IF(ISNUMBER(B291),B291*(1+1/'13_Mapa_Liq'!$B$18-'13_Mapa_Liq'!$B$6),"")</f>
        <v/>
      </c>
      <c r="AB291" s="151" t="n">
        <f aca="false">IF(ISNUMBER(B291),IF(L291&lt;AA291,J291*'13_Mapa_Liq'!$C$18,0),0)</f>
        <v>0</v>
      </c>
      <c r="AC291" s="151" t="str">
        <f aca="false">IF(ISNUMBER(B291),B291*(1-1/'13_Mapa_Liq'!$B$19+'13_Mapa_Liq'!$B$6),"")</f>
        <v/>
      </c>
      <c r="AD291" s="151" t="n">
        <f aca="false">IF(ISNUMBER(B291),IF(K291&gt;AC291,I291*'13_Mapa_Liq'!$C$19,0),0)</f>
        <v>0</v>
      </c>
      <c r="AE291" s="151" t="str">
        <f aca="false">IF(ISNUMBER(B291),B291*(1+1/'13_Mapa_Liq'!$B$19-'13_Mapa_Liq'!$B$6),"")</f>
        <v/>
      </c>
      <c r="AF291" s="151" t="n">
        <f aca="false">IF(ISNUMBER(B291),IF(L291&lt;AE291,J291*'13_Mapa_Liq'!$C$19,0),0)</f>
        <v>0</v>
      </c>
      <c r="AG291" s="151"/>
      <c r="AH291" s="151" t="n">
        <f aca="false">IF(ISNUMBER(B291),E291*F291*((K291&lt;=M291)*'13_Mapa_Liq'!$C$15+(K291&lt;=Q291)*'13_Mapa_Liq'!$C$16+(K291&lt;=U291)*'13_Mapa_Liq'!$C$17+(K291&lt;=Y291)*'13_Mapa_Liq'!$C$18+(K291&lt;=AC291)*'13_Mapa_Liq'!$C$19),0)</f>
        <v>0</v>
      </c>
      <c r="AI291" s="151" t="n">
        <f aca="false">IF(ISNUMBER(B291),E291*(1-F291)*((L291&gt;=O291)*'13_Mapa_Liq'!$C$15+(L291&gt;=S291)*'13_Mapa_Liq'!$C$16+(L291&gt;=W291)*'13_Mapa_Liq'!$C$17+(L291&gt;=AA291)*'13_Mapa_Liq'!$C$18+(L291&gt;=AE291)*'13_Mapa_Liq'!$C$19),0)</f>
        <v>0</v>
      </c>
    </row>
    <row r="292" customFormat="false" ht="15" hidden="false" customHeight="false" outlineLevel="0" collapsed="false">
      <c r="A292" s="151" t="str">
        <f aca="false">IF(ISNUMBER('12_Datos_5m'!F292),ROW()-4,"")</f>
        <v/>
      </c>
      <c r="B292" s="151" t="str">
        <f aca="false">IF(ISNUMBER('12_Datos_5m'!F292),'12_Datos_5m'!F292,"")</f>
        <v/>
      </c>
      <c r="C292" s="151" t="str">
        <f aca="false">IF(ISNUMBER('12_Datos_5m'!A292),'12_Datos_5m'!A292,"")</f>
        <v/>
      </c>
      <c r="D292" s="151" t="n">
        <f aca="false">IF(AND(ISNUMBER('12_Datos_5m'!I292),ISNUMBER('12_Datos_5m'!I291)),'12_Datos_5m'!I292-'12_Datos_5m'!I291,0)</f>
        <v>0</v>
      </c>
      <c r="E292" s="151" t="n">
        <f aca="false">MAX(0,D292)</f>
        <v>0</v>
      </c>
      <c r="F292" s="151" t="n">
        <f aca="false">IF(AND(ISNUMBER('12_Datos_5m'!G292),N('12_Datos_5m'!G292)&gt;0),'12_Datos_5m'!H292/'12_Datos_5m'!G292,0.5)</f>
        <v>0.5</v>
      </c>
      <c r="G292" s="151" t="n">
        <f aca="false">IF(ISNUMBER(C292),($C$2-C292)/3600000,0)</f>
        <v>0</v>
      </c>
      <c r="H292" s="151" t="n">
        <f aca="false">EXP(-G292/'13_Mapa_Liq'!$B$7)</f>
        <v>1</v>
      </c>
      <c r="I292" s="151" t="n">
        <f aca="false">E292*F292*H292</f>
        <v>0</v>
      </c>
      <c r="J292" s="151" t="n">
        <f aca="false">E292*(1-F292)*H292</f>
        <v>0</v>
      </c>
      <c r="K292" s="151" t="n">
        <f aca="false">IF(COUNT('12_Datos_5m'!E293:E$504)=0,1000000000000,MIN('12_Datos_5m'!E293:E$504))</f>
        <v>1000000000000</v>
      </c>
      <c r="L292" s="151" t="n">
        <f aca="false">IF(COUNT('12_Datos_5m'!D293:D$504)=0,0,MAX('12_Datos_5m'!D293:D$504))</f>
        <v>0</v>
      </c>
      <c r="M292" s="151" t="str">
        <f aca="false">IF(ISNUMBER(B292),B292*(1-1/'13_Mapa_Liq'!$B$15+'13_Mapa_Liq'!$B$6),"")</f>
        <v/>
      </c>
      <c r="N292" s="151" t="n">
        <f aca="false">IF(ISNUMBER(B292),IF(K292&gt;M292,I292*'13_Mapa_Liq'!$C$15,0),0)</f>
        <v>0</v>
      </c>
      <c r="O292" s="151" t="str">
        <f aca="false">IF(ISNUMBER(B292),B292*(1+1/'13_Mapa_Liq'!$B$15-'13_Mapa_Liq'!$B$6),"")</f>
        <v/>
      </c>
      <c r="P292" s="151" t="n">
        <f aca="false">IF(ISNUMBER(B292),IF(L292&lt;O292,J292*'13_Mapa_Liq'!$C$15,0),0)</f>
        <v>0</v>
      </c>
      <c r="Q292" s="151" t="str">
        <f aca="false">IF(ISNUMBER(B292),B292*(1-1/'13_Mapa_Liq'!$B$16+'13_Mapa_Liq'!$B$6),"")</f>
        <v/>
      </c>
      <c r="R292" s="151" t="n">
        <f aca="false">IF(ISNUMBER(B292),IF(K292&gt;Q292,I292*'13_Mapa_Liq'!$C$16,0),0)</f>
        <v>0</v>
      </c>
      <c r="S292" s="151" t="str">
        <f aca="false">IF(ISNUMBER(B292),B292*(1+1/'13_Mapa_Liq'!$B$16-'13_Mapa_Liq'!$B$6),"")</f>
        <v/>
      </c>
      <c r="T292" s="151" t="n">
        <f aca="false">IF(ISNUMBER(B292),IF(L292&lt;S292,J292*'13_Mapa_Liq'!$C$16,0),0)</f>
        <v>0</v>
      </c>
      <c r="U292" s="151" t="str">
        <f aca="false">IF(ISNUMBER(B292),B292*(1-1/'13_Mapa_Liq'!$B$17+'13_Mapa_Liq'!$B$6),"")</f>
        <v/>
      </c>
      <c r="V292" s="151" t="n">
        <f aca="false">IF(ISNUMBER(B292),IF(K292&gt;U292,I292*'13_Mapa_Liq'!$C$17,0),0)</f>
        <v>0</v>
      </c>
      <c r="W292" s="151" t="str">
        <f aca="false">IF(ISNUMBER(B292),B292*(1+1/'13_Mapa_Liq'!$B$17-'13_Mapa_Liq'!$B$6),"")</f>
        <v/>
      </c>
      <c r="X292" s="151" t="n">
        <f aca="false">IF(ISNUMBER(B292),IF(L292&lt;W292,J292*'13_Mapa_Liq'!$C$17,0),0)</f>
        <v>0</v>
      </c>
      <c r="Y292" s="151" t="str">
        <f aca="false">IF(ISNUMBER(B292),B292*(1-1/'13_Mapa_Liq'!$B$18+'13_Mapa_Liq'!$B$6),"")</f>
        <v/>
      </c>
      <c r="Z292" s="151" t="n">
        <f aca="false">IF(ISNUMBER(B292),IF(K292&gt;Y292,I292*'13_Mapa_Liq'!$C$18,0),0)</f>
        <v>0</v>
      </c>
      <c r="AA292" s="151" t="str">
        <f aca="false">IF(ISNUMBER(B292),B292*(1+1/'13_Mapa_Liq'!$B$18-'13_Mapa_Liq'!$B$6),"")</f>
        <v/>
      </c>
      <c r="AB292" s="151" t="n">
        <f aca="false">IF(ISNUMBER(B292),IF(L292&lt;AA292,J292*'13_Mapa_Liq'!$C$18,0),0)</f>
        <v>0</v>
      </c>
      <c r="AC292" s="151" t="str">
        <f aca="false">IF(ISNUMBER(B292),B292*(1-1/'13_Mapa_Liq'!$B$19+'13_Mapa_Liq'!$B$6),"")</f>
        <v/>
      </c>
      <c r="AD292" s="151" t="n">
        <f aca="false">IF(ISNUMBER(B292),IF(K292&gt;AC292,I292*'13_Mapa_Liq'!$C$19,0),0)</f>
        <v>0</v>
      </c>
      <c r="AE292" s="151" t="str">
        <f aca="false">IF(ISNUMBER(B292),B292*(1+1/'13_Mapa_Liq'!$B$19-'13_Mapa_Liq'!$B$6),"")</f>
        <v/>
      </c>
      <c r="AF292" s="151" t="n">
        <f aca="false">IF(ISNUMBER(B292),IF(L292&lt;AE292,J292*'13_Mapa_Liq'!$C$19,0),0)</f>
        <v>0</v>
      </c>
      <c r="AG292" s="151"/>
      <c r="AH292" s="151" t="n">
        <f aca="false">IF(ISNUMBER(B292),E292*F292*((K292&lt;=M292)*'13_Mapa_Liq'!$C$15+(K292&lt;=Q292)*'13_Mapa_Liq'!$C$16+(K292&lt;=U292)*'13_Mapa_Liq'!$C$17+(K292&lt;=Y292)*'13_Mapa_Liq'!$C$18+(K292&lt;=AC292)*'13_Mapa_Liq'!$C$19),0)</f>
        <v>0</v>
      </c>
      <c r="AI292" s="151" t="n">
        <f aca="false">IF(ISNUMBER(B292),E292*(1-F292)*((L292&gt;=O292)*'13_Mapa_Liq'!$C$15+(L292&gt;=S292)*'13_Mapa_Liq'!$C$16+(L292&gt;=W292)*'13_Mapa_Liq'!$C$17+(L292&gt;=AA292)*'13_Mapa_Liq'!$C$18+(L292&gt;=AE292)*'13_Mapa_Liq'!$C$19),0)</f>
        <v>0</v>
      </c>
    </row>
    <row r="293" customFormat="false" ht="15" hidden="false" customHeight="false" outlineLevel="0" collapsed="false">
      <c r="A293" s="151" t="str">
        <f aca="false">IF(ISNUMBER('12_Datos_5m'!F293),ROW()-4,"")</f>
        <v/>
      </c>
      <c r="B293" s="151" t="str">
        <f aca="false">IF(ISNUMBER('12_Datos_5m'!F293),'12_Datos_5m'!F293,"")</f>
        <v/>
      </c>
      <c r="C293" s="151" t="str">
        <f aca="false">IF(ISNUMBER('12_Datos_5m'!A293),'12_Datos_5m'!A293,"")</f>
        <v/>
      </c>
      <c r="D293" s="151" t="n">
        <f aca="false">IF(AND(ISNUMBER('12_Datos_5m'!I293),ISNUMBER('12_Datos_5m'!I292)),'12_Datos_5m'!I293-'12_Datos_5m'!I292,0)</f>
        <v>0</v>
      </c>
      <c r="E293" s="151" t="n">
        <f aca="false">MAX(0,D293)</f>
        <v>0</v>
      </c>
      <c r="F293" s="151" t="n">
        <f aca="false">IF(AND(ISNUMBER('12_Datos_5m'!G293),N('12_Datos_5m'!G293)&gt;0),'12_Datos_5m'!H293/'12_Datos_5m'!G293,0.5)</f>
        <v>0.5</v>
      </c>
      <c r="G293" s="151" t="n">
        <f aca="false">IF(ISNUMBER(C293),($C$2-C293)/3600000,0)</f>
        <v>0</v>
      </c>
      <c r="H293" s="151" t="n">
        <f aca="false">EXP(-G293/'13_Mapa_Liq'!$B$7)</f>
        <v>1</v>
      </c>
      <c r="I293" s="151" t="n">
        <f aca="false">E293*F293*H293</f>
        <v>0</v>
      </c>
      <c r="J293" s="151" t="n">
        <f aca="false">E293*(1-F293)*H293</f>
        <v>0</v>
      </c>
      <c r="K293" s="151" t="n">
        <f aca="false">IF(COUNT('12_Datos_5m'!E294:E$504)=0,1000000000000,MIN('12_Datos_5m'!E294:E$504))</f>
        <v>1000000000000</v>
      </c>
      <c r="L293" s="151" t="n">
        <f aca="false">IF(COUNT('12_Datos_5m'!D294:D$504)=0,0,MAX('12_Datos_5m'!D294:D$504))</f>
        <v>0</v>
      </c>
      <c r="M293" s="151" t="str">
        <f aca="false">IF(ISNUMBER(B293),B293*(1-1/'13_Mapa_Liq'!$B$15+'13_Mapa_Liq'!$B$6),"")</f>
        <v/>
      </c>
      <c r="N293" s="151" t="n">
        <f aca="false">IF(ISNUMBER(B293),IF(K293&gt;M293,I293*'13_Mapa_Liq'!$C$15,0),0)</f>
        <v>0</v>
      </c>
      <c r="O293" s="151" t="str">
        <f aca="false">IF(ISNUMBER(B293),B293*(1+1/'13_Mapa_Liq'!$B$15-'13_Mapa_Liq'!$B$6),"")</f>
        <v/>
      </c>
      <c r="P293" s="151" t="n">
        <f aca="false">IF(ISNUMBER(B293),IF(L293&lt;O293,J293*'13_Mapa_Liq'!$C$15,0),0)</f>
        <v>0</v>
      </c>
      <c r="Q293" s="151" t="str">
        <f aca="false">IF(ISNUMBER(B293),B293*(1-1/'13_Mapa_Liq'!$B$16+'13_Mapa_Liq'!$B$6),"")</f>
        <v/>
      </c>
      <c r="R293" s="151" t="n">
        <f aca="false">IF(ISNUMBER(B293),IF(K293&gt;Q293,I293*'13_Mapa_Liq'!$C$16,0),0)</f>
        <v>0</v>
      </c>
      <c r="S293" s="151" t="str">
        <f aca="false">IF(ISNUMBER(B293),B293*(1+1/'13_Mapa_Liq'!$B$16-'13_Mapa_Liq'!$B$6),"")</f>
        <v/>
      </c>
      <c r="T293" s="151" t="n">
        <f aca="false">IF(ISNUMBER(B293),IF(L293&lt;S293,J293*'13_Mapa_Liq'!$C$16,0),0)</f>
        <v>0</v>
      </c>
      <c r="U293" s="151" t="str">
        <f aca="false">IF(ISNUMBER(B293),B293*(1-1/'13_Mapa_Liq'!$B$17+'13_Mapa_Liq'!$B$6),"")</f>
        <v/>
      </c>
      <c r="V293" s="151" t="n">
        <f aca="false">IF(ISNUMBER(B293),IF(K293&gt;U293,I293*'13_Mapa_Liq'!$C$17,0),0)</f>
        <v>0</v>
      </c>
      <c r="W293" s="151" t="str">
        <f aca="false">IF(ISNUMBER(B293),B293*(1+1/'13_Mapa_Liq'!$B$17-'13_Mapa_Liq'!$B$6),"")</f>
        <v/>
      </c>
      <c r="X293" s="151" t="n">
        <f aca="false">IF(ISNUMBER(B293),IF(L293&lt;W293,J293*'13_Mapa_Liq'!$C$17,0),0)</f>
        <v>0</v>
      </c>
      <c r="Y293" s="151" t="str">
        <f aca="false">IF(ISNUMBER(B293),B293*(1-1/'13_Mapa_Liq'!$B$18+'13_Mapa_Liq'!$B$6),"")</f>
        <v/>
      </c>
      <c r="Z293" s="151" t="n">
        <f aca="false">IF(ISNUMBER(B293),IF(K293&gt;Y293,I293*'13_Mapa_Liq'!$C$18,0),0)</f>
        <v>0</v>
      </c>
      <c r="AA293" s="151" t="str">
        <f aca="false">IF(ISNUMBER(B293),B293*(1+1/'13_Mapa_Liq'!$B$18-'13_Mapa_Liq'!$B$6),"")</f>
        <v/>
      </c>
      <c r="AB293" s="151" t="n">
        <f aca="false">IF(ISNUMBER(B293),IF(L293&lt;AA293,J293*'13_Mapa_Liq'!$C$18,0),0)</f>
        <v>0</v>
      </c>
      <c r="AC293" s="151" t="str">
        <f aca="false">IF(ISNUMBER(B293),B293*(1-1/'13_Mapa_Liq'!$B$19+'13_Mapa_Liq'!$B$6),"")</f>
        <v/>
      </c>
      <c r="AD293" s="151" t="n">
        <f aca="false">IF(ISNUMBER(B293),IF(K293&gt;AC293,I293*'13_Mapa_Liq'!$C$19,0),0)</f>
        <v>0</v>
      </c>
      <c r="AE293" s="151" t="str">
        <f aca="false">IF(ISNUMBER(B293),B293*(1+1/'13_Mapa_Liq'!$B$19-'13_Mapa_Liq'!$B$6),"")</f>
        <v/>
      </c>
      <c r="AF293" s="151" t="n">
        <f aca="false">IF(ISNUMBER(B293),IF(L293&lt;AE293,J293*'13_Mapa_Liq'!$C$19,0),0)</f>
        <v>0</v>
      </c>
      <c r="AG293" s="151"/>
      <c r="AH293" s="151" t="n">
        <f aca="false">IF(ISNUMBER(B293),E293*F293*((K293&lt;=M293)*'13_Mapa_Liq'!$C$15+(K293&lt;=Q293)*'13_Mapa_Liq'!$C$16+(K293&lt;=U293)*'13_Mapa_Liq'!$C$17+(K293&lt;=Y293)*'13_Mapa_Liq'!$C$18+(K293&lt;=AC293)*'13_Mapa_Liq'!$C$19),0)</f>
        <v>0</v>
      </c>
      <c r="AI293" s="151" t="n">
        <f aca="false">IF(ISNUMBER(B293),E293*(1-F293)*((L293&gt;=O293)*'13_Mapa_Liq'!$C$15+(L293&gt;=S293)*'13_Mapa_Liq'!$C$16+(L293&gt;=W293)*'13_Mapa_Liq'!$C$17+(L293&gt;=AA293)*'13_Mapa_Liq'!$C$18+(L293&gt;=AE293)*'13_Mapa_Liq'!$C$19),0)</f>
        <v>0</v>
      </c>
    </row>
    <row r="294" customFormat="false" ht="15" hidden="false" customHeight="false" outlineLevel="0" collapsed="false">
      <c r="A294" s="151" t="str">
        <f aca="false">IF(ISNUMBER('12_Datos_5m'!F294),ROW()-4,"")</f>
        <v/>
      </c>
      <c r="B294" s="151" t="str">
        <f aca="false">IF(ISNUMBER('12_Datos_5m'!F294),'12_Datos_5m'!F294,"")</f>
        <v/>
      </c>
      <c r="C294" s="151" t="str">
        <f aca="false">IF(ISNUMBER('12_Datos_5m'!A294),'12_Datos_5m'!A294,"")</f>
        <v/>
      </c>
      <c r="D294" s="151" t="n">
        <f aca="false">IF(AND(ISNUMBER('12_Datos_5m'!I294),ISNUMBER('12_Datos_5m'!I293)),'12_Datos_5m'!I294-'12_Datos_5m'!I293,0)</f>
        <v>0</v>
      </c>
      <c r="E294" s="151" t="n">
        <f aca="false">MAX(0,D294)</f>
        <v>0</v>
      </c>
      <c r="F294" s="151" t="n">
        <f aca="false">IF(AND(ISNUMBER('12_Datos_5m'!G294),N('12_Datos_5m'!G294)&gt;0),'12_Datos_5m'!H294/'12_Datos_5m'!G294,0.5)</f>
        <v>0.5</v>
      </c>
      <c r="G294" s="151" t="n">
        <f aca="false">IF(ISNUMBER(C294),($C$2-C294)/3600000,0)</f>
        <v>0</v>
      </c>
      <c r="H294" s="151" t="n">
        <f aca="false">EXP(-G294/'13_Mapa_Liq'!$B$7)</f>
        <v>1</v>
      </c>
      <c r="I294" s="151" t="n">
        <f aca="false">E294*F294*H294</f>
        <v>0</v>
      </c>
      <c r="J294" s="151" t="n">
        <f aca="false">E294*(1-F294)*H294</f>
        <v>0</v>
      </c>
      <c r="K294" s="151" t="n">
        <f aca="false">IF(COUNT('12_Datos_5m'!E295:E$504)=0,1000000000000,MIN('12_Datos_5m'!E295:E$504))</f>
        <v>1000000000000</v>
      </c>
      <c r="L294" s="151" t="n">
        <f aca="false">IF(COUNT('12_Datos_5m'!D295:D$504)=0,0,MAX('12_Datos_5m'!D295:D$504))</f>
        <v>0</v>
      </c>
      <c r="M294" s="151" t="str">
        <f aca="false">IF(ISNUMBER(B294),B294*(1-1/'13_Mapa_Liq'!$B$15+'13_Mapa_Liq'!$B$6),"")</f>
        <v/>
      </c>
      <c r="N294" s="151" t="n">
        <f aca="false">IF(ISNUMBER(B294),IF(K294&gt;M294,I294*'13_Mapa_Liq'!$C$15,0),0)</f>
        <v>0</v>
      </c>
      <c r="O294" s="151" t="str">
        <f aca="false">IF(ISNUMBER(B294),B294*(1+1/'13_Mapa_Liq'!$B$15-'13_Mapa_Liq'!$B$6),"")</f>
        <v/>
      </c>
      <c r="P294" s="151" t="n">
        <f aca="false">IF(ISNUMBER(B294),IF(L294&lt;O294,J294*'13_Mapa_Liq'!$C$15,0),0)</f>
        <v>0</v>
      </c>
      <c r="Q294" s="151" t="str">
        <f aca="false">IF(ISNUMBER(B294),B294*(1-1/'13_Mapa_Liq'!$B$16+'13_Mapa_Liq'!$B$6),"")</f>
        <v/>
      </c>
      <c r="R294" s="151" t="n">
        <f aca="false">IF(ISNUMBER(B294),IF(K294&gt;Q294,I294*'13_Mapa_Liq'!$C$16,0),0)</f>
        <v>0</v>
      </c>
      <c r="S294" s="151" t="str">
        <f aca="false">IF(ISNUMBER(B294),B294*(1+1/'13_Mapa_Liq'!$B$16-'13_Mapa_Liq'!$B$6),"")</f>
        <v/>
      </c>
      <c r="T294" s="151" t="n">
        <f aca="false">IF(ISNUMBER(B294),IF(L294&lt;S294,J294*'13_Mapa_Liq'!$C$16,0),0)</f>
        <v>0</v>
      </c>
      <c r="U294" s="151" t="str">
        <f aca="false">IF(ISNUMBER(B294),B294*(1-1/'13_Mapa_Liq'!$B$17+'13_Mapa_Liq'!$B$6),"")</f>
        <v/>
      </c>
      <c r="V294" s="151" t="n">
        <f aca="false">IF(ISNUMBER(B294),IF(K294&gt;U294,I294*'13_Mapa_Liq'!$C$17,0),0)</f>
        <v>0</v>
      </c>
      <c r="W294" s="151" t="str">
        <f aca="false">IF(ISNUMBER(B294),B294*(1+1/'13_Mapa_Liq'!$B$17-'13_Mapa_Liq'!$B$6),"")</f>
        <v/>
      </c>
      <c r="X294" s="151" t="n">
        <f aca="false">IF(ISNUMBER(B294),IF(L294&lt;W294,J294*'13_Mapa_Liq'!$C$17,0),0)</f>
        <v>0</v>
      </c>
      <c r="Y294" s="151" t="str">
        <f aca="false">IF(ISNUMBER(B294),B294*(1-1/'13_Mapa_Liq'!$B$18+'13_Mapa_Liq'!$B$6),"")</f>
        <v/>
      </c>
      <c r="Z294" s="151" t="n">
        <f aca="false">IF(ISNUMBER(B294),IF(K294&gt;Y294,I294*'13_Mapa_Liq'!$C$18,0),0)</f>
        <v>0</v>
      </c>
      <c r="AA294" s="151" t="str">
        <f aca="false">IF(ISNUMBER(B294),B294*(1+1/'13_Mapa_Liq'!$B$18-'13_Mapa_Liq'!$B$6),"")</f>
        <v/>
      </c>
      <c r="AB294" s="151" t="n">
        <f aca="false">IF(ISNUMBER(B294),IF(L294&lt;AA294,J294*'13_Mapa_Liq'!$C$18,0),0)</f>
        <v>0</v>
      </c>
      <c r="AC294" s="151" t="str">
        <f aca="false">IF(ISNUMBER(B294),B294*(1-1/'13_Mapa_Liq'!$B$19+'13_Mapa_Liq'!$B$6),"")</f>
        <v/>
      </c>
      <c r="AD294" s="151" t="n">
        <f aca="false">IF(ISNUMBER(B294),IF(K294&gt;AC294,I294*'13_Mapa_Liq'!$C$19,0),0)</f>
        <v>0</v>
      </c>
      <c r="AE294" s="151" t="str">
        <f aca="false">IF(ISNUMBER(B294),B294*(1+1/'13_Mapa_Liq'!$B$19-'13_Mapa_Liq'!$B$6),"")</f>
        <v/>
      </c>
      <c r="AF294" s="151" t="n">
        <f aca="false">IF(ISNUMBER(B294),IF(L294&lt;AE294,J294*'13_Mapa_Liq'!$C$19,0),0)</f>
        <v>0</v>
      </c>
      <c r="AG294" s="151"/>
      <c r="AH294" s="151" t="n">
        <f aca="false">IF(ISNUMBER(B294),E294*F294*((K294&lt;=M294)*'13_Mapa_Liq'!$C$15+(K294&lt;=Q294)*'13_Mapa_Liq'!$C$16+(K294&lt;=U294)*'13_Mapa_Liq'!$C$17+(K294&lt;=Y294)*'13_Mapa_Liq'!$C$18+(K294&lt;=AC294)*'13_Mapa_Liq'!$C$19),0)</f>
        <v>0</v>
      </c>
      <c r="AI294" s="151" t="n">
        <f aca="false">IF(ISNUMBER(B294),E294*(1-F294)*((L294&gt;=O294)*'13_Mapa_Liq'!$C$15+(L294&gt;=S294)*'13_Mapa_Liq'!$C$16+(L294&gt;=W294)*'13_Mapa_Liq'!$C$17+(L294&gt;=AA294)*'13_Mapa_Liq'!$C$18+(L294&gt;=AE294)*'13_Mapa_Liq'!$C$19),0)</f>
        <v>0</v>
      </c>
    </row>
    <row r="295" customFormat="false" ht="15" hidden="false" customHeight="false" outlineLevel="0" collapsed="false">
      <c r="A295" s="151" t="str">
        <f aca="false">IF(ISNUMBER('12_Datos_5m'!F295),ROW()-4,"")</f>
        <v/>
      </c>
      <c r="B295" s="151" t="str">
        <f aca="false">IF(ISNUMBER('12_Datos_5m'!F295),'12_Datos_5m'!F295,"")</f>
        <v/>
      </c>
      <c r="C295" s="151" t="str">
        <f aca="false">IF(ISNUMBER('12_Datos_5m'!A295),'12_Datos_5m'!A295,"")</f>
        <v/>
      </c>
      <c r="D295" s="151" t="n">
        <f aca="false">IF(AND(ISNUMBER('12_Datos_5m'!I295),ISNUMBER('12_Datos_5m'!I294)),'12_Datos_5m'!I295-'12_Datos_5m'!I294,0)</f>
        <v>0</v>
      </c>
      <c r="E295" s="151" t="n">
        <f aca="false">MAX(0,D295)</f>
        <v>0</v>
      </c>
      <c r="F295" s="151" t="n">
        <f aca="false">IF(AND(ISNUMBER('12_Datos_5m'!G295),N('12_Datos_5m'!G295)&gt;0),'12_Datos_5m'!H295/'12_Datos_5m'!G295,0.5)</f>
        <v>0.5</v>
      </c>
      <c r="G295" s="151" t="n">
        <f aca="false">IF(ISNUMBER(C295),($C$2-C295)/3600000,0)</f>
        <v>0</v>
      </c>
      <c r="H295" s="151" t="n">
        <f aca="false">EXP(-G295/'13_Mapa_Liq'!$B$7)</f>
        <v>1</v>
      </c>
      <c r="I295" s="151" t="n">
        <f aca="false">E295*F295*H295</f>
        <v>0</v>
      </c>
      <c r="J295" s="151" t="n">
        <f aca="false">E295*(1-F295)*H295</f>
        <v>0</v>
      </c>
      <c r="K295" s="151" t="n">
        <f aca="false">IF(COUNT('12_Datos_5m'!E296:E$504)=0,1000000000000,MIN('12_Datos_5m'!E296:E$504))</f>
        <v>1000000000000</v>
      </c>
      <c r="L295" s="151" t="n">
        <f aca="false">IF(COUNT('12_Datos_5m'!D296:D$504)=0,0,MAX('12_Datos_5m'!D296:D$504))</f>
        <v>0</v>
      </c>
      <c r="M295" s="151" t="str">
        <f aca="false">IF(ISNUMBER(B295),B295*(1-1/'13_Mapa_Liq'!$B$15+'13_Mapa_Liq'!$B$6),"")</f>
        <v/>
      </c>
      <c r="N295" s="151" t="n">
        <f aca="false">IF(ISNUMBER(B295),IF(K295&gt;M295,I295*'13_Mapa_Liq'!$C$15,0),0)</f>
        <v>0</v>
      </c>
      <c r="O295" s="151" t="str">
        <f aca="false">IF(ISNUMBER(B295),B295*(1+1/'13_Mapa_Liq'!$B$15-'13_Mapa_Liq'!$B$6),"")</f>
        <v/>
      </c>
      <c r="P295" s="151" t="n">
        <f aca="false">IF(ISNUMBER(B295),IF(L295&lt;O295,J295*'13_Mapa_Liq'!$C$15,0),0)</f>
        <v>0</v>
      </c>
      <c r="Q295" s="151" t="str">
        <f aca="false">IF(ISNUMBER(B295),B295*(1-1/'13_Mapa_Liq'!$B$16+'13_Mapa_Liq'!$B$6),"")</f>
        <v/>
      </c>
      <c r="R295" s="151" t="n">
        <f aca="false">IF(ISNUMBER(B295),IF(K295&gt;Q295,I295*'13_Mapa_Liq'!$C$16,0),0)</f>
        <v>0</v>
      </c>
      <c r="S295" s="151" t="str">
        <f aca="false">IF(ISNUMBER(B295),B295*(1+1/'13_Mapa_Liq'!$B$16-'13_Mapa_Liq'!$B$6),"")</f>
        <v/>
      </c>
      <c r="T295" s="151" t="n">
        <f aca="false">IF(ISNUMBER(B295),IF(L295&lt;S295,J295*'13_Mapa_Liq'!$C$16,0),0)</f>
        <v>0</v>
      </c>
      <c r="U295" s="151" t="str">
        <f aca="false">IF(ISNUMBER(B295),B295*(1-1/'13_Mapa_Liq'!$B$17+'13_Mapa_Liq'!$B$6),"")</f>
        <v/>
      </c>
      <c r="V295" s="151" t="n">
        <f aca="false">IF(ISNUMBER(B295),IF(K295&gt;U295,I295*'13_Mapa_Liq'!$C$17,0),0)</f>
        <v>0</v>
      </c>
      <c r="W295" s="151" t="str">
        <f aca="false">IF(ISNUMBER(B295),B295*(1+1/'13_Mapa_Liq'!$B$17-'13_Mapa_Liq'!$B$6),"")</f>
        <v/>
      </c>
      <c r="X295" s="151" t="n">
        <f aca="false">IF(ISNUMBER(B295),IF(L295&lt;W295,J295*'13_Mapa_Liq'!$C$17,0),0)</f>
        <v>0</v>
      </c>
      <c r="Y295" s="151" t="str">
        <f aca="false">IF(ISNUMBER(B295),B295*(1-1/'13_Mapa_Liq'!$B$18+'13_Mapa_Liq'!$B$6),"")</f>
        <v/>
      </c>
      <c r="Z295" s="151" t="n">
        <f aca="false">IF(ISNUMBER(B295),IF(K295&gt;Y295,I295*'13_Mapa_Liq'!$C$18,0),0)</f>
        <v>0</v>
      </c>
      <c r="AA295" s="151" t="str">
        <f aca="false">IF(ISNUMBER(B295),B295*(1+1/'13_Mapa_Liq'!$B$18-'13_Mapa_Liq'!$B$6),"")</f>
        <v/>
      </c>
      <c r="AB295" s="151" t="n">
        <f aca="false">IF(ISNUMBER(B295),IF(L295&lt;AA295,J295*'13_Mapa_Liq'!$C$18,0),0)</f>
        <v>0</v>
      </c>
      <c r="AC295" s="151" t="str">
        <f aca="false">IF(ISNUMBER(B295),B295*(1-1/'13_Mapa_Liq'!$B$19+'13_Mapa_Liq'!$B$6),"")</f>
        <v/>
      </c>
      <c r="AD295" s="151" t="n">
        <f aca="false">IF(ISNUMBER(B295),IF(K295&gt;AC295,I295*'13_Mapa_Liq'!$C$19,0),0)</f>
        <v>0</v>
      </c>
      <c r="AE295" s="151" t="str">
        <f aca="false">IF(ISNUMBER(B295),B295*(1+1/'13_Mapa_Liq'!$B$19-'13_Mapa_Liq'!$B$6),"")</f>
        <v/>
      </c>
      <c r="AF295" s="151" t="n">
        <f aca="false">IF(ISNUMBER(B295),IF(L295&lt;AE295,J295*'13_Mapa_Liq'!$C$19,0),0)</f>
        <v>0</v>
      </c>
      <c r="AG295" s="151"/>
      <c r="AH295" s="151" t="n">
        <f aca="false">IF(ISNUMBER(B295),E295*F295*((K295&lt;=M295)*'13_Mapa_Liq'!$C$15+(K295&lt;=Q295)*'13_Mapa_Liq'!$C$16+(K295&lt;=U295)*'13_Mapa_Liq'!$C$17+(K295&lt;=Y295)*'13_Mapa_Liq'!$C$18+(K295&lt;=AC295)*'13_Mapa_Liq'!$C$19),0)</f>
        <v>0</v>
      </c>
      <c r="AI295" s="151" t="n">
        <f aca="false">IF(ISNUMBER(B295),E295*(1-F295)*((L295&gt;=O295)*'13_Mapa_Liq'!$C$15+(L295&gt;=S295)*'13_Mapa_Liq'!$C$16+(L295&gt;=W295)*'13_Mapa_Liq'!$C$17+(L295&gt;=AA295)*'13_Mapa_Liq'!$C$18+(L295&gt;=AE295)*'13_Mapa_Liq'!$C$19),0)</f>
        <v>0</v>
      </c>
    </row>
    <row r="296" customFormat="false" ht="15" hidden="false" customHeight="false" outlineLevel="0" collapsed="false">
      <c r="A296" s="151" t="str">
        <f aca="false">IF(ISNUMBER('12_Datos_5m'!F296),ROW()-4,"")</f>
        <v/>
      </c>
      <c r="B296" s="151" t="str">
        <f aca="false">IF(ISNUMBER('12_Datos_5m'!F296),'12_Datos_5m'!F296,"")</f>
        <v/>
      </c>
      <c r="C296" s="151" t="str">
        <f aca="false">IF(ISNUMBER('12_Datos_5m'!A296),'12_Datos_5m'!A296,"")</f>
        <v/>
      </c>
      <c r="D296" s="151" t="n">
        <f aca="false">IF(AND(ISNUMBER('12_Datos_5m'!I296),ISNUMBER('12_Datos_5m'!I295)),'12_Datos_5m'!I296-'12_Datos_5m'!I295,0)</f>
        <v>0</v>
      </c>
      <c r="E296" s="151" t="n">
        <f aca="false">MAX(0,D296)</f>
        <v>0</v>
      </c>
      <c r="F296" s="151" t="n">
        <f aca="false">IF(AND(ISNUMBER('12_Datos_5m'!G296),N('12_Datos_5m'!G296)&gt;0),'12_Datos_5m'!H296/'12_Datos_5m'!G296,0.5)</f>
        <v>0.5</v>
      </c>
      <c r="G296" s="151" t="n">
        <f aca="false">IF(ISNUMBER(C296),($C$2-C296)/3600000,0)</f>
        <v>0</v>
      </c>
      <c r="H296" s="151" t="n">
        <f aca="false">EXP(-G296/'13_Mapa_Liq'!$B$7)</f>
        <v>1</v>
      </c>
      <c r="I296" s="151" t="n">
        <f aca="false">E296*F296*H296</f>
        <v>0</v>
      </c>
      <c r="J296" s="151" t="n">
        <f aca="false">E296*(1-F296)*H296</f>
        <v>0</v>
      </c>
      <c r="K296" s="151" t="n">
        <f aca="false">IF(COUNT('12_Datos_5m'!E297:E$504)=0,1000000000000,MIN('12_Datos_5m'!E297:E$504))</f>
        <v>1000000000000</v>
      </c>
      <c r="L296" s="151" t="n">
        <f aca="false">IF(COUNT('12_Datos_5m'!D297:D$504)=0,0,MAX('12_Datos_5m'!D297:D$504))</f>
        <v>0</v>
      </c>
      <c r="M296" s="151" t="str">
        <f aca="false">IF(ISNUMBER(B296),B296*(1-1/'13_Mapa_Liq'!$B$15+'13_Mapa_Liq'!$B$6),"")</f>
        <v/>
      </c>
      <c r="N296" s="151" t="n">
        <f aca="false">IF(ISNUMBER(B296),IF(K296&gt;M296,I296*'13_Mapa_Liq'!$C$15,0),0)</f>
        <v>0</v>
      </c>
      <c r="O296" s="151" t="str">
        <f aca="false">IF(ISNUMBER(B296),B296*(1+1/'13_Mapa_Liq'!$B$15-'13_Mapa_Liq'!$B$6),"")</f>
        <v/>
      </c>
      <c r="P296" s="151" t="n">
        <f aca="false">IF(ISNUMBER(B296),IF(L296&lt;O296,J296*'13_Mapa_Liq'!$C$15,0),0)</f>
        <v>0</v>
      </c>
      <c r="Q296" s="151" t="str">
        <f aca="false">IF(ISNUMBER(B296),B296*(1-1/'13_Mapa_Liq'!$B$16+'13_Mapa_Liq'!$B$6),"")</f>
        <v/>
      </c>
      <c r="R296" s="151" t="n">
        <f aca="false">IF(ISNUMBER(B296),IF(K296&gt;Q296,I296*'13_Mapa_Liq'!$C$16,0),0)</f>
        <v>0</v>
      </c>
      <c r="S296" s="151" t="str">
        <f aca="false">IF(ISNUMBER(B296),B296*(1+1/'13_Mapa_Liq'!$B$16-'13_Mapa_Liq'!$B$6),"")</f>
        <v/>
      </c>
      <c r="T296" s="151" t="n">
        <f aca="false">IF(ISNUMBER(B296),IF(L296&lt;S296,J296*'13_Mapa_Liq'!$C$16,0),0)</f>
        <v>0</v>
      </c>
      <c r="U296" s="151" t="str">
        <f aca="false">IF(ISNUMBER(B296),B296*(1-1/'13_Mapa_Liq'!$B$17+'13_Mapa_Liq'!$B$6),"")</f>
        <v/>
      </c>
      <c r="V296" s="151" t="n">
        <f aca="false">IF(ISNUMBER(B296),IF(K296&gt;U296,I296*'13_Mapa_Liq'!$C$17,0),0)</f>
        <v>0</v>
      </c>
      <c r="W296" s="151" t="str">
        <f aca="false">IF(ISNUMBER(B296),B296*(1+1/'13_Mapa_Liq'!$B$17-'13_Mapa_Liq'!$B$6),"")</f>
        <v/>
      </c>
      <c r="X296" s="151" t="n">
        <f aca="false">IF(ISNUMBER(B296),IF(L296&lt;W296,J296*'13_Mapa_Liq'!$C$17,0),0)</f>
        <v>0</v>
      </c>
      <c r="Y296" s="151" t="str">
        <f aca="false">IF(ISNUMBER(B296),B296*(1-1/'13_Mapa_Liq'!$B$18+'13_Mapa_Liq'!$B$6),"")</f>
        <v/>
      </c>
      <c r="Z296" s="151" t="n">
        <f aca="false">IF(ISNUMBER(B296),IF(K296&gt;Y296,I296*'13_Mapa_Liq'!$C$18,0),0)</f>
        <v>0</v>
      </c>
      <c r="AA296" s="151" t="str">
        <f aca="false">IF(ISNUMBER(B296),B296*(1+1/'13_Mapa_Liq'!$B$18-'13_Mapa_Liq'!$B$6),"")</f>
        <v/>
      </c>
      <c r="AB296" s="151" t="n">
        <f aca="false">IF(ISNUMBER(B296),IF(L296&lt;AA296,J296*'13_Mapa_Liq'!$C$18,0),0)</f>
        <v>0</v>
      </c>
      <c r="AC296" s="151" t="str">
        <f aca="false">IF(ISNUMBER(B296),B296*(1-1/'13_Mapa_Liq'!$B$19+'13_Mapa_Liq'!$B$6),"")</f>
        <v/>
      </c>
      <c r="AD296" s="151" t="n">
        <f aca="false">IF(ISNUMBER(B296),IF(K296&gt;AC296,I296*'13_Mapa_Liq'!$C$19,0),0)</f>
        <v>0</v>
      </c>
      <c r="AE296" s="151" t="str">
        <f aca="false">IF(ISNUMBER(B296),B296*(1+1/'13_Mapa_Liq'!$B$19-'13_Mapa_Liq'!$B$6),"")</f>
        <v/>
      </c>
      <c r="AF296" s="151" t="n">
        <f aca="false">IF(ISNUMBER(B296),IF(L296&lt;AE296,J296*'13_Mapa_Liq'!$C$19,0),0)</f>
        <v>0</v>
      </c>
      <c r="AG296" s="151"/>
      <c r="AH296" s="151" t="n">
        <f aca="false">IF(ISNUMBER(B296),E296*F296*((K296&lt;=M296)*'13_Mapa_Liq'!$C$15+(K296&lt;=Q296)*'13_Mapa_Liq'!$C$16+(K296&lt;=U296)*'13_Mapa_Liq'!$C$17+(K296&lt;=Y296)*'13_Mapa_Liq'!$C$18+(K296&lt;=AC296)*'13_Mapa_Liq'!$C$19),0)</f>
        <v>0</v>
      </c>
      <c r="AI296" s="151" t="n">
        <f aca="false">IF(ISNUMBER(B296),E296*(1-F296)*((L296&gt;=O296)*'13_Mapa_Liq'!$C$15+(L296&gt;=S296)*'13_Mapa_Liq'!$C$16+(L296&gt;=W296)*'13_Mapa_Liq'!$C$17+(L296&gt;=AA296)*'13_Mapa_Liq'!$C$18+(L296&gt;=AE296)*'13_Mapa_Liq'!$C$19),0)</f>
        <v>0</v>
      </c>
    </row>
    <row r="297" customFormat="false" ht="15" hidden="false" customHeight="false" outlineLevel="0" collapsed="false">
      <c r="A297" s="151" t="str">
        <f aca="false">IF(ISNUMBER('12_Datos_5m'!F297),ROW()-4,"")</f>
        <v/>
      </c>
      <c r="B297" s="151" t="str">
        <f aca="false">IF(ISNUMBER('12_Datos_5m'!F297),'12_Datos_5m'!F297,"")</f>
        <v/>
      </c>
      <c r="C297" s="151" t="str">
        <f aca="false">IF(ISNUMBER('12_Datos_5m'!A297),'12_Datos_5m'!A297,"")</f>
        <v/>
      </c>
      <c r="D297" s="151" t="n">
        <f aca="false">IF(AND(ISNUMBER('12_Datos_5m'!I297),ISNUMBER('12_Datos_5m'!I296)),'12_Datos_5m'!I297-'12_Datos_5m'!I296,0)</f>
        <v>0</v>
      </c>
      <c r="E297" s="151" t="n">
        <f aca="false">MAX(0,D297)</f>
        <v>0</v>
      </c>
      <c r="F297" s="151" t="n">
        <f aca="false">IF(AND(ISNUMBER('12_Datos_5m'!G297),N('12_Datos_5m'!G297)&gt;0),'12_Datos_5m'!H297/'12_Datos_5m'!G297,0.5)</f>
        <v>0.5</v>
      </c>
      <c r="G297" s="151" t="n">
        <f aca="false">IF(ISNUMBER(C297),($C$2-C297)/3600000,0)</f>
        <v>0</v>
      </c>
      <c r="H297" s="151" t="n">
        <f aca="false">EXP(-G297/'13_Mapa_Liq'!$B$7)</f>
        <v>1</v>
      </c>
      <c r="I297" s="151" t="n">
        <f aca="false">E297*F297*H297</f>
        <v>0</v>
      </c>
      <c r="J297" s="151" t="n">
        <f aca="false">E297*(1-F297)*H297</f>
        <v>0</v>
      </c>
      <c r="K297" s="151" t="n">
        <f aca="false">IF(COUNT('12_Datos_5m'!E298:E$504)=0,1000000000000,MIN('12_Datos_5m'!E298:E$504))</f>
        <v>1000000000000</v>
      </c>
      <c r="L297" s="151" t="n">
        <f aca="false">IF(COUNT('12_Datos_5m'!D298:D$504)=0,0,MAX('12_Datos_5m'!D298:D$504))</f>
        <v>0</v>
      </c>
      <c r="M297" s="151" t="str">
        <f aca="false">IF(ISNUMBER(B297),B297*(1-1/'13_Mapa_Liq'!$B$15+'13_Mapa_Liq'!$B$6),"")</f>
        <v/>
      </c>
      <c r="N297" s="151" t="n">
        <f aca="false">IF(ISNUMBER(B297),IF(K297&gt;M297,I297*'13_Mapa_Liq'!$C$15,0),0)</f>
        <v>0</v>
      </c>
      <c r="O297" s="151" t="str">
        <f aca="false">IF(ISNUMBER(B297),B297*(1+1/'13_Mapa_Liq'!$B$15-'13_Mapa_Liq'!$B$6),"")</f>
        <v/>
      </c>
      <c r="P297" s="151" t="n">
        <f aca="false">IF(ISNUMBER(B297),IF(L297&lt;O297,J297*'13_Mapa_Liq'!$C$15,0),0)</f>
        <v>0</v>
      </c>
      <c r="Q297" s="151" t="str">
        <f aca="false">IF(ISNUMBER(B297),B297*(1-1/'13_Mapa_Liq'!$B$16+'13_Mapa_Liq'!$B$6),"")</f>
        <v/>
      </c>
      <c r="R297" s="151" t="n">
        <f aca="false">IF(ISNUMBER(B297),IF(K297&gt;Q297,I297*'13_Mapa_Liq'!$C$16,0),0)</f>
        <v>0</v>
      </c>
      <c r="S297" s="151" t="str">
        <f aca="false">IF(ISNUMBER(B297),B297*(1+1/'13_Mapa_Liq'!$B$16-'13_Mapa_Liq'!$B$6),"")</f>
        <v/>
      </c>
      <c r="T297" s="151" t="n">
        <f aca="false">IF(ISNUMBER(B297),IF(L297&lt;S297,J297*'13_Mapa_Liq'!$C$16,0),0)</f>
        <v>0</v>
      </c>
      <c r="U297" s="151" t="str">
        <f aca="false">IF(ISNUMBER(B297),B297*(1-1/'13_Mapa_Liq'!$B$17+'13_Mapa_Liq'!$B$6),"")</f>
        <v/>
      </c>
      <c r="V297" s="151" t="n">
        <f aca="false">IF(ISNUMBER(B297),IF(K297&gt;U297,I297*'13_Mapa_Liq'!$C$17,0),0)</f>
        <v>0</v>
      </c>
      <c r="W297" s="151" t="str">
        <f aca="false">IF(ISNUMBER(B297),B297*(1+1/'13_Mapa_Liq'!$B$17-'13_Mapa_Liq'!$B$6),"")</f>
        <v/>
      </c>
      <c r="X297" s="151" t="n">
        <f aca="false">IF(ISNUMBER(B297),IF(L297&lt;W297,J297*'13_Mapa_Liq'!$C$17,0),0)</f>
        <v>0</v>
      </c>
      <c r="Y297" s="151" t="str">
        <f aca="false">IF(ISNUMBER(B297),B297*(1-1/'13_Mapa_Liq'!$B$18+'13_Mapa_Liq'!$B$6),"")</f>
        <v/>
      </c>
      <c r="Z297" s="151" t="n">
        <f aca="false">IF(ISNUMBER(B297),IF(K297&gt;Y297,I297*'13_Mapa_Liq'!$C$18,0),0)</f>
        <v>0</v>
      </c>
      <c r="AA297" s="151" t="str">
        <f aca="false">IF(ISNUMBER(B297),B297*(1+1/'13_Mapa_Liq'!$B$18-'13_Mapa_Liq'!$B$6),"")</f>
        <v/>
      </c>
      <c r="AB297" s="151" t="n">
        <f aca="false">IF(ISNUMBER(B297),IF(L297&lt;AA297,J297*'13_Mapa_Liq'!$C$18,0),0)</f>
        <v>0</v>
      </c>
      <c r="AC297" s="151" t="str">
        <f aca="false">IF(ISNUMBER(B297),B297*(1-1/'13_Mapa_Liq'!$B$19+'13_Mapa_Liq'!$B$6),"")</f>
        <v/>
      </c>
      <c r="AD297" s="151" t="n">
        <f aca="false">IF(ISNUMBER(B297),IF(K297&gt;AC297,I297*'13_Mapa_Liq'!$C$19,0),0)</f>
        <v>0</v>
      </c>
      <c r="AE297" s="151" t="str">
        <f aca="false">IF(ISNUMBER(B297),B297*(1+1/'13_Mapa_Liq'!$B$19-'13_Mapa_Liq'!$B$6),"")</f>
        <v/>
      </c>
      <c r="AF297" s="151" t="n">
        <f aca="false">IF(ISNUMBER(B297),IF(L297&lt;AE297,J297*'13_Mapa_Liq'!$C$19,0),0)</f>
        <v>0</v>
      </c>
      <c r="AG297" s="151"/>
      <c r="AH297" s="151" t="n">
        <f aca="false">IF(ISNUMBER(B297),E297*F297*((K297&lt;=M297)*'13_Mapa_Liq'!$C$15+(K297&lt;=Q297)*'13_Mapa_Liq'!$C$16+(K297&lt;=U297)*'13_Mapa_Liq'!$C$17+(K297&lt;=Y297)*'13_Mapa_Liq'!$C$18+(K297&lt;=AC297)*'13_Mapa_Liq'!$C$19),0)</f>
        <v>0</v>
      </c>
      <c r="AI297" s="151" t="n">
        <f aca="false">IF(ISNUMBER(B297),E297*(1-F297)*((L297&gt;=O297)*'13_Mapa_Liq'!$C$15+(L297&gt;=S297)*'13_Mapa_Liq'!$C$16+(L297&gt;=W297)*'13_Mapa_Liq'!$C$17+(L297&gt;=AA297)*'13_Mapa_Liq'!$C$18+(L297&gt;=AE297)*'13_Mapa_Liq'!$C$19),0)</f>
        <v>0</v>
      </c>
    </row>
    <row r="298" customFormat="false" ht="15" hidden="false" customHeight="false" outlineLevel="0" collapsed="false">
      <c r="A298" s="151" t="str">
        <f aca="false">IF(ISNUMBER('12_Datos_5m'!F298),ROW()-4,"")</f>
        <v/>
      </c>
      <c r="B298" s="151" t="str">
        <f aca="false">IF(ISNUMBER('12_Datos_5m'!F298),'12_Datos_5m'!F298,"")</f>
        <v/>
      </c>
      <c r="C298" s="151" t="str">
        <f aca="false">IF(ISNUMBER('12_Datos_5m'!A298),'12_Datos_5m'!A298,"")</f>
        <v/>
      </c>
      <c r="D298" s="151" t="n">
        <f aca="false">IF(AND(ISNUMBER('12_Datos_5m'!I298),ISNUMBER('12_Datos_5m'!I297)),'12_Datos_5m'!I298-'12_Datos_5m'!I297,0)</f>
        <v>0</v>
      </c>
      <c r="E298" s="151" t="n">
        <f aca="false">MAX(0,D298)</f>
        <v>0</v>
      </c>
      <c r="F298" s="151" t="n">
        <f aca="false">IF(AND(ISNUMBER('12_Datos_5m'!G298),N('12_Datos_5m'!G298)&gt;0),'12_Datos_5m'!H298/'12_Datos_5m'!G298,0.5)</f>
        <v>0.5</v>
      </c>
      <c r="G298" s="151" t="n">
        <f aca="false">IF(ISNUMBER(C298),($C$2-C298)/3600000,0)</f>
        <v>0</v>
      </c>
      <c r="H298" s="151" t="n">
        <f aca="false">EXP(-G298/'13_Mapa_Liq'!$B$7)</f>
        <v>1</v>
      </c>
      <c r="I298" s="151" t="n">
        <f aca="false">E298*F298*H298</f>
        <v>0</v>
      </c>
      <c r="J298" s="151" t="n">
        <f aca="false">E298*(1-F298)*H298</f>
        <v>0</v>
      </c>
      <c r="K298" s="151" t="n">
        <f aca="false">IF(COUNT('12_Datos_5m'!E299:E$504)=0,1000000000000,MIN('12_Datos_5m'!E299:E$504))</f>
        <v>1000000000000</v>
      </c>
      <c r="L298" s="151" t="n">
        <f aca="false">IF(COUNT('12_Datos_5m'!D299:D$504)=0,0,MAX('12_Datos_5m'!D299:D$504))</f>
        <v>0</v>
      </c>
      <c r="M298" s="151" t="str">
        <f aca="false">IF(ISNUMBER(B298),B298*(1-1/'13_Mapa_Liq'!$B$15+'13_Mapa_Liq'!$B$6),"")</f>
        <v/>
      </c>
      <c r="N298" s="151" t="n">
        <f aca="false">IF(ISNUMBER(B298),IF(K298&gt;M298,I298*'13_Mapa_Liq'!$C$15,0),0)</f>
        <v>0</v>
      </c>
      <c r="O298" s="151" t="str">
        <f aca="false">IF(ISNUMBER(B298),B298*(1+1/'13_Mapa_Liq'!$B$15-'13_Mapa_Liq'!$B$6),"")</f>
        <v/>
      </c>
      <c r="P298" s="151" t="n">
        <f aca="false">IF(ISNUMBER(B298),IF(L298&lt;O298,J298*'13_Mapa_Liq'!$C$15,0),0)</f>
        <v>0</v>
      </c>
      <c r="Q298" s="151" t="str">
        <f aca="false">IF(ISNUMBER(B298),B298*(1-1/'13_Mapa_Liq'!$B$16+'13_Mapa_Liq'!$B$6),"")</f>
        <v/>
      </c>
      <c r="R298" s="151" t="n">
        <f aca="false">IF(ISNUMBER(B298),IF(K298&gt;Q298,I298*'13_Mapa_Liq'!$C$16,0),0)</f>
        <v>0</v>
      </c>
      <c r="S298" s="151" t="str">
        <f aca="false">IF(ISNUMBER(B298),B298*(1+1/'13_Mapa_Liq'!$B$16-'13_Mapa_Liq'!$B$6),"")</f>
        <v/>
      </c>
      <c r="T298" s="151" t="n">
        <f aca="false">IF(ISNUMBER(B298),IF(L298&lt;S298,J298*'13_Mapa_Liq'!$C$16,0),0)</f>
        <v>0</v>
      </c>
      <c r="U298" s="151" t="str">
        <f aca="false">IF(ISNUMBER(B298),B298*(1-1/'13_Mapa_Liq'!$B$17+'13_Mapa_Liq'!$B$6),"")</f>
        <v/>
      </c>
      <c r="V298" s="151" t="n">
        <f aca="false">IF(ISNUMBER(B298),IF(K298&gt;U298,I298*'13_Mapa_Liq'!$C$17,0),0)</f>
        <v>0</v>
      </c>
      <c r="W298" s="151" t="str">
        <f aca="false">IF(ISNUMBER(B298),B298*(1+1/'13_Mapa_Liq'!$B$17-'13_Mapa_Liq'!$B$6),"")</f>
        <v/>
      </c>
      <c r="X298" s="151" t="n">
        <f aca="false">IF(ISNUMBER(B298),IF(L298&lt;W298,J298*'13_Mapa_Liq'!$C$17,0),0)</f>
        <v>0</v>
      </c>
      <c r="Y298" s="151" t="str">
        <f aca="false">IF(ISNUMBER(B298),B298*(1-1/'13_Mapa_Liq'!$B$18+'13_Mapa_Liq'!$B$6),"")</f>
        <v/>
      </c>
      <c r="Z298" s="151" t="n">
        <f aca="false">IF(ISNUMBER(B298),IF(K298&gt;Y298,I298*'13_Mapa_Liq'!$C$18,0),0)</f>
        <v>0</v>
      </c>
      <c r="AA298" s="151" t="str">
        <f aca="false">IF(ISNUMBER(B298),B298*(1+1/'13_Mapa_Liq'!$B$18-'13_Mapa_Liq'!$B$6),"")</f>
        <v/>
      </c>
      <c r="AB298" s="151" t="n">
        <f aca="false">IF(ISNUMBER(B298),IF(L298&lt;AA298,J298*'13_Mapa_Liq'!$C$18,0),0)</f>
        <v>0</v>
      </c>
      <c r="AC298" s="151" t="str">
        <f aca="false">IF(ISNUMBER(B298),B298*(1-1/'13_Mapa_Liq'!$B$19+'13_Mapa_Liq'!$B$6),"")</f>
        <v/>
      </c>
      <c r="AD298" s="151" t="n">
        <f aca="false">IF(ISNUMBER(B298),IF(K298&gt;AC298,I298*'13_Mapa_Liq'!$C$19,0),0)</f>
        <v>0</v>
      </c>
      <c r="AE298" s="151" t="str">
        <f aca="false">IF(ISNUMBER(B298),B298*(1+1/'13_Mapa_Liq'!$B$19-'13_Mapa_Liq'!$B$6),"")</f>
        <v/>
      </c>
      <c r="AF298" s="151" t="n">
        <f aca="false">IF(ISNUMBER(B298),IF(L298&lt;AE298,J298*'13_Mapa_Liq'!$C$19,0),0)</f>
        <v>0</v>
      </c>
      <c r="AG298" s="151"/>
      <c r="AH298" s="151" t="n">
        <f aca="false">IF(ISNUMBER(B298),E298*F298*((K298&lt;=M298)*'13_Mapa_Liq'!$C$15+(K298&lt;=Q298)*'13_Mapa_Liq'!$C$16+(K298&lt;=U298)*'13_Mapa_Liq'!$C$17+(K298&lt;=Y298)*'13_Mapa_Liq'!$C$18+(K298&lt;=AC298)*'13_Mapa_Liq'!$C$19),0)</f>
        <v>0</v>
      </c>
      <c r="AI298" s="151" t="n">
        <f aca="false">IF(ISNUMBER(B298),E298*(1-F298)*((L298&gt;=O298)*'13_Mapa_Liq'!$C$15+(L298&gt;=S298)*'13_Mapa_Liq'!$C$16+(L298&gt;=W298)*'13_Mapa_Liq'!$C$17+(L298&gt;=AA298)*'13_Mapa_Liq'!$C$18+(L298&gt;=AE298)*'13_Mapa_Liq'!$C$19),0)</f>
        <v>0</v>
      </c>
    </row>
    <row r="299" customFormat="false" ht="15" hidden="false" customHeight="false" outlineLevel="0" collapsed="false">
      <c r="A299" s="151" t="str">
        <f aca="false">IF(ISNUMBER('12_Datos_5m'!F299),ROW()-4,"")</f>
        <v/>
      </c>
      <c r="B299" s="151" t="str">
        <f aca="false">IF(ISNUMBER('12_Datos_5m'!F299),'12_Datos_5m'!F299,"")</f>
        <v/>
      </c>
      <c r="C299" s="151" t="str">
        <f aca="false">IF(ISNUMBER('12_Datos_5m'!A299),'12_Datos_5m'!A299,"")</f>
        <v/>
      </c>
      <c r="D299" s="151" t="n">
        <f aca="false">IF(AND(ISNUMBER('12_Datos_5m'!I299),ISNUMBER('12_Datos_5m'!I298)),'12_Datos_5m'!I299-'12_Datos_5m'!I298,0)</f>
        <v>0</v>
      </c>
      <c r="E299" s="151" t="n">
        <f aca="false">MAX(0,D299)</f>
        <v>0</v>
      </c>
      <c r="F299" s="151" t="n">
        <f aca="false">IF(AND(ISNUMBER('12_Datos_5m'!G299),N('12_Datos_5m'!G299)&gt;0),'12_Datos_5m'!H299/'12_Datos_5m'!G299,0.5)</f>
        <v>0.5</v>
      </c>
      <c r="G299" s="151" t="n">
        <f aca="false">IF(ISNUMBER(C299),($C$2-C299)/3600000,0)</f>
        <v>0</v>
      </c>
      <c r="H299" s="151" t="n">
        <f aca="false">EXP(-G299/'13_Mapa_Liq'!$B$7)</f>
        <v>1</v>
      </c>
      <c r="I299" s="151" t="n">
        <f aca="false">E299*F299*H299</f>
        <v>0</v>
      </c>
      <c r="J299" s="151" t="n">
        <f aca="false">E299*(1-F299)*H299</f>
        <v>0</v>
      </c>
      <c r="K299" s="151" t="n">
        <f aca="false">IF(COUNT('12_Datos_5m'!E300:E$504)=0,1000000000000,MIN('12_Datos_5m'!E300:E$504))</f>
        <v>1000000000000</v>
      </c>
      <c r="L299" s="151" t="n">
        <f aca="false">IF(COUNT('12_Datos_5m'!D300:D$504)=0,0,MAX('12_Datos_5m'!D300:D$504))</f>
        <v>0</v>
      </c>
      <c r="M299" s="151" t="str">
        <f aca="false">IF(ISNUMBER(B299),B299*(1-1/'13_Mapa_Liq'!$B$15+'13_Mapa_Liq'!$B$6),"")</f>
        <v/>
      </c>
      <c r="N299" s="151" t="n">
        <f aca="false">IF(ISNUMBER(B299),IF(K299&gt;M299,I299*'13_Mapa_Liq'!$C$15,0),0)</f>
        <v>0</v>
      </c>
      <c r="O299" s="151" t="str">
        <f aca="false">IF(ISNUMBER(B299),B299*(1+1/'13_Mapa_Liq'!$B$15-'13_Mapa_Liq'!$B$6),"")</f>
        <v/>
      </c>
      <c r="P299" s="151" t="n">
        <f aca="false">IF(ISNUMBER(B299),IF(L299&lt;O299,J299*'13_Mapa_Liq'!$C$15,0),0)</f>
        <v>0</v>
      </c>
      <c r="Q299" s="151" t="str">
        <f aca="false">IF(ISNUMBER(B299),B299*(1-1/'13_Mapa_Liq'!$B$16+'13_Mapa_Liq'!$B$6),"")</f>
        <v/>
      </c>
      <c r="R299" s="151" t="n">
        <f aca="false">IF(ISNUMBER(B299),IF(K299&gt;Q299,I299*'13_Mapa_Liq'!$C$16,0),0)</f>
        <v>0</v>
      </c>
      <c r="S299" s="151" t="str">
        <f aca="false">IF(ISNUMBER(B299),B299*(1+1/'13_Mapa_Liq'!$B$16-'13_Mapa_Liq'!$B$6),"")</f>
        <v/>
      </c>
      <c r="T299" s="151" t="n">
        <f aca="false">IF(ISNUMBER(B299),IF(L299&lt;S299,J299*'13_Mapa_Liq'!$C$16,0),0)</f>
        <v>0</v>
      </c>
      <c r="U299" s="151" t="str">
        <f aca="false">IF(ISNUMBER(B299),B299*(1-1/'13_Mapa_Liq'!$B$17+'13_Mapa_Liq'!$B$6),"")</f>
        <v/>
      </c>
      <c r="V299" s="151" t="n">
        <f aca="false">IF(ISNUMBER(B299),IF(K299&gt;U299,I299*'13_Mapa_Liq'!$C$17,0),0)</f>
        <v>0</v>
      </c>
      <c r="W299" s="151" t="str">
        <f aca="false">IF(ISNUMBER(B299),B299*(1+1/'13_Mapa_Liq'!$B$17-'13_Mapa_Liq'!$B$6),"")</f>
        <v/>
      </c>
      <c r="X299" s="151" t="n">
        <f aca="false">IF(ISNUMBER(B299),IF(L299&lt;W299,J299*'13_Mapa_Liq'!$C$17,0),0)</f>
        <v>0</v>
      </c>
      <c r="Y299" s="151" t="str">
        <f aca="false">IF(ISNUMBER(B299),B299*(1-1/'13_Mapa_Liq'!$B$18+'13_Mapa_Liq'!$B$6),"")</f>
        <v/>
      </c>
      <c r="Z299" s="151" t="n">
        <f aca="false">IF(ISNUMBER(B299),IF(K299&gt;Y299,I299*'13_Mapa_Liq'!$C$18,0),0)</f>
        <v>0</v>
      </c>
      <c r="AA299" s="151" t="str">
        <f aca="false">IF(ISNUMBER(B299),B299*(1+1/'13_Mapa_Liq'!$B$18-'13_Mapa_Liq'!$B$6),"")</f>
        <v/>
      </c>
      <c r="AB299" s="151" t="n">
        <f aca="false">IF(ISNUMBER(B299),IF(L299&lt;AA299,J299*'13_Mapa_Liq'!$C$18,0),0)</f>
        <v>0</v>
      </c>
      <c r="AC299" s="151" t="str">
        <f aca="false">IF(ISNUMBER(B299),B299*(1-1/'13_Mapa_Liq'!$B$19+'13_Mapa_Liq'!$B$6),"")</f>
        <v/>
      </c>
      <c r="AD299" s="151" t="n">
        <f aca="false">IF(ISNUMBER(B299),IF(K299&gt;AC299,I299*'13_Mapa_Liq'!$C$19,0),0)</f>
        <v>0</v>
      </c>
      <c r="AE299" s="151" t="str">
        <f aca="false">IF(ISNUMBER(B299),B299*(1+1/'13_Mapa_Liq'!$B$19-'13_Mapa_Liq'!$B$6),"")</f>
        <v/>
      </c>
      <c r="AF299" s="151" t="n">
        <f aca="false">IF(ISNUMBER(B299),IF(L299&lt;AE299,J299*'13_Mapa_Liq'!$C$19,0),0)</f>
        <v>0</v>
      </c>
      <c r="AG299" s="151"/>
      <c r="AH299" s="151" t="n">
        <f aca="false">IF(ISNUMBER(B299),E299*F299*((K299&lt;=M299)*'13_Mapa_Liq'!$C$15+(K299&lt;=Q299)*'13_Mapa_Liq'!$C$16+(K299&lt;=U299)*'13_Mapa_Liq'!$C$17+(K299&lt;=Y299)*'13_Mapa_Liq'!$C$18+(K299&lt;=AC299)*'13_Mapa_Liq'!$C$19),0)</f>
        <v>0</v>
      </c>
      <c r="AI299" s="151" t="n">
        <f aca="false">IF(ISNUMBER(B299),E299*(1-F299)*((L299&gt;=O299)*'13_Mapa_Liq'!$C$15+(L299&gt;=S299)*'13_Mapa_Liq'!$C$16+(L299&gt;=W299)*'13_Mapa_Liq'!$C$17+(L299&gt;=AA299)*'13_Mapa_Liq'!$C$18+(L299&gt;=AE299)*'13_Mapa_Liq'!$C$19),0)</f>
        <v>0</v>
      </c>
    </row>
    <row r="300" customFormat="false" ht="15" hidden="false" customHeight="false" outlineLevel="0" collapsed="false">
      <c r="A300" s="151" t="str">
        <f aca="false">IF(ISNUMBER('12_Datos_5m'!F300),ROW()-4,"")</f>
        <v/>
      </c>
      <c r="B300" s="151" t="str">
        <f aca="false">IF(ISNUMBER('12_Datos_5m'!F300),'12_Datos_5m'!F300,"")</f>
        <v/>
      </c>
      <c r="C300" s="151" t="str">
        <f aca="false">IF(ISNUMBER('12_Datos_5m'!A300),'12_Datos_5m'!A300,"")</f>
        <v/>
      </c>
      <c r="D300" s="151" t="n">
        <f aca="false">IF(AND(ISNUMBER('12_Datos_5m'!I300),ISNUMBER('12_Datos_5m'!I299)),'12_Datos_5m'!I300-'12_Datos_5m'!I299,0)</f>
        <v>0</v>
      </c>
      <c r="E300" s="151" t="n">
        <f aca="false">MAX(0,D300)</f>
        <v>0</v>
      </c>
      <c r="F300" s="151" t="n">
        <f aca="false">IF(AND(ISNUMBER('12_Datos_5m'!G300),N('12_Datos_5m'!G300)&gt;0),'12_Datos_5m'!H300/'12_Datos_5m'!G300,0.5)</f>
        <v>0.5</v>
      </c>
      <c r="G300" s="151" t="n">
        <f aca="false">IF(ISNUMBER(C300),($C$2-C300)/3600000,0)</f>
        <v>0</v>
      </c>
      <c r="H300" s="151" t="n">
        <f aca="false">EXP(-G300/'13_Mapa_Liq'!$B$7)</f>
        <v>1</v>
      </c>
      <c r="I300" s="151" t="n">
        <f aca="false">E300*F300*H300</f>
        <v>0</v>
      </c>
      <c r="J300" s="151" t="n">
        <f aca="false">E300*(1-F300)*H300</f>
        <v>0</v>
      </c>
      <c r="K300" s="151" t="n">
        <f aca="false">IF(COUNT('12_Datos_5m'!E301:E$504)=0,1000000000000,MIN('12_Datos_5m'!E301:E$504))</f>
        <v>1000000000000</v>
      </c>
      <c r="L300" s="151" t="n">
        <f aca="false">IF(COUNT('12_Datos_5m'!D301:D$504)=0,0,MAX('12_Datos_5m'!D301:D$504))</f>
        <v>0</v>
      </c>
      <c r="M300" s="151" t="str">
        <f aca="false">IF(ISNUMBER(B300),B300*(1-1/'13_Mapa_Liq'!$B$15+'13_Mapa_Liq'!$B$6),"")</f>
        <v/>
      </c>
      <c r="N300" s="151" t="n">
        <f aca="false">IF(ISNUMBER(B300),IF(K300&gt;M300,I300*'13_Mapa_Liq'!$C$15,0),0)</f>
        <v>0</v>
      </c>
      <c r="O300" s="151" t="str">
        <f aca="false">IF(ISNUMBER(B300),B300*(1+1/'13_Mapa_Liq'!$B$15-'13_Mapa_Liq'!$B$6),"")</f>
        <v/>
      </c>
      <c r="P300" s="151" t="n">
        <f aca="false">IF(ISNUMBER(B300),IF(L300&lt;O300,J300*'13_Mapa_Liq'!$C$15,0),0)</f>
        <v>0</v>
      </c>
      <c r="Q300" s="151" t="str">
        <f aca="false">IF(ISNUMBER(B300),B300*(1-1/'13_Mapa_Liq'!$B$16+'13_Mapa_Liq'!$B$6),"")</f>
        <v/>
      </c>
      <c r="R300" s="151" t="n">
        <f aca="false">IF(ISNUMBER(B300),IF(K300&gt;Q300,I300*'13_Mapa_Liq'!$C$16,0),0)</f>
        <v>0</v>
      </c>
      <c r="S300" s="151" t="str">
        <f aca="false">IF(ISNUMBER(B300),B300*(1+1/'13_Mapa_Liq'!$B$16-'13_Mapa_Liq'!$B$6),"")</f>
        <v/>
      </c>
      <c r="T300" s="151" t="n">
        <f aca="false">IF(ISNUMBER(B300),IF(L300&lt;S300,J300*'13_Mapa_Liq'!$C$16,0),0)</f>
        <v>0</v>
      </c>
      <c r="U300" s="151" t="str">
        <f aca="false">IF(ISNUMBER(B300),B300*(1-1/'13_Mapa_Liq'!$B$17+'13_Mapa_Liq'!$B$6),"")</f>
        <v/>
      </c>
      <c r="V300" s="151" t="n">
        <f aca="false">IF(ISNUMBER(B300),IF(K300&gt;U300,I300*'13_Mapa_Liq'!$C$17,0),0)</f>
        <v>0</v>
      </c>
      <c r="W300" s="151" t="str">
        <f aca="false">IF(ISNUMBER(B300),B300*(1+1/'13_Mapa_Liq'!$B$17-'13_Mapa_Liq'!$B$6),"")</f>
        <v/>
      </c>
      <c r="X300" s="151" t="n">
        <f aca="false">IF(ISNUMBER(B300),IF(L300&lt;W300,J300*'13_Mapa_Liq'!$C$17,0),0)</f>
        <v>0</v>
      </c>
      <c r="Y300" s="151" t="str">
        <f aca="false">IF(ISNUMBER(B300),B300*(1-1/'13_Mapa_Liq'!$B$18+'13_Mapa_Liq'!$B$6),"")</f>
        <v/>
      </c>
      <c r="Z300" s="151" t="n">
        <f aca="false">IF(ISNUMBER(B300),IF(K300&gt;Y300,I300*'13_Mapa_Liq'!$C$18,0),0)</f>
        <v>0</v>
      </c>
      <c r="AA300" s="151" t="str">
        <f aca="false">IF(ISNUMBER(B300),B300*(1+1/'13_Mapa_Liq'!$B$18-'13_Mapa_Liq'!$B$6),"")</f>
        <v/>
      </c>
      <c r="AB300" s="151" t="n">
        <f aca="false">IF(ISNUMBER(B300),IF(L300&lt;AA300,J300*'13_Mapa_Liq'!$C$18,0),0)</f>
        <v>0</v>
      </c>
      <c r="AC300" s="151" t="str">
        <f aca="false">IF(ISNUMBER(B300),B300*(1-1/'13_Mapa_Liq'!$B$19+'13_Mapa_Liq'!$B$6),"")</f>
        <v/>
      </c>
      <c r="AD300" s="151" t="n">
        <f aca="false">IF(ISNUMBER(B300),IF(K300&gt;AC300,I300*'13_Mapa_Liq'!$C$19,0),0)</f>
        <v>0</v>
      </c>
      <c r="AE300" s="151" t="str">
        <f aca="false">IF(ISNUMBER(B300),B300*(1+1/'13_Mapa_Liq'!$B$19-'13_Mapa_Liq'!$B$6),"")</f>
        <v/>
      </c>
      <c r="AF300" s="151" t="n">
        <f aca="false">IF(ISNUMBER(B300),IF(L300&lt;AE300,J300*'13_Mapa_Liq'!$C$19,0),0)</f>
        <v>0</v>
      </c>
      <c r="AG300" s="151"/>
      <c r="AH300" s="151" t="n">
        <f aca="false">IF(ISNUMBER(B300),E300*F300*((K300&lt;=M300)*'13_Mapa_Liq'!$C$15+(K300&lt;=Q300)*'13_Mapa_Liq'!$C$16+(K300&lt;=U300)*'13_Mapa_Liq'!$C$17+(K300&lt;=Y300)*'13_Mapa_Liq'!$C$18+(K300&lt;=AC300)*'13_Mapa_Liq'!$C$19),0)</f>
        <v>0</v>
      </c>
      <c r="AI300" s="151" t="n">
        <f aca="false">IF(ISNUMBER(B300),E300*(1-F300)*((L300&gt;=O300)*'13_Mapa_Liq'!$C$15+(L300&gt;=S300)*'13_Mapa_Liq'!$C$16+(L300&gt;=W300)*'13_Mapa_Liq'!$C$17+(L300&gt;=AA300)*'13_Mapa_Liq'!$C$18+(L300&gt;=AE300)*'13_Mapa_Liq'!$C$19),0)</f>
        <v>0</v>
      </c>
    </row>
    <row r="301" customFormat="false" ht="15" hidden="false" customHeight="false" outlineLevel="0" collapsed="false">
      <c r="A301" s="151" t="str">
        <f aca="false">IF(ISNUMBER('12_Datos_5m'!F301),ROW()-4,"")</f>
        <v/>
      </c>
      <c r="B301" s="151" t="str">
        <f aca="false">IF(ISNUMBER('12_Datos_5m'!F301),'12_Datos_5m'!F301,"")</f>
        <v/>
      </c>
      <c r="C301" s="151" t="str">
        <f aca="false">IF(ISNUMBER('12_Datos_5m'!A301),'12_Datos_5m'!A301,"")</f>
        <v/>
      </c>
      <c r="D301" s="151" t="n">
        <f aca="false">IF(AND(ISNUMBER('12_Datos_5m'!I301),ISNUMBER('12_Datos_5m'!I300)),'12_Datos_5m'!I301-'12_Datos_5m'!I300,0)</f>
        <v>0</v>
      </c>
      <c r="E301" s="151" t="n">
        <f aca="false">MAX(0,D301)</f>
        <v>0</v>
      </c>
      <c r="F301" s="151" t="n">
        <f aca="false">IF(AND(ISNUMBER('12_Datos_5m'!G301),N('12_Datos_5m'!G301)&gt;0),'12_Datos_5m'!H301/'12_Datos_5m'!G301,0.5)</f>
        <v>0.5</v>
      </c>
      <c r="G301" s="151" t="n">
        <f aca="false">IF(ISNUMBER(C301),($C$2-C301)/3600000,0)</f>
        <v>0</v>
      </c>
      <c r="H301" s="151" t="n">
        <f aca="false">EXP(-G301/'13_Mapa_Liq'!$B$7)</f>
        <v>1</v>
      </c>
      <c r="I301" s="151" t="n">
        <f aca="false">E301*F301*H301</f>
        <v>0</v>
      </c>
      <c r="J301" s="151" t="n">
        <f aca="false">E301*(1-F301)*H301</f>
        <v>0</v>
      </c>
      <c r="K301" s="151" t="n">
        <f aca="false">IF(COUNT('12_Datos_5m'!E302:E$504)=0,1000000000000,MIN('12_Datos_5m'!E302:E$504))</f>
        <v>1000000000000</v>
      </c>
      <c r="L301" s="151" t="n">
        <f aca="false">IF(COUNT('12_Datos_5m'!D302:D$504)=0,0,MAX('12_Datos_5m'!D302:D$504))</f>
        <v>0</v>
      </c>
      <c r="M301" s="151" t="str">
        <f aca="false">IF(ISNUMBER(B301),B301*(1-1/'13_Mapa_Liq'!$B$15+'13_Mapa_Liq'!$B$6),"")</f>
        <v/>
      </c>
      <c r="N301" s="151" t="n">
        <f aca="false">IF(ISNUMBER(B301),IF(K301&gt;M301,I301*'13_Mapa_Liq'!$C$15,0),0)</f>
        <v>0</v>
      </c>
      <c r="O301" s="151" t="str">
        <f aca="false">IF(ISNUMBER(B301),B301*(1+1/'13_Mapa_Liq'!$B$15-'13_Mapa_Liq'!$B$6),"")</f>
        <v/>
      </c>
      <c r="P301" s="151" t="n">
        <f aca="false">IF(ISNUMBER(B301),IF(L301&lt;O301,J301*'13_Mapa_Liq'!$C$15,0),0)</f>
        <v>0</v>
      </c>
      <c r="Q301" s="151" t="str">
        <f aca="false">IF(ISNUMBER(B301),B301*(1-1/'13_Mapa_Liq'!$B$16+'13_Mapa_Liq'!$B$6),"")</f>
        <v/>
      </c>
      <c r="R301" s="151" t="n">
        <f aca="false">IF(ISNUMBER(B301),IF(K301&gt;Q301,I301*'13_Mapa_Liq'!$C$16,0),0)</f>
        <v>0</v>
      </c>
      <c r="S301" s="151" t="str">
        <f aca="false">IF(ISNUMBER(B301),B301*(1+1/'13_Mapa_Liq'!$B$16-'13_Mapa_Liq'!$B$6),"")</f>
        <v/>
      </c>
      <c r="T301" s="151" t="n">
        <f aca="false">IF(ISNUMBER(B301),IF(L301&lt;S301,J301*'13_Mapa_Liq'!$C$16,0),0)</f>
        <v>0</v>
      </c>
      <c r="U301" s="151" t="str">
        <f aca="false">IF(ISNUMBER(B301),B301*(1-1/'13_Mapa_Liq'!$B$17+'13_Mapa_Liq'!$B$6),"")</f>
        <v/>
      </c>
      <c r="V301" s="151" t="n">
        <f aca="false">IF(ISNUMBER(B301),IF(K301&gt;U301,I301*'13_Mapa_Liq'!$C$17,0),0)</f>
        <v>0</v>
      </c>
      <c r="W301" s="151" t="str">
        <f aca="false">IF(ISNUMBER(B301),B301*(1+1/'13_Mapa_Liq'!$B$17-'13_Mapa_Liq'!$B$6),"")</f>
        <v/>
      </c>
      <c r="X301" s="151" t="n">
        <f aca="false">IF(ISNUMBER(B301),IF(L301&lt;W301,J301*'13_Mapa_Liq'!$C$17,0),0)</f>
        <v>0</v>
      </c>
      <c r="Y301" s="151" t="str">
        <f aca="false">IF(ISNUMBER(B301),B301*(1-1/'13_Mapa_Liq'!$B$18+'13_Mapa_Liq'!$B$6),"")</f>
        <v/>
      </c>
      <c r="Z301" s="151" t="n">
        <f aca="false">IF(ISNUMBER(B301),IF(K301&gt;Y301,I301*'13_Mapa_Liq'!$C$18,0),0)</f>
        <v>0</v>
      </c>
      <c r="AA301" s="151" t="str">
        <f aca="false">IF(ISNUMBER(B301),B301*(1+1/'13_Mapa_Liq'!$B$18-'13_Mapa_Liq'!$B$6),"")</f>
        <v/>
      </c>
      <c r="AB301" s="151" t="n">
        <f aca="false">IF(ISNUMBER(B301),IF(L301&lt;AA301,J301*'13_Mapa_Liq'!$C$18,0),0)</f>
        <v>0</v>
      </c>
      <c r="AC301" s="151" t="str">
        <f aca="false">IF(ISNUMBER(B301),B301*(1-1/'13_Mapa_Liq'!$B$19+'13_Mapa_Liq'!$B$6),"")</f>
        <v/>
      </c>
      <c r="AD301" s="151" t="n">
        <f aca="false">IF(ISNUMBER(B301),IF(K301&gt;AC301,I301*'13_Mapa_Liq'!$C$19,0),0)</f>
        <v>0</v>
      </c>
      <c r="AE301" s="151" t="str">
        <f aca="false">IF(ISNUMBER(B301),B301*(1+1/'13_Mapa_Liq'!$B$19-'13_Mapa_Liq'!$B$6),"")</f>
        <v/>
      </c>
      <c r="AF301" s="151" t="n">
        <f aca="false">IF(ISNUMBER(B301),IF(L301&lt;AE301,J301*'13_Mapa_Liq'!$C$19,0),0)</f>
        <v>0</v>
      </c>
      <c r="AG301" s="151"/>
      <c r="AH301" s="151" t="n">
        <f aca="false">IF(ISNUMBER(B301),E301*F301*((K301&lt;=M301)*'13_Mapa_Liq'!$C$15+(K301&lt;=Q301)*'13_Mapa_Liq'!$C$16+(K301&lt;=U301)*'13_Mapa_Liq'!$C$17+(K301&lt;=Y301)*'13_Mapa_Liq'!$C$18+(K301&lt;=AC301)*'13_Mapa_Liq'!$C$19),0)</f>
        <v>0</v>
      </c>
      <c r="AI301" s="151" t="n">
        <f aca="false">IF(ISNUMBER(B301),E301*(1-F301)*((L301&gt;=O301)*'13_Mapa_Liq'!$C$15+(L301&gt;=S301)*'13_Mapa_Liq'!$C$16+(L301&gt;=W301)*'13_Mapa_Liq'!$C$17+(L301&gt;=AA301)*'13_Mapa_Liq'!$C$18+(L301&gt;=AE301)*'13_Mapa_Liq'!$C$19),0)</f>
        <v>0</v>
      </c>
    </row>
    <row r="302" customFormat="false" ht="15" hidden="false" customHeight="false" outlineLevel="0" collapsed="false">
      <c r="A302" s="151" t="str">
        <f aca="false">IF(ISNUMBER('12_Datos_5m'!F302),ROW()-4,"")</f>
        <v/>
      </c>
      <c r="B302" s="151" t="str">
        <f aca="false">IF(ISNUMBER('12_Datos_5m'!F302),'12_Datos_5m'!F302,"")</f>
        <v/>
      </c>
      <c r="C302" s="151" t="str">
        <f aca="false">IF(ISNUMBER('12_Datos_5m'!A302),'12_Datos_5m'!A302,"")</f>
        <v/>
      </c>
      <c r="D302" s="151" t="n">
        <f aca="false">IF(AND(ISNUMBER('12_Datos_5m'!I302),ISNUMBER('12_Datos_5m'!I301)),'12_Datos_5m'!I302-'12_Datos_5m'!I301,0)</f>
        <v>0</v>
      </c>
      <c r="E302" s="151" t="n">
        <f aca="false">MAX(0,D302)</f>
        <v>0</v>
      </c>
      <c r="F302" s="151" t="n">
        <f aca="false">IF(AND(ISNUMBER('12_Datos_5m'!G302),N('12_Datos_5m'!G302)&gt;0),'12_Datos_5m'!H302/'12_Datos_5m'!G302,0.5)</f>
        <v>0.5</v>
      </c>
      <c r="G302" s="151" t="n">
        <f aca="false">IF(ISNUMBER(C302),($C$2-C302)/3600000,0)</f>
        <v>0</v>
      </c>
      <c r="H302" s="151" t="n">
        <f aca="false">EXP(-G302/'13_Mapa_Liq'!$B$7)</f>
        <v>1</v>
      </c>
      <c r="I302" s="151" t="n">
        <f aca="false">E302*F302*H302</f>
        <v>0</v>
      </c>
      <c r="J302" s="151" t="n">
        <f aca="false">E302*(1-F302)*H302</f>
        <v>0</v>
      </c>
      <c r="K302" s="151" t="n">
        <f aca="false">IF(COUNT('12_Datos_5m'!E303:E$504)=0,1000000000000,MIN('12_Datos_5m'!E303:E$504))</f>
        <v>1000000000000</v>
      </c>
      <c r="L302" s="151" t="n">
        <f aca="false">IF(COUNT('12_Datos_5m'!D303:D$504)=0,0,MAX('12_Datos_5m'!D303:D$504))</f>
        <v>0</v>
      </c>
      <c r="M302" s="151" t="str">
        <f aca="false">IF(ISNUMBER(B302),B302*(1-1/'13_Mapa_Liq'!$B$15+'13_Mapa_Liq'!$B$6),"")</f>
        <v/>
      </c>
      <c r="N302" s="151" t="n">
        <f aca="false">IF(ISNUMBER(B302),IF(K302&gt;M302,I302*'13_Mapa_Liq'!$C$15,0),0)</f>
        <v>0</v>
      </c>
      <c r="O302" s="151" t="str">
        <f aca="false">IF(ISNUMBER(B302),B302*(1+1/'13_Mapa_Liq'!$B$15-'13_Mapa_Liq'!$B$6),"")</f>
        <v/>
      </c>
      <c r="P302" s="151" t="n">
        <f aca="false">IF(ISNUMBER(B302),IF(L302&lt;O302,J302*'13_Mapa_Liq'!$C$15,0),0)</f>
        <v>0</v>
      </c>
      <c r="Q302" s="151" t="str">
        <f aca="false">IF(ISNUMBER(B302),B302*(1-1/'13_Mapa_Liq'!$B$16+'13_Mapa_Liq'!$B$6),"")</f>
        <v/>
      </c>
      <c r="R302" s="151" t="n">
        <f aca="false">IF(ISNUMBER(B302),IF(K302&gt;Q302,I302*'13_Mapa_Liq'!$C$16,0),0)</f>
        <v>0</v>
      </c>
      <c r="S302" s="151" t="str">
        <f aca="false">IF(ISNUMBER(B302),B302*(1+1/'13_Mapa_Liq'!$B$16-'13_Mapa_Liq'!$B$6),"")</f>
        <v/>
      </c>
      <c r="T302" s="151" t="n">
        <f aca="false">IF(ISNUMBER(B302),IF(L302&lt;S302,J302*'13_Mapa_Liq'!$C$16,0),0)</f>
        <v>0</v>
      </c>
      <c r="U302" s="151" t="str">
        <f aca="false">IF(ISNUMBER(B302),B302*(1-1/'13_Mapa_Liq'!$B$17+'13_Mapa_Liq'!$B$6),"")</f>
        <v/>
      </c>
      <c r="V302" s="151" t="n">
        <f aca="false">IF(ISNUMBER(B302),IF(K302&gt;U302,I302*'13_Mapa_Liq'!$C$17,0),0)</f>
        <v>0</v>
      </c>
      <c r="W302" s="151" t="str">
        <f aca="false">IF(ISNUMBER(B302),B302*(1+1/'13_Mapa_Liq'!$B$17-'13_Mapa_Liq'!$B$6),"")</f>
        <v/>
      </c>
      <c r="X302" s="151" t="n">
        <f aca="false">IF(ISNUMBER(B302),IF(L302&lt;W302,J302*'13_Mapa_Liq'!$C$17,0),0)</f>
        <v>0</v>
      </c>
      <c r="Y302" s="151" t="str">
        <f aca="false">IF(ISNUMBER(B302),B302*(1-1/'13_Mapa_Liq'!$B$18+'13_Mapa_Liq'!$B$6),"")</f>
        <v/>
      </c>
      <c r="Z302" s="151" t="n">
        <f aca="false">IF(ISNUMBER(B302),IF(K302&gt;Y302,I302*'13_Mapa_Liq'!$C$18,0),0)</f>
        <v>0</v>
      </c>
      <c r="AA302" s="151" t="str">
        <f aca="false">IF(ISNUMBER(B302),B302*(1+1/'13_Mapa_Liq'!$B$18-'13_Mapa_Liq'!$B$6),"")</f>
        <v/>
      </c>
      <c r="AB302" s="151" t="n">
        <f aca="false">IF(ISNUMBER(B302),IF(L302&lt;AA302,J302*'13_Mapa_Liq'!$C$18,0),0)</f>
        <v>0</v>
      </c>
      <c r="AC302" s="151" t="str">
        <f aca="false">IF(ISNUMBER(B302),B302*(1-1/'13_Mapa_Liq'!$B$19+'13_Mapa_Liq'!$B$6),"")</f>
        <v/>
      </c>
      <c r="AD302" s="151" t="n">
        <f aca="false">IF(ISNUMBER(B302),IF(K302&gt;AC302,I302*'13_Mapa_Liq'!$C$19,0),0)</f>
        <v>0</v>
      </c>
      <c r="AE302" s="151" t="str">
        <f aca="false">IF(ISNUMBER(B302),B302*(1+1/'13_Mapa_Liq'!$B$19-'13_Mapa_Liq'!$B$6),"")</f>
        <v/>
      </c>
      <c r="AF302" s="151" t="n">
        <f aca="false">IF(ISNUMBER(B302),IF(L302&lt;AE302,J302*'13_Mapa_Liq'!$C$19,0),0)</f>
        <v>0</v>
      </c>
      <c r="AG302" s="151"/>
      <c r="AH302" s="151" t="n">
        <f aca="false">IF(ISNUMBER(B302),E302*F302*((K302&lt;=M302)*'13_Mapa_Liq'!$C$15+(K302&lt;=Q302)*'13_Mapa_Liq'!$C$16+(K302&lt;=U302)*'13_Mapa_Liq'!$C$17+(K302&lt;=Y302)*'13_Mapa_Liq'!$C$18+(K302&lt;=AC302)*'13_Mapa_Liq'!$C$19),0)</f>
        <v>0</v>
      </c>
      <c r="AI302" s="151" t="n">
        <f aca="false">IF(ISNUMBER(B302),E302*(1-F302)*((L302&gt;=O302)*'13_Mapa_Liq'!$C$15+(L302&gt;=S302)*'13_Mapa_Liq'!$C$16+(L302&gt;=W302)*'13_Mapa_Liq'!$C$17+(L302&gt;=AA302)*'13_Mapa_Liq'!$C$18+(L302&gt;=AE302)*'13_Mapa_Liq'!$C$19),0)</f>
        <v>0</v>
      </c>
    </row>
    <row r="303" customFormat="false" ht="15" hidden="false" customHeight="false" outlineLevel="0" collapsed="false">
      <c r="A303" s="151" t="str">
        <f aca="false">IF(ISNUMBER('12_Datos_5m'!F303),ROW()-4,"")</f>
        <v/>
      </c>
      <c r="B303" s="151" t="str">
        <f aca="false">IF(ISNUMBER('12_Datos_5m'!F303),'12_Datos_5m'!F303,"")</f>
        <v/>
      </c>
      <c r="C303" s="151" t="str">
        <f aca="false">IF(ISNUMBER('12_Datos_5m'!A303),'12_Datos_5m'!A303,"")</f>
        <v/>
      </c>
      <c r="D303" s="151" t="n">
        <f aca="false">IF(AND(ISNUMBER('12_Datos_5m'!I303),ISNUMBER('12_Datos_5m'!I302)),'12_Datos_5m'!I303-'12_Datos_5m'!I302,0)</f>
        <v>0</v>
      </c>
      <c r="E303" s="151" t="n">
        <f aca="false">MAX(0,D303)</f>
        <v>0</v>
      </c>
      <c r="F303" s="151" t="n">
        <f aca="false">IF(AND(ISNUMBER('12_Datos_5m'!G303),N('12_Datos_5m'!G303)&gt;0),'12_Datos_5m'!H303/'12_Datos_5m'!G303,0.5)</f>
        <v>0.5</v>
      </c>
      <c r="G303" s="151" t="n">
        <f aca="false">IF(ISNUMBER(C303),($C$2-C303)/3600000,0)</f>
        <v>0</v>
      </c>
      <c r="H303" s="151" t="n">
        <f aca="false">EXP(-G303/'13_Mapa_Liq'!$B$7)</f>
        <v>1</v>
      </c>
      <c r="I303" s="151" t="n">
        <f aca="false">E303*F303*H303</f>
        <v>0</v>
      </c>
      <c r="J303" s="151" t="n">
        <f aca="false">E303*(1-F303)*H303</f>
        <v>0</v>
      </c>
      <c r="K303" s="151" t="n">
        <f aca="false">IF(COUNT('12_Datos_5m'!E304:E$504)=0,1000000000000,MIN('12_Datos_5m'!E304:E$504))</f>
        <v>1000000000000</v>
      </c>
      <c r="L303" s="151" t="n">
        <f aca="false">IF(COUNT('12_Datos_5m'!D304:D$504)=0,0,MAX('12_Datos_5m'!D304:D$504))</f>
        <v>0</v>
      </c>
      <c r="M303" s="151" t="str">
        <f aca="false">IF(ISNUMBER(B303),B303*(1-1/'13_Mapa_Liq'!$B$15+'13_Mapa_Liq'!$B$6),"")</f>
        <v/>
      </c>
      <c r="N303" s="151" t="n">
        <f aca="false">IF(ISNUMBER(B303),IF(K303&gt;M303,I303*'13_Mapa_Liq'!$C$15,0),0)</f>
        <v>0</v>
      </c>
      <c r="O303" s="151" t="str">
        <f aca="false">IF(ISNUMBER(B303),B303*(1+1/'13_Mapa_Liq'!$B$15-'13_Mapa_Liq'!$B$6),"")</f>
        <v/>
      </c>
      <c r="P303" s="151" t="n">
        <f aca="false">IF(ISNUMBER(B303),IF(L303&lt;O303,J303*'13_Mapa_Liq'!$C$15,0),0)</f>
        <v>0</v>
      </c>
      <c r="Q303" s="151" t="str">
        <f aca="false">IF(ISNUMBER(B303),B303*(1-1/'13_Mapa_Liq'!$B$16+'13_Mapa_Liq'!$B$6),"")</f>
        <v/>
      </c>
      <c r="R303" s="151" t="n">
        <f aca="false">IF(ISNUMBER(B303),IF(K303&gt;Q303,I303*'13_Mapa_Liq'!$C$16,0),0)</f>
        <v>0</v>
      </c>
      <c r="S303" s="151" t="str">
        <f aca="false">IF(ISNUMBER(B303),B303*(1+1/'13_Mapa_Liq'!$B$16-'13_Mapa_Liq'!$B$6),"")</f>
        <v/>
      </c>
      <c r="T303" s="151" t="n">
        <f aca="false">IF(ISNUMBER(B303),IF(L303&lt;S303,J303*'13_Mapa_Liq'!$C$16,0),0)</f>
        <v>0</v>
      </c>
      <c r="U303" s="151" t="str">
        <f aca="false">IF(ISNUMBER(B303),B303*(1-1/'13_Mapa_Liq'!$B$17+'13_Mapa_Liq'!$B$6),"")</f>
        <v/>
      </c>
      <c r="V303" s="151" t="n">
        <f aca="false">IF(ISNUMBER(B303),IF(K303&gt;U303,I303*'13_Mapa_Liq'!$C$17,0),0)</f>
        <v>0</v>
      </c>
      <c r="W303" s="151" t="str">
        <f aca="false">IF(ISNUMBER(B303),B303*(1+1/'13_Mapa_Liq'!$B$17-'13_Mapa_Liq'!$B$6),"")</f>
        <v/>
      </c>
      <c r="X303" s="151" t="n">
        <f aca="false">IF(ISNUMBER(B303),IF(L303&lt;W303,J303*'13_Mapa_Liq'!$C$17,0),0)</f>
        <v>0</v>
      </c>
      <c r="Y303" s="151" t="str">
        <f aca="false">IF(ISNUMBER(B303),B303*(1-1/'13_Mapa_Liq'!$B$18+'13_Mapa_Liq'!$B$6),"")</f>
        <v/>
      </c>
      <c r="Z303" s="151" t="n">
        <f aca="false">IF(ISNUMBER(B303),IF(K303&gt;Y303,I303*'13_Mapa_Liq'!$C$18,0),0)</f>
        <v>0</v>
      </c>
      <c r="AA303" s="151" t="str">
        <f aca="false">IF(ISNUMBER(B303),B303*(1+1/'13_Mapa_Liq'!$B$18-'13_Mapa_Liq'!$B$6),"")</f>
        <v/>
      </c>
      <c r="AB303" s="151" t="n">
        <f aca="false">IF(ISNUMBER(B303),IF(L303&lt;AA303,J303*'13_Mapa_Liq'!$C$18,0),0)</f>
        <v>0</v>
      </c>
      <c r="AC303" s="151" t="str">
        <f aca="false">IF(ISNUMBER(B303),B303*(1-1/'13_Mapa_Liq'!$B$19+'13_Mapa_Liq'!$B$6),"")</f>
        <v/>
      </c>
      <c r="AD303" s="151" t="n">
        <f aca="false">IF(ISNUMBER(B303),IF(K303&gt;AC303,I303*'13_Mapa_Liq'!$C$19,0),0)</f>
        <v>0</v>
      </c>
      <c r="AE303" s="151" t="str">
        <f aca="false">IF(ISNUMBER(B303),B303*(1+1/'13_Mapa_Liq'!$B$19-'13_Mapa_Liq'!$B$6),"")</f>
        <v/>
      </c>
      <c r="AF303" s="151" t="n">
        <f aca="false">IF(ISNUMBER(B303),IF(L303&lt;AE303,J303*'13_Mapa_Liq'!$C$19,0),0)</f>
        <v>0</v>
      </c>
      <c r="AG303" s="151"/>
      <c r="AH303" s="151" t="n">
        <f aca="false">IF(ISNUMBER(B303),E303*F303*((K303&lt;=M303)*'13_Mapa_Liq'!$C$15+(K303&lt;=Q303)*'13_Mapa_Liq'!$C$16+(K303&lt;=U303)*'13_Mapa_Liq'!$C$17+(K303&lt;=Y303)*'13_Mapa_Liq'!$C$18+(K303&lt;=AC303)*'13_Mapa_Liq'!$C$19),0)</f>
        <v>0</v>
      </c>
      <c r="AI303" s="151" t="n">
        <f aca="false">IF(ISNUMBER(B303),E303*(1-F303)*((L303&gt;=O303)*'13_Mapa_Liq'!$C$15+(L303&gt;=S303)*'13_Mapa_Liq'!$C$16+(L303&gt;=W303)*'13_Mapa_Liq'!$C$17+(L303&gt;=AA303)*'13_Mapa_Liq'!$C$18+(L303&gt;=AE303)*'13_Mapa_Liq'!$C$19),0)</f>
        <v>0</v>
      </c>
    </row>
    <row r="304" customFormat="false" ht="15" hidden="false" customHeight="false" outlineLevel="0" collapsed="false">
      <c r="A304" s="151" t="str">
        <f aca="false">IF(ISNUMBER('12_Datos_5m'!F304),ROW()-4,"")</f>
        <v/>
      </c>
      <c r="B304" s="151" t="str">
        <f aca="false">IF(ISNUMBER('12_Datos_5m'!F304),'12_Datos_5m'!F304,"")</f>
        <v/>
      </c>
      <c r="C304" s="151" t="str">
        <f aca="false">IF(ISNUMBER('12_Datos_5m'!A304),'12_Datos_5m'!A304,"")</f>
        <v/>
      </c>
      <c r="D304" s="151" t="n">
        <f aca="false">IF(AND(ISNUMBER('12_Datos_5m'!I304),ISNUMBER('12_Datos_5m'!I303)),'12_Datos_5m'!I304-'12_Datos_5m'!I303,0)</f>
        <v>0</v>
      </c>
      <c r="E304" s="151" t="n">
        <f aca="false">MAX(0,D304)</f>
        <v>0</v>
      </c>
      <c r="F304" s="151" t="n">
        <f aca="false">IF(AND(ISNUMBER('12_Datos_5m'!G304),N('12_Datos_5m'!G304)&gt;0),'12_Datos_5m'!H304/'12_Datos_5m'!G304,0.5)</f>
        <v>0.5</v>
      </c>
      <c r="G304" s="151" t="n">
        <f aca="false">IF(ISNUMBER(C304),($C$2-C304)/3600000,0)</f>
        <v>0</v>
      </c>
      <c r="H304" s="151" t="n">
        <f aca="false">EXP(-G304/'13_Mapa_Liq'!$B$7)</f>
        <v>1</v>
      </c>
      <c r="I304" s="151" t="n">
        <f aca="false">E304*F304*H304</f>
        <v>0</v>
      </c>
      <c r="J304" s="151" t="n">
        <f aca="false">E304*(1-F304)*H304</f>
        <v>0</v>
      </c>
      <c r="K304" s="151" t="n">
        <f aca="false">IF(COUNT('12_Datos_5m'!E305:E$504)=0,1000000000000,MIN('12_Datos_5m'!E305:E$504))</f>
        <v>1000000000000</v>
      </c>
      <c r="L304" s="151" t="n">
        <f aca="false">IF(COUNT('12_Datos_5m'!D305:D$504)=0,0,MAX('12_Datos_5m'!D305:D$504))</f>
        <v>0</v>
      </c>
      <c r="M304" s="151" t="str">
        <f aca="false">IF(ISNUMBER(B304),B304*(1-1/'13_Mapa_Liq'!$B$15+'13_Mapa_Liq'!$B$6),"")</f>
        <v/>
      </c>
      <c r="N304" s="151" t="n">
        <f aca="false">IF(ISNUMBER(B304),IF(K304&gt;M304,I304*'13_Mapa_Liq'!$C$15,0),0)</f>
        <v>0</v>
      </c>
      <c r="O304" s="151" t="str">
        <f aca="false">IF(ISNUMBER(B304),B304*(1+1/'13_Mapa_Liq'!$B$15-'13_Mapa_Liq'!$B$6),"")</f>
        <v/>
      </c>
      <c r="P304" s="151" t="n">
        <f aca="false">IF(ISNUMBER(B304),IF(L304&lt;O304,J304*'13_Mapa_Liq'!$C$15,0),0)</f>
        <v>0</v>
      </c>
      <c r="Q304" s="151" t="str">
        <f aca="false">IF(ISNUMBER(B304),B304*(1-1/'13_Mapa_Liq'!$B$16+'13_Mapa_Liq'!$B$6),"")</f>
        <v/>
      </c>
      <c r="R304" s="151" t="n">
        <f aca="false">IF(ISNUMBER(B304),IF(K304&gt;Q304,I304*'13_Mapa_Liq'!$C$16,0),0)</f>
        <v>0</v>
      </c>
      <c r="S304" s="151" t="str">
        <f aca="false">IF(ISNUMBER(B304),B304*(1+1/'13_Mapa_Liq'!$B$16-'13_Mapa_Liq'!$B$6),"")</f>
        <v/>
      </c>
      <c r="T304" s="151" t="n">
        <f aca="false">IF(ISNUMBER(B304),IF(L304&lt;S304,J304*'13_Mapa_Liq'!$C$16,0),0)</f>
        <v>0</v>
      </c>
      <c r="U304" s="151" t="str">
        <f aca="false">IF(ISNUMBER(B304),B304*(1-1/'13_Mapa_Liq'!$B$17+'13_Mapa_Liq'!$B$6),"")</f>
        <v/>
      </c>
      <c r="V304" s="151" t="n">
        <f aca="false">IF(ISNUMBER(B304),IF(K304&gt;U304,I304*'13_Mapa_Liq'!$C$17,0),0)</f>
        <v>0</v>
      </c>
      <c r="W304" s="151" t="str">
        <f aca="false">IF(ISNUMBER(B304),B304*(1+1/'13_Mapa_Liq'!$B$17-'13_Mapa_Liq'!$B$6),"")</f>
        <v/>
      </c>
      <c r="X304" s="151" t="n">
        <f aca="false">IF(ISNUMBER(B304),IF(L304&lt;W304,J304*'13_Mapa_Liq'!$C$17,0),0)</f>
        <v>0</v>
      </c>
      <c r="Y304" s="151" t="str">
        <f aca="false">IF(ISNUMBER(B304),B304*(1-1/'13_Mapa_Liq'!$B$18+'13_Mapa_Liq'!$B$6),"")</f>
        <v/>
      </c>
      <c r="Z304" s="151" t="n">
        <f aca="false">IF(ISNUMBER(B304),IF(K304&gt;Y304,I304*'13_Mapa_Liq'!$C$18,0),0)</f>
        <v>0</v>
      </c>
      <c r="AA304" s="151" t="str">
        <f aca="false">IF(ISNUMBER(B304),B304*(1+1/'13_Mapa_Liq'!$B$18-'13_Mapa_Liq'!$B$6),"")</f>
        <v/>
      </c>
      <c r="AB304" s="151" t="n">
        <f aca="false">IF(ISNUMBER(B304),IF(L304&lt;AA304,J304*'13_Mapa_Liq'!$C$18,0),0)</f>
        <v>0</v>
      </c>
      <c r="AC304" s="151" t="str">
        <f aca="false">IF(ISNUMBER(B304),B304*(1-1/'13_Mapa_Liq'!$B$19+'13_Mapa_Liq'!$B$6),"")</f>
        <v/>
      </c>
      <c r="AD304" s="151" t="n">
        <f aca="false">IF(ISNUMBER(B304),IF(K304&gt;AC304,I304*'13_Mapa_Liq'!$C$19,0),0)</f>
        <v>0</v>
      </c>
      <c r="AE304" s="151" t="str">
        <f aca="false">IF(ISNUMBER(B304),B304*(1+1/'13_Mapa_Liq'!$B$19-'13_Mapa_Liq'!$B$6),"")</f>
        <v/>
      </c>
      <c r="AF304" s="151" t="n">
        <f aca="false">IF(ISNUMBER(B304),IF(L304&lt;AE304,J304*'13_Mapa_Liq'!$C$19,0),0)</f>
        <v>0</v>
      </c>
      <c r="AG304" s="151"/>
      <c r="AH304" s="151" t="n">
        <f aca="false">IF(ISNUMBER(B304),E304*F304*((K304&lt;=M304)*'13_Mapa_Liq'!$C$15+(K304&lt;=Q304)*'13_Mapa_Liq'!$C$16+(K304&lt;=U304)*'13_Mapa_Liq'!$C$17+(K304&lt;=Y304)*'13_Mapa_Liq'!$C$18+(K304&lt;=AC304)*'13_Mapa_Liq'!$C$19),0)</f>
        <v>0</v>
      </c>
      <c r="AI304" s="151" t="n">
        <f aca="false">IF(ISNUMBER(B304),E304*(1-F304)*((L304&gt;=O304)*'13_Mapa_Liq'!$C$15+(L304&gt;=S304)*'13_Mapa_Liq'!$C$16+(L304&gt;=W304)*'13_Mapa_Liq'!$C$17+(L304&gt;=AA304)*'13_Mapa_Liq'!$C$18+(L304&gt;=AE304)*'13_Mapa_Liq'!$C$19),0)</f>
        <v>0</v>
      </c>
    </row>
    <row r="305" customFormat="false" ht="15" hidden="false" customHeight="false" outlineLevel="0" collapsed="false">
      <c r="A305" s="151" t="str">
        <f aca="false">IF(ISNUMBER('12_Datos_5m'!F305),ROW()-4,"")</f>
        <v/>
      </c>
      <c r="B305" s="151" t="str">
        <f aca="false">IF(ISNUMBER('12_Datos_5m'!F305),'12_Datos_5m'!F305,"")</f>
        <v/>
      </c>
      <c r="C305" s="151" t="str">
        <f aca="false">IF(ISNUMBER('12_Datos_5m'!A305),'12_Datos_5m'!A305,"")</f>
        <v/>
      </c>
      <c r="D305" s="151" t="n">
        <f aca="false">IF(AND(ISNUMBER('12_Datos_5m'!I305),ISNUMBER('12_Datos_5m'!I304)),'12_Datos_5m'!I305-'12_Datos_5m'!I304,0)</f>
        <v>0</v>
      </c>
      <c r="E305" s="151" t="n">
        <f aca="false">MAX(0,D305)</f>
        <v>0</v>
      </c>
      <c r="F305" s="151" t="n">
        <f aca="false">IF(AND(ISNUMBER('12_Datos_5m'!G305),N('12_Datos_5m'!G305)&gt;0),'12_Datos_5m'!H305/'12_Datos_5m'!G305,0.5)</f>
        <v>0.5</v>
      </c>
      <c r="G305" s="151" t="n">
        <f aca="false">IF(ISNUMBER(C305),($C$2-C305)/3600000,0)</f>
        <v>0</v>
      </c>
      <c r="H305" s="151" t="n">
        <f aca="false">EXP(-G305/'13_Mapa_Liq'!$B$7)</f>
        <v>1</v>
      </c>
      <c r="I305" s="151" t="n">
        <f aca="false">E305*F305*H305</f>
        <v>0</v>
      </c>
      <c r="J305" s="151" t="n">
        <f aca="false">E305*(1-F305)*H305</f>
        <v>0</v>
      </c>
      <c r="K305" s="151" t="n">
        <f aca="false">IF(COUNT('12_Datos_5m'!E306:E$504)=0,1000000000000,MIN('12_Datos_5m'!E306:E$504))</f>
        <v>1000000000000</v>
      </c>
      <c r="L305" s="151" t="n">
        <f aca="false">IF(COUNT('12_Datos_5m'!D306:D$504)=0,0,MAX('12_Datos_5m'!D306:D$504))</f>
        <v>0</v>
      </c>
      <c r="M305" s="151" t="str">
        <f aca="false">IF(ISNUMBER(B305),B305*(1-1/'13_Mapa_Liq'!$B$15+'13_Mapa_Liq'!$B$6),"")</f>
        <v/>
      </c>
      <c r="N305" s="151" t="n">
        <f aca="false">IF(ISNUMBER(B305),IF(K305&gt;M305,I305*'13_Mapa_Liq'!$C$15,0),0)</f>
        <v>0</v>
      </c>
      <c r="O305" s="151" t="str">
        <f aca="false">IF(ISNUMBER(B305),B305*(1+1/'13_Mapa_Liq'!$B$15-'13_Mapa_Liq'!$B$6),"")</f>
        <v/>
      </c>
      <c r="P305" s="151" t="n">
        <f aca="false">IF(ISNUMBER(B305),IF(L305&lt;O305,J305*'13_Mapa_Liq'!$C$15,0),0)</f>
        <v>0</v>
      </c>
      <c r="Q305" s="151" t="str">
        <f aca="false">IF(ISNUMBER(B305),B305*(1-1/'13_Mapa_Liq'!$B$16+'13_Mapa_Liq'!$B$6),"")</f>
        <v/>
      </c>
      <c r="R305" s="151" t="n">
        <f aca="false">IF(ISNUMBER(B305),IF(K305&gt;Q305,I305*'13_Mapa_Liq'!$C$16,0),0)</f>
        <v>0</v>
      </c>
      <c r="S305" s="151" t="str">
        <f aca="false">IF(ISNUMBER(B305),B305*(1+1/'13_Mapa_Liq'!$B$16-'13_Mapa_Liq'!$B$6),"")</f>
        <v/>
      </c>
      <c r="T305" s="151" t="n">
        <f aca="false">IF(ISNUMBER(B305),IF(L305&lt;S305,J305*'13_Mapa_Liq'!$C$16,0),0)</f>
        <v>0</v>
      </c>
      <c r="U305" s="151" t="str">
        <f aca="false">IF(ISNUMBER(B305),B305*(1-1/'13_Mapa_Liq'!$B$17+'13_Mapa_Liq'!$B$6),"")</f>
        <v/>
      </c>
      <c r="V305" s="151" t="n">
        <f aca="false">IF(ISNUMBER(B305),IF(K305&gt;U305,I305*'13_Mapa_Liq'!$C$17,0),0)</f>
        <v>0</v>
      </c>
      <c r="W305" s="151" t="str">
        <f aca="false">IF(ISNUMBER(B305),B305*(1+1/'13_Mapa_Liq'!$B$17-'13_Mapa_Liq'!$B$6),"")</f>
        <v/>
      </c>
      <c r="X305" s="151" t="n">
        <f aca="false">IF(ISNUMBER(B305),IF(L305&lt;W305,J305*'13_Mapa_Liq'!$C$17,0),0)</f>
        <v>0</v>
      </c>
      <c r="Y305" s="151" t="str">
        <f aca="false">IF(ISNUMBER(B305),B305*(1-1/'13_Mapa_Liq'!$B$18+'13_Mapa_Liq'!$B$6),"")</f>
        <v/>
      </c>
      <c r="Z305" s="151" t="n">
        <f aca="false">IF(ISNUMBER(B305),IF(K305&gt;Y305,I305*'13_Mapa_Liq'!$C$18,0),0)</f>
        <v>0</v>
      </c>
      <c r="AA305" s="151" t="str">
        <f aca="false">IF(ISNUMBER(B305),B305*(1+1/'13_Mapa_Liq'!$B$18-'13_Mapa_Liq'!$B$6),"")</f>
        <v/>
      </c>
      <c r="AB305" s="151" t="n">
        <f aca="false">IF(ISNUMBER(B305),IF(L305&lt;AA305,J305*'13_Mapa_Liq'!$C$18,0),0)</f>
        <v>0</v>
      </c>
      <c r="AC305" s="151" t="str">
        <f aca="false">IF(ISNUMBER(B305),B305*(1-1/'13_Mapa_Liq'!$B$19+'13_Mapa_Liq'!$B$6),"")</f>
        <v/>
      </c>
      <c r="AD305" s="151" t="n">
        <f aca="false">IF(ISNUMBER(B305),IF(K305&gt;AC305,I305*'13_Mapa_Liq'!$C$19,0),0)</f>
        <v>0</v>
      </c>
      <c r="AE305" s="151" t="str">
        <f aca="false">IF(ISNUMBER(B305),B305*(1+1/'13_Mapa_Liq'!$B$19-'13_Mapa_Liq'!$B$6),"")</f>
        <v/>
      </c>
      <c r="AF305" s="151" t="n">
        <f aca="false">IF(ISNUMBER(B305),IF(L305&lt;AE305,J305*'13_Mapa_Liq'!$C$19,0),0)</f>
        <v>0</v>
      </c>
      <c r="AG305" s="151"/>
      <c r="AH305" s="151" t="n">
        <f aca="false">IF(ISNUMBER(B305),E305*F305*((K305&lt;=M305)*'13_Mapa_Liq'!$C$15+(K305&lt;=Q305)*'13_Mapa_Liq'!$C$16+(K305&lt;=U305)*'13_Mapa_Liq'!$C$17+(K305&lt;=Y305)*'13_Mapa_Liq'!$C$18+(K305&lt;=AC305)*'13_Mapa_Liq'!$C$19),0)</f>
        <v>0</v>
      </c>
      <c r="AI305" s="151" t="n">
        <f aca="false">IF(ISNUMBER(B305),E305*(1-F305)*((L305&gt;=O305)*'13_Mapa_Liq'!$C$15+(L305&gt;=S305)*'13_Mapa_Liq'!$C$16+(L305&gt;=W305)*'13_Mapa_Liq'!$C$17+(L305&gt;=AA305)*'13_Mapa_Liq'!$C$18+(L305&gt;=AE305)*'13_Mapa_Liq'!$C$19),0)</f>
        <v>0</v>
      </c>
    </row>
    <row r="306" customFormat="false" ht="15" hidden="false" customHeight="false" outlineLevel="0" collapsed="false">
      <c r="A306" s="151" t="str">
        <f aca="false">IF(ISNUMBER('12_Datos_5m'!F306),ROW()-4,"")</f>
        <v/>
      </c>
      <c r="B306" s="151" t="str">
        <f aca="false">IF(ISNUMBER('12_Datos_5m'!F306),'12_Datos_5m'!F306,"")</f>
        <v/>
      </c>
      <c r="C306" s="151" t="str">
        <f aca="false">IF(ISNUMBER('12_Datos_5m'!A306),'12_Datos_5m'!A306,"")</f>
        <v/>
      </c>
      <c r="D306" s="151" t="n">
        <f aca="false">IF(AND(ISNUMBER('12_Datos_5m'!I306),ISNUMBER('12_Datos_5m'!I305)),'12_Datos_5m'!I306-'12_Datos_5m'!I305,0)</f>
        <v>0</v>
      </c>
      <c r="E306" s="151" t="n">
        <f aca="false">MAX(0,D306)</f>
        <v>0</v>
      </c>
      <c r="F306" s="151" t="n">
        <f aca="false">IF(AND(ISNUMBER('12_Datos_5m'!G306),N('12_Datos_5m'!G306)&gt;0),'12_Datos_5m'!H306/'12_Datos_5m'!G306,0.5)</f>
        <v>0.5</v>
      </c>
      <c r="G306" s="151" t="n">
        <f aca="false">IF(ISNUMBER(C306),($C$2-C306)/3600000,0)</f>
        <v>0</v>
      </c>
      <c r="H306" s="151" t="n">
        <f aca="false">EXP(-G306/'13_Mapa_Liq'!$B$7)</f>
        <v>1</v>
      </c>
      <c r="I306" s="151" t="n">
        <f aca="false">E306*F306*H306</f>
        <v>0</v>
      </c>
      <c r="J306" s="151" t="n">
        <f aca="false">E306*(1-F306)*H306</f>
        <v>0</v>
      </c>
      <c r="K306" s="151" t="n">
        <f aca="false">IF(COUNT('12_Datos_5m'!E307:E$504)=0,1000000000000,MIN('12_Datos_5m'!E307:E$504))</f>
        <v>1000000000000</v>
      </c>
      <c r="L306" s="151" t="n">
        <f aca="false">IF(COUNT('12_Datos_5m'!D307:D$504)=0,0,MAX('12_Datos_5m'!D307:D$504))</f>
        <v>0</v>
      </c>
      <c r="M306" s="151" t="str">
        <f aca="false">IF(ISNUMBER(B306),B306*(1-1/'13_Mapa_Liq'!$B$15+'13_Mapa_Liq'!$B$6),"")</f>
        <v/>
      </c>
      <c r="N306" s="151" t="n">
        <f aca="false">IF(ISNUMBER(B306),IF(K306&gt;M306,I306*'13_Mapa_Liq'!$C$15,0),0)</f>
        <v>0</v>
      </c>
      <c r="O306" s="151" t="str">
        <f aca="false">IF(ISNUMBER(B306),B306*(1+1/'13_Mapa_Liq'!$B$15-'13_Mapa_Liq'!$B$6),"")</f>
        <v/>
      </c>
      <c r="P306" s="151" t="n">
        <f aca="false">IF(ISNUMBER(B306),IF(L306&lt;O306,J306*'13_Mapa_Liq'!$C$15,0),0)</f>
        <v>0</v>
      </c>
      <c r="Q306" s="151" t="str">
        <f aca="false">IF(ISNUMBER(B306),B306*(1-1/'13_Mapa_Liq'!$B$16+'13_Mapa_Liq'!$B$6),"")</f>
        <v/>
      </c>
      <c r="R306" s="151" t="n">
        <f aca="false">IF(ISNUMBER(B306),IF(K306&gt;Q306,I306*'13_Mapa_Liq'!$C$16,0),0)</f>
        <v>0</v>
      </c>
      <c r="S306" s="151" t="str">
        <f aca="false">IF(ISNUMBER(B306),B306*(1+1/'13_Mapa_Liq'!$B$16-'13_Mapa_Liq'!$B$6),"")</f>
        <v/>
      </c>
      <c r="T306" s="151" t="n">
        <f aca="false">IF(ISNUMBER(B306),IF(L306&lt;S306,J306*'13_Mapa_Liq'!$C$16,0),0)</f>
        <v>0</v>
      </c>
      <c r="U306" s="151" t="str">
        <f aca="false">IF(ISNUMBER(B306),B306*(1-1/'13_Mapa_Liq'!$B$17+'13_Mapa_Liq'!$B$6),"")</f>
        <v/>
      </c>
      <c r="V306" s="151" t="n">
        <f aca="false">IF(ISNUMBER(B306),IF(K306&gt;U306,I306*'13_Mapa_Liq'!$C$17,0),0)</f>
        <v>0</v>
      </c>
      <c r="W306" s="151" t="str">
        <f aca="false">IF(ISNUMBER(B306),B306*(1+1/'13_Mapa_Liq'!$B$17-'13_Mapa_Liq'!$B$6),"")</f>
        <v/>
      </c>
      <c r="X306" s="151" t="n">
        <f aca="false">IF(ISNUMBER(B306),IF(L306&lt;W306,J306*'13_Mapa_Liq'!$C$17,0),0)</f>
        <v>0</v>
      </c>
      <c r="Y306" s="151" t="str">
        <f aca="false">IF(ISNUMBER(B306),B306*(1-1/'13_Mapa_Liq'!$B$18+'13_Mapa_Liq'!$B$6),"")</f>
        <v/>
      </c>
      <c r="Z306" s="151" t="n">
        <f aca="false">IF(ISNUMBER(B306),IF(K306&gt;Y306,I306*'13_Mapa_Liq'!$C$18,0),0)</f>
        <v>0</v>
      </c>
      <c r="AA306" s="151" t="str">
        <f aca="false">IF(ISNUMBER(B306),B306*(1+1/'13_Mapa_Liq'!$B$18-'13_Mapa_Liq'!$B$6),"")</f>
        <v/>
      </c>
      <c r="AB306" s="151" t="n">
        <f aca="false">IF(ISNUMBER(B306),IF(L306&lt;AA306,J306*'13_Mapa_Liq'!$C$18,0),0)</f>
        <v>0</v>
      </c>
      <c r="AC306" s="151" t="str">
        <f aca="false">IF(ISNUMBER(B306),B306*(1-1/'13_Mapa_Liq'!$B$19+'13_Mapa_Liq'!$B$6),"")</f>
        <v/>
      </c>
      <c r="AD306" s="151" t="n">
        <f aca="false">IF(ISNUMBER(B306),IF(K306&gt;AC306,I306*'13_Mapa_Liq'!$C$19,0),0)</f>
        <v>0</v>
      </c>
      <c r="AE306" s="151" t="str">
        <f aca="false">IF(ISNUMBER(B306),B306*(1+1/'13_Mapa_Liq'!$B$19-'13_Mapa_Liq'!$B$6),"")</f>
        <v/>
      </c>
      <c r="AF306" s="151" t="n">
        <f aca="false">IF(ISNUMBER(B306),IF(L306&lt;AE306,J306*'13_Mapa_Liq'!$C$19,0),0)</f>
        <v>0</v>
      </c>
      <c r="AG306" s="151"/>
      <c r="AH306" s="151" t="n">
        <f aca="false">IF(ISNUMBER(B306),E306*F306*((K306&lt;=M306)*'13_Mapa_Liq'!$C$15+(K306&lt;=Q306)*'13_Mapa_Liq'!$C$16+(K306&lt;=U306)*'13_Mapa_Liq'!$C$17+(K306&lt;=Y306)*'13_Mapa_Liq'!$C$18+(K306&lt;=AC306)*'13_Mapa_Liq'!$C$19),0)</f>
        <v>0</v>
      </c>
      <c r="AI306" s="151" t="n">
        <f aca="false">IF(ISNUMBER(B306),E306*(1-F306)*((L306&gt;=O306)*'13_Mapa_Liq'!$C$15+(L306&gt;=S306)*'13_Mapa_Liq'!$C$16+(L306&gt;=W306)*'13_Mapa_Liq'!$C$17+(L306&gt;=AA306)*'13_Mapa_Liq'!$C$18+(L306&gt;=AE306)*'13_Mapa_Liq'!$C$19),0)</f>
        <v>0</v>
      </c>
    </row>
    <row r="307" customFormat="false" ht="15" hidden="false" customHeight="false" outlineLevel="0" collapsed="false">
      <c r="A307" s="151" t="str">
        <f aca="false">IF(ISNUMBER('12_Datos_5m'!F307),ROW()-4,"")</f>
        <v/>
      </c>
      <c r="B307" s="151" t="str">
        <f aca="false">IF(ISNUMBER('12_Datos_5m'!F307),'12_Datos_5m'!F307,"")</f>
        <v/>
      </c>
      <c r="C307" s="151" t="str">
        <f aca="false">IF(ISNUMBER('12_Datos_5m'!A307),'12_Datos_5m'!A307,"")</f>
        <v/>
      </c>
      <c r="D307" s="151" t="n">
        <f aca="false">IF(AND(ISNUMBER('12_Datos_5m'!I307),ISNUMBER('12_Datos_5m'!I306)),'12_Datos_5m'!I307-'12_Datos_5m'!I306,0)</f>
        <v>0</v>
      </c>
      <c r="E307" s="151" t="n">
        <f aca="false">MAX(0,D307)</f>
        <v>0</v>
      </c>
      <c r="F307" s="151" t="n">
        <f aca="false">IF(AND(ISNUMBER('12_Datos_5m'!G307),N('12_Datos_5m'!G307)&gt;0),'12_Datos_5m'!H307/'12_Datos_5m'!G307,0.5)</f>
        <v>0.5</v>
      </c>
      <c r="G307" s="151" t="n">
        <f aca="false">IF(ISNUMBER(C307),($C$2-C307)/3600000,0)</f>
        <v>0</v>
      </c>
      <c r="H307" s="151" t="n">
        <f aca="false">EXP(-G307/'13_Mapa_Liq'!$B$7)</f>
        <v>1</v>
      </c>
      <c r="I307" s="151" t="n">
        <f aca="false">E307*F307*H307</f>
        <v>0</v>
      </c>
      <c r="J307" s="151" t="n">
        <f aca="false">E307*(1-F307)*H307</f>
        <v>0</v>
      </c>
      <c r="K307" s="151" t="n">
        <f aca="false">IF(COUNT('12_Datos_5m'!E308:E$504)=0,1000000000000,MIN('12_Datos_5m'!E308:E$504))</f>
        <v>1000000000000</v>
      </c>
      <c r="L307" s="151" t="n">
        <f aca="false">IF(COUNT('12_Datos_5m'!D308:D$504)=0,0,MAX('12_Datos_5m'!D308:D$504))</f>
        <v>0</v>
      </c>
      <c r="M307" s="151" t="str">
        <f aca="false">IF(ISNUMBER(B307),B307*(1-1/'13_Mapa_Liq'!$B$15+'13_Mapa_Liq'!$B$6),"")</f>
        <v/>
      </c>
      <c r="N307" s="151" t="n">
        <f aca="false">IF(ISNUMBER(B307),IF(K307&gt;M307,I307*'13_Mapa_Liq'!$C$15,0),0)</f>
        <v>0</v>
      </c>
      <c r="O307" s="151" t="str">
        <f aca="false">IF(ISNUMBER(B307),B307*(1+1/'13_Mapa_Liq'!$B$15-'13_Mapa_Liq'!$B$6),"")</f>
        <v/>
      </c>
      <c r="P307" s="151" t="n">
        <f aca="false">IF(ISNUMBER(B307),IF(L307&lt;O307,J307*'13_Mapa_Liq'!$C$15,0),0)</f>
        <v>0</v>
      </c>
      <c r="Q307" s="151" t="str">
        <f aca="false">IF(ISNUMBER(B307),B307*(1-1/'13_Mapa_Liq'!$B$16+'13_Mapa_Liq'!$B$6),"")</f>
        <v/>
      </c>
      <c r="R307" s="151" t="n">
        <f aca="false">IF(ISNUMBER(B307),IF(K307&gt;Q307,I307*'13_Mapa_Liq'!$C$16,0),0)</f>
        <v>0</v>
      </c>
      <c r="S307" s="151" t="str">
        <f aca="false">IF(ISNUMBER(B307),B307*(1+1/'13_Mapa_Liq'!$B$16-'13_Mapa_Liq'!$B$6),"")</f>
        <v/>
      </c>
      <c r="T307" s="151" t="n">
        <f aca="false">IF(ISNUMBER(B307),IF(L307&lt;S307,J307*'13_Mapa_Liq'!$C$16,0),0)</f>
        <v>0</v>
      </c>
      <c r="U307" s="151" t="str">
        <f aca="false">IF(ISNUMBER(B307),B307*(1-1/'13_Mapa_Liq'!$B$17+'13_Mapa_Liq'!$B$6),"")</f>
        <v/>
      </c>
      <c r="V307" s="151" t="n">
        <f aca="false">IF(ISNUMBER(B307),IF(K307&gt;U307,I307*'13_Mapa_Liq'!$C$17,0),0)</f>
        <v>0</v>
      </c>
      <c r="W307" s="151" t="str">
        <f aca="false">IF(ISNUMBER(B307),B307*(1+1/'13_Mapa_Liq'!$B$17-'13_Mapa_Liq'!$B$6),"")</f>
        <v/>
      </c>
      <c r="X307" s="151" t="n">
        <f aca="false">IF(ISNUMBER(B307),IF(L307&lt;W307,J307*'13_Mapa_Liq'!$C$17,0),0)</f>
        <v>0</v>
      </c>
      <c r="Y307" s="151" t="str">
        <f aca="false">IF(ISNUMBER(B307),B307*(1-1/'13_Mapa_Liq'!$B$18+'13_Mapa_Liq'!$B$6),"")</f>
        <v/>
      </c>
      <c r="Z307" s="151" t="n">
        <f aca="false">IF(ISNUMBER(B307),IF(K307&gt;Y307,I307*'13_Mapa_Liq'!$C$18,0),0)</f>
        <v>0</v>
      </c>
      <c r="AA307" s="151" t="str">
        <f aca="false">IF(ISNUMBER(B307),B307*(1+1/'13_Mapa_Liq'!$B$18-'13_Mapa_Liq'!$B$6),"")</f>
        <v/>
      </c>
      <c r="AB307" s="151" t="n">
        <f aca="false">IF(ISNUMBER(B307),IF(L307&lt;AA307,J307*'13_Mapa_Liq'!$C$18,0),0)</f>
        <v>0</v>
      </c>
      <c r="AC307" s="151" t="str">
        <f aca="false">IF(ISNUMBER(B307),B307*(1-1/'13_Mapa_Liq'!$B$19+'13_Mapa_Liq'!$B$6),"")</f>
        <v/>
      </c>
      <c r="AD307" s="151" t="n">
        <f aca="false">IF(ISNUMBER(B307),IF(K307&gt;AC307,I307*'13_Mapa_Liq'!$C$19,0),0)</f>
        <v>0</v>
      </c>
      <c r="AE307" s="151" t="str">
        <f aca="false">IF(ISNUMBER(B307),B307*(1+1/'13_Mapa_Liq'!$B$19-'13_Mapa_Liq'!$B$6),"")</f>
        <v/>
      </c>
      <c r="AF307" s="151" t="n">
        <f aca="false">IF(ISNUMBER(B307),IF(L307&lt;AE307,J307*'13_Mapa_Liq'!$C$19,0),0)</f>
        <v>0</v>
      </c>
      <c r="AG307" s="151"/>
      <c r="AH307" s="151" t="n">
        <f aca="false">IF(ISNUMBER(B307),E307*F307*((K307&lt;=M307)*'13_Mapa_Liq'!$C$15+(K307&lt;=Q307)*'13_Mapa_Liq'!$C$16+(K307&lt;=U307)*'13_Mapa_Liq'!$C$17+(K307&lt;=Y307)*'13_Mapa_Liq'!$C$18+(K307&lt;=AC307)*'13_Mapa_Liq'!$C$19),0)</f>
        <v>0</v>
      </c>
      <c r="AI307" s="151" t="n">
        <f aca="false">IF(ISNUMBER(B307),E307*(1-F307)*((L307&gt;=O307)*'13_Mapa_Liq'!$C$15+(L307&gt;=S307)*'13_Mapa_Liq'!$C$16+(L307&gt;=W307)*'13_Mapa_Liq'!$C$17+(L307&gt;=AA307)*'13_Mapa_Liq'!$C$18+(L307&gt;=AE307)*'13_Mapa_Liq'!$C$19),0)</f>
        <v>0</v>
      </c>
    </row>
    <row r="308" customFormat="false" ht="15" hidden="false" customHeight="false" outlineLevel="0" collapsed="false">
      <c r="A308" s="151" t="str">
        <f aca="false">IF(ISNUMBER('12_Datos_5m'!F308),ROW()-4,"")</f>
        <v/>
      </c>
      <c r="B308" s="151" t="str">
        <f aca="false">IF(ISNUMBER('12_Datos_5m'!F308),'12_Datos_5m'!F308,"")</f>
        <v/>
      </c>
      <c r="C308" s="151" t="str">
        <f aca="false">IF(ISNUMBER('12_Datos_5m'!A308),'12_Datos_5m'!A308,"")</f>
        <v/>
      </c>
      <c r="D308" s="151" t="n">
        <f aca="false">IF(AND(ISNUMBER('12_Datos_5m'!I308),ISNUMBER('12_Datos_5m'!I307)),'12_Datos_5m'!I308-'12_Datos_5m'!I307,0)</f>
        <v>0</v>
      </c>
      <c r="E308" s="151" t="n">
        <f aca="false">MAX(0,D308)</f>
        <v>0</v>
      </c>
      <c r="F308" s="151" t="n">
        <f aca="false">IF(AND(ISNUMBER('12_Datos_5m'!G308),N('12_Datos_5m'!G308)&gt;0),'12_Datos_5m'!H308/'12_Datos_5m'!G308,0.5)</f>
        <v>0.5</v>
      </c>
      <c r="G308" s="151" t="n">
        <f aca="false">IF(ISNUMBER(C308),($C$2-C308)/3600000,0)</f>
        <v>0</v>
      </c>
      <c r="H308" s="151" t="n">
        <f aca="false">EXP(-G308/'13_Mapa_Liq'!$B$7)</f>
        <v>1</v>
      </c>
      <c r="I308" s="151" t="n">
        <f aca="false">E308*F308*H308</f>
        <v>0</v>
      </c>
      <c r="J308" s="151" t="n">
        <f aca="false">E308*(1-F308)*H308</f>
        <v>0</v>
      </c>
      <c r="K308" s="151" t="n">
        <f aca="false">IF(COUNT('12_Datos_5m'!E309:E$504)=0,1000000000000,MIN('12_Datos_5m'!E309:E$504))</f>
        <v>1000000000000</v>
      </c>
      <c r="L308" s="151" t="n">
        <f aca="false">IF(COUNT('12_Datos_5m'!D309:D$504)=0,0,MAX('12_Datos_5m'!D309:D$504))</f>
        <v>0</v>
      </c>
      <c r="M308" s="151" t="str">
        <f aca="false">IF(ISNUMBER(B308),B308*(1-1/'13_Mapa_Liq'!$B$15+'13_Mapa_Liq'!$B$6),"")</f>
        <v/>
      </c>
      <c r="N308" s="151" t="n">
        <f aca="false">IF(ISNUMBER(B308),IF(K308&gt;M308,I308*'13_Mapa_Liq'!$C$15,0),0)</f>
        <v>0</v>
      </c>
      <c r="O308" s="151" t="str">
        <f aca="false">IF(ISNUMBER(B308),B308*(1+1/'13_Mapa_Liq'!$B$15-'13_Mapa_Liq'!$B$6),"")</f>
        <v/>
      </c>
      <c r="P308" s="151" t="n">
        <f aca="false">IF(ISNUMBER(B308),IF(L308&lt;O308,J308*'13_Mapa_Liq'!$C$15,0),0)</f>
        <v>0</v>
      </c>
      <c r="Q308" s="151" t="str">
        <f aca="false">IF(ISNUMBER(B308),B308*(1-1/'13_Mapa_Liq'!$B$16+'13_Mapa_Liq'!$B$6),"")</f>
        <v/>
      </c>
      <c r="R308" s="151" t="n">
        <f aca="false">IF(ISNUMBER(B308),IF(K308&gt;Q308,I308*'13_Mapa_Liq'!$C$16,0),0)</f>
        <v>0</v>
      </c>
      <c r="S308" s="151" t="str">
        <f aca="false">IF(ISNUMBER(B308),B308*(1+1/'13_Mapa_Liq'!$B$16-'13_Mapa_Liq'!$B$6),"")</f>
        <v/>
      </c>
      <c r="T308" s="151" t="n">
        <f aca="false">IF(ISNUMBER(B308),IF(L308&lt;S308,J308*'13_Mapa_Liq'!$C$16,0),0)</f>
        <v>0</v>
      </c>
      <c r="U308" s="151" t="str">
        <f aca="false">IF(ISNUMBER(B308),B308*(1-1/'13_Mapa_Liq'!$B$17+'13_Mapa_Liq'!$B$6),"")</f>
        <v/>
      </c>
      <c r="V308" s="151" t="n">
        <f aca="false">IF(ISNUMBER(B308),IF(K308&gt;U308,I308*'13_Mapa_Liq'!$C$17,0),0)</f>
        <v>0</v>
      </c>
      <c r="W308" s="151" t="str">
        <f aca="false">IF(ISNUMBER(B308),B308*(1+1/'13_Mapa_Liq'!$B$17-'13_Mapa_Liq'!$B$6),"")</f>
        <v/>
      </c>
      <c r="X308" s="151" t="n">
        <f aca="false">IF(ISNUMBER(B308),IF(L308&lt;W308,J308*'13_Mapa_Liq'!$C$17,0),0)</f>
        <v>0</v>
      </c>
      <c r="Y308" s="151" t="str">
        <f aca="false">IF(ISNUMBER(B308),B308*(1-1/'13_Mapa_Liq'!$B$18+'13_Mapa_Liq'!$B$6),"")</f>
        <v/>
      </c>
      <c r="Z308" s="151" t="n">
        <f aca="false">IF(ISNUMBER(B308),IF(K308&gt;Y308,I308*'13_Mapa_Liq'!$C$18,0),0)</f>
        <v>0</v>
      </c>
      <c r="AA308" s="151" t="str">
        <f aca="false">IF(ISNUMBER(B308),B308*(1+1/'13_Mapa_Liq'!$B$18-'13_Mapa_Liq'!$B$6),"")</f>
        <v/>
      </c>
      <c r="AB308" s="151" t="n">
        <f aca="false">IF(ISNUMBER(B308),IF(L308&lt;AA308,J308*'13_Mapa_Liq'!$C$18,0),0)</f>
        <v>0</v>
      </c>
      <c r="AC308" s="151" t="str">
        <f aca="false">IF(ISNUMBER(B308),B308*(1-1/'13_Mapa_Liq'!$B$19+'13_Mapa_Liq'!$B$6),"")</f>
        <v/>
      </c>
      <c r="AD308" s="151" t="n">
        <f aca="false">IF(ISNUMBER(B308),IF(K308&gt;AC308,I308*'13_Mapa_Liq'!$C$19,0),0)</f>
        <v>0</v>
      </c>
      <c r="AE308" s="151" t="str">
        <f aca="false">IF(ISNUMBER(B308),B308*(1+1/'13_Mapa_Liq'!$B$19-'13_Mapa_Liq'!$B$6),"")</f>
        <v/>
      </c>
      <c r="AF308" s="151" t="n">
        <f aca="false">IF(ISNUMBER(B308),IF(L308&lt;AE308,J308*'13_Mapa_Liq'!$C$19,0),0)</f>
        <v>0</v>
      </c>
      <c r="AG308" s="151"/>
      <c r="AH308" s="151" t="n">
        <f aca="false">IF(ISNUMBER(B308),E308*F308*((K308&lt;=M308)*'13_Mapa_Liq'!$C$15+(K308&lt;=Q308)*'13_Mapa_Liq'!$C$16+(K308&lt;=U308)*'13_Mapa_Liq'!$C$17+(K308&lt;=Y308)*'13_Mapa_Liq'!$C$18+(K308&lt;=AC308)*'13_Mapa_Liq'!$C$19),0)</f>
        <v>0</v>
      </c>
      <c r="AI308" s="151" t="n">
        <f aca="false">IF(ISNUMBER(B308),E308*(1-F308)*((L308&gt;=O308)*'13_Mapa_Liq'!$C$15+(L308&gt;=S308)*'13_Mapa_Liq'!$C$16+(L308&gt;=W308)*'13_Mapa_Liq'!$C$17+(L308&gt;=AA308)*'13_Mapa_Liq'!$C$18+(L308&gt;=AE308)*'13_Mapa_Liq'!$C$19),0)</f>
        <v>0</v>
      </c>
    </row>
    <row r="309" customFormat="false" ht="15" hidden="false" customHeight="false" outlineLevel="0" collapsed="false">
      <c r="A309" s="151" t="str">
        <f aca="false">IF(ISNUMBER('12_Datos_5m'!F309),ROW()-4,"")</f>
        <v/>
      </c>
      <c r="B309" s="151" t="str">
        <f aca="false">IF(ISNUMBER('12_Datos_5m'!F309),'12_Datos_5m'!F309,"")</f>
        <v/>
      </c>
      <c r="C309" s="151" t="str">
        <f aca="false">IF(ISNUMBER('12_Datos_5m'!A309),'12_Datos_5m'!A309,"")</f>
        <v/>
      </c>
      <c r="D309" s="151" t="n">
        <f aca="false">IF(AND(ISNUMBER('12_Datos_5m'!I309),ISNUMBER('12_Datos_5m'!I308)),'12_Datos_5m'!I309-'12_Datos_5m'!I308,0)</f>
        <v>0</v>
      </c>
      <c r="E309" s="151" t="n">
        <f aca="false">MAX(0,D309)</f>
        <v>0</v>
      </c>
      <c r="F309" s="151" t="n">
        <f aca="false">IF(AND(ISNUMBER('12_Datos_5m'!G309),N('12_Datos_5m'!G309)&gt;0),'12_Datos_5m'!H309/'12_Datos_5m'!G309,0.5)</f>
        <v>0.5</v>
      </c>
      <c r="G309" s="151" t="n">
        <f aca="false">IF(ISNUMBER(C309),($C$2-C309)/3600000,0)</f>
        <v>0</v>
      </c>
      <c r="H309" s="151" t="n">
        <f aca="false">EXP(-G309/'13_Mapa_Liq'!$B$7)</f>
        <v>1</v>
      </c>
      <c r="I309" s="151" t="n">
        <f aca="false">E309*F309*H309</f>
        <v>0</v>
      </c>
      <c r="J309" s="151" t="n">
        <f aca="false">E309*(1-F309)*H309</f>
        <v>0</v>
      </c>
      <c r="K309" s="151" t="n">
        <f aca="false">IF(COUNT('12_Datos_5m'!E310:E$504)=0,1000000000000,MIN('12_Datos_5m'!E310:E$504))</f>
        <v>1000000000000</v>
      </c>
      <c r="L309" s="151" t="n">
        <f aca="false">IF(COUNT('12_Datos_5m'!D310:D$504)=0,0,MAX('12_Datos_5m'!D310:D$504))</f>
        <v>0</v>
      </c>
      <c r="M309" s="151" t="str">
        <f aca="false">IF(ISNUMBER(B309),B309*(1-1/'13_Mapa_Liq'!$B$15+'13_Mapa_Liq'!$B$6),"")</f>
        <v/>
      </c>
      <c r="N309" s="151" t="n">
        <f aca="false">IF(ISNUMBER(B309),IF(K309&gt;M309,I309*'13_Mapa_Liq'!$C$15,0),0)</f>
        <v>0</v>
      </c>
      <c r="O309" s="151" t="str">
        <f aca="false">IF(ISNUMBER(B309),B309*(1+1/'13_Mapa_Liq'!$B$15-'13_Mapa_Liq'!$B$6),"")</f>
        <v/>
      </c>
      <c r="P309" s="151" t="n">
        <f aca="false">IF(ISNUMBER(B309),IF(L309&lt;O309,J309*'13_Mapa_Liq'!$C$15,0),0)</f>
        <v>0</v>
      </c>
      <c r="Q309" s="151" t="str">
        <f aca="false">IF(ISNUMBER(B309),B309*(1-1/'13_Mapa_Liq'!$B$16+'13_Mapa_Liq'!$B$6),"")</f>
        <v/>
      </c>
      <c r="R309" s="151" t="n">
        <f aca="false">IF(ISNUMBER(B309),IF(K309&gt;Q309,I309*'13_Mapa_Liq'!$C$16,0),0)</f>
        <v>0</v>
      </c>
      <c r="S309" s="151" t="str">
        <f aca="false">IF(ISNUMBER(B309),B309*(1+1/'13_Mapa_Liq'!$B$16-'13_Mapa_Liq'!$B$6),"")</f>
        <v/>
      </c>
      <c r="T309" s="151" t="n">
        <f aca="false">IF(ISNUMBER(B309),IF(L309&lt;S309,J309*'13_Mapa_Liq'!$C$16,0),0)</f>
        <v>0</v>
      </c>
      <c r="U309" s="151" t="str">
        <f aca="false">IF(ISNUMBER(B309),B309*(1-1/'13_Mapa_Liq'!$B$17+'13_Mapa_Liq'!$B$6),"")</f>
        <v/>
      </c>
      <c r="V309" s="151" t="n">
        <f aca="false">IF(ISNUMBER(B309),IF(K309&gt;U309,I309*'13_Mapa_Liq'!$C$17,0),0)</f>
        <v>0</v>
      </c>
      <c r="W309" s="151" t="str">
        <f aca="false">IF(ISNUMBER(B309),B309*(1+1/'13_Mapa_Liq'!$B$17-'13_Mapa_Liq'!$B$6),"")</f>
        <v/>
      </c>
      <c r="X309" s="151" t="n">
        <f aca="false">IF(ISNUMBER(B309),IF(L309&lt;W309,J309*'13_Mapa_Liq'!$C$17,0),0)</f>
        <v>0</v>
      </c>
      <c r="Y309" s="151" t="str">
        <f aca="false">IF(ISNUMBER(B309),B309*(1-1/'13_Mapa_Liq'!$B$18+'13_Mapa_Liq'!$B$6),"")</f>
        <v/>
      </c>
      <c r="Z309" s="151" t="n">
        <f aca="false">IF(ISNUMBER(B309),IF(K309&gt;Y309,I309*'13_Mapa_Liq'!$C$18,0),0)</f>
        <v>0</v>
      </c>
      <c r="AA309" s="151" t="str">
        <f aca="false">IF(ISNUMBER(B309),B309*(1+1/'13_Mapa_Liq'!$B$18-'13_Mapa_Liq'!$B$6),"")</f>
        <v/>
      </c>
      <c r="AB309" s="151" t="n">
        <f aca="false">IF(ISNUMBER(B309),IF(L309&lt;AA309,J309*'13_Mapa_Liq'!$C$18,0),0)</f>
        <v>0</v>
      </c>
      <c r="AC309" s="151" t="str">
        <f aca="false">IF(ISNUMBER(B309),B309*(1-1/'13_Mapa_Liq'!$B$19+'13_Mapa_Liq'!$B$6),"")</f>
        <v/>
      </c>
      <c r="AD309" s="151" t="n">
        <f aca="false">IF(ISNUMBER(B309),IF(K309&gt;AC309,I309*'13_Mapa_Liq'!$C$19,0),0)</f>
        <v>0</v>
      </c>
      <c r="AE309" s="151" t="str">
        <f aca="false">IF(ISNUMBER(B309),B309*(1+1/'13_Mapa_Liq'!$B$19-'13_Mapa_Liq'!$B$6),"")</f>
        <v/>
      </c>
      <c r="AF309" s="151" t="n">
        <f aca="false">IF(ISNUMBER(B309),IF(L309&lt;AE309,J309*'13_Mapa_Liq'!$C$19,0),0)</f>
        <v>0</v>
      </c>
      <c r="AG309" s="151"/>
      <c r="AH309" s="151" t="n">
        <f aca="false">IF(ISNUMBER(B309),E309*F309*((K309&lt;=M309)*'13_Mapa_Liq'!$C$15+(K309&lt;=Q309)*'13_Mapa_Liq'!$C$16+(K309&lt;=U309)*'13_Mapa_Liq'!$C$17+(K309&lt;=Y309)*'13_Mapa_Liq'!$C$18+(K309&lt;=AC309)*'13_Mapa_Liq'!$C$19),0)</f>
        <v>0</v>
      </c>
      <c r="AI309" s="151" t="n">
        <f aca="false">IF(ISNUMBER(B309),E309*(1-F309)*((L309&gt;=O309)*'13_Mapa_Liq'!$C$15+(L309&gt;=S309)*'13_Mapa_Liq'!$C$16+(L309&gt;=W309)*'13_Mapa_Liq'!$C$17+(L309&gt;=AA309)*'13_Mapa_Liq'!$C$18+(L309&gt;=AE309)*'13_Mapa_Liq'!$C$19),0)</f>
        <v>0</v>
      </c>
    </row>
    <row r="310" customFormat="false" ht="15" hidden="false" customHeight="false" outlineLevel="0" collapsed="false">
      <c r="A310" s="151" t="str">
        <f aca="false">IF(ISNUMBER('12_Datos_5m'!F310),ROW()-4,"")</f>
        <v/>
      </c>
      <c r="B310" s="151" t="str">
        <f aca="false">IF(ISNUMBER('12_Datos_5m'!F310),'12_Datos_5m'!F310,"")</f>
        <v/>
      </c>
      <c r="C310" s="151" t="str">
        <f aca="false">IF(ISNUMBER('12_Datos_5m'!A310),'12_Datos_5m'!A310,"")</f>
        <v/>
      </c>
      <c r="D310" s="151" t="n">
        <f aca="false">IF(AND(ISNUMBER('12_Datos_5m'!I310),ISNUMBER('12_Datos_5m'!I309)),'12_Datos_5m'!I310-'12_Datos_5m'!I309,0)</f>
        <v>0</v>
      </c>
      <c r="E310" s="151" t="n">
        <f aca="false">MAX(0,D310)</f>
        <v>0</v>
      </c>
      <c r="F310" s="151" t="n">
        <f aca="false">IF(AND(ISNUMBER('12_Datos_5m'!G310),N('12_Datos_5m'!G310)&gt;0),'12_Datos_5m'!H310/'12_Datos_5m'!G310,0.5)</f>
        <v>0.5</v>
      </c>
      <c r="G310" s="151" t="n">
        <f aca="false">IF(ISNUMBER(C310),($C$2-C310)/3600000,0)</f>
        <v>0</v>
      </c>
      <c r="H310" s="151" t="n">
        <f aca="false">EXP(-G310/'13_Mapa_Liq'!$B$7)</f>
        <v>1</v>
      </c>
      <c r="I310" s="151" t="n">
        <f aca="false">E310*F310*H310</f>
        <v>0</v>
      </c>
      <c r="J310" s="151" t="n">
        <f aca="false">E310*(1-F310)*H310</f>
        <v>0</v>
      </c>
      <c r="K310" s="151" t="n">
        <f aca="false">IF(COUNT('12_Datos_5m'!E311:E$504)=0,1000000000000,MIN('12_Datos_5m'!E311:E$504))</f>
        <v>1000000000000</v>
      </c>
      <c r="L310" s="151" t="n">
        <f aca="false">IF(COUNT('12_Datos_5m'!D311:D$504)=0,0,MAX('12_Datos_5m'!D311:D$504))</f>
        <v>0</v>
      </c>
      <c r="M310" s="151" t="str">
        <f aca="false">IF(ISNUMBER(B310),B310*(1-1/'13_Mapa_Liq'!$B$15+'13_Mapa_Liq'!$B$6),"")</f>
        <v/>
      </c>
      <c r="N310" s="151" t="n">
        <f aca="false">IF(ISNUMBER(B310),IF(K310&gt;M310,I310*'13_Mapa_Liq'!$C$15,0),0)</f>
        <v>0</v>
      </c>
      <c r="O310" s="151" t="str">
        <f aca="false">IF(ISNUMBER(B310),B310*(1+1/'13_Mapa_Liq'!$B$15-'13_Mapa_Liq'!$B$6),"")</f>
        <v/>
      </c>
      <c r="P310" s="151" t="n">
        <f aca="false">IF(ISNUMBER(B310),IF(L310&lt;O310,J310*'13_Mapa_Liq'!$C$15,0),0)</f>
        <v>0</v>
      </c>
      <c r="Q310" s="151" t="str">
        <f aca="false">IF(ISNUMBER(B310),B310*(1-1/'13_Mapa_Liq'!$B$16+'13_Mapa_Liq'!$B$6),"")</f>
        <v/>
      </c>
      <c r="R310" s="151" t="n">
        <f aca="false">IF(ISNUMBER(B310),IF(K310&gt;Q310,I310*'13_Mapa_Liq'!$C$16,0),0)</f>
        <v>0</v>
      </c>
      <c r="S310" s="151" t="str">
        <f aca="false">IF(ISNUMBER(B310),B310*(1+1/'13_Mapa_Liq'!$B$16-'13_Mapa_Liq'!$B$6),"")</f>
        <v/>
      </c>
      <c r="T310" s="151" t="n">
        <f aca="false">IF(ISNUMBER(B310),IF(L310&lt;S310,J310*'13_Mapa_Liq'!$C$16,0),0)</f>
        <v>0</v>
      </c>
      <c r="U310" s="151" t="str">
        <f aca="false">IF(ISNUMBER(B310),B310*(1-1/'13_Mapa_Liq'!$B$17+'13_Mapa_Liq'!$B$6),"")</f>
        <v/>
      </c>
      <c r="V310" s="151" t="n">
        <f aca="false">IF(ISNUMBER(B310),IF(K310&gt;U310,I310*'13_Mapa_Liq'!$C$17,0),0)</f>
        <v>0</v>
      </c>
      <c r="W310" s="151" t="str">
        <f aca="false">IF(ISNUMBER(B310),B310*(1+1/'13_Mapa_Liq'!$B$17-'13_Mapa_Liq'!$B$6),"")</f>
        <v/>
      </c>
      <c r="X310" s="151" t="n">
        <f aca="false">IF(ISNUMBER(B310),IF(L310&lt;W310,J310*'13_Mapa_Liq'!$C$17,0),0)</f>
        <v>0</v>
      </c>
      <c r="Y310" s="151" t="str">
        <f aca="false">IF(ISNUMBER(B310),B310*(1-1/'13_Mapa_Liq'!$B$18+'13_Mapa_Liq'!$B$6),"")</f>
        <v/>
      </c>
      <c r="Z310" s="151" t="n">
        <f aca="false">IF(ISNUMBER(B310),IF(K310&gt;Y310,I310*'13_Mapa_Liq'!$C$18,0),0)</f>
        <v>0</v>
      </c>
      <c r="AA310" s="151" t="str">
        <f aca="false">IF(ISNUMBER(B310),B310*(1+1/'13_Mapa_Liq'!$B$18-'13_Mapa_Liq'!$B$6),"")</f>
        <v/>
      </c>
      <c r="AB310" s="151" t="n">
        <f aca="false">IF(ISNUMBER(B310),IF(L310&lt;AA310,J310*'13_Mapa_Liq'!$C$18,0),0)</f>
        <v>0</v>
      </c>
      <c r="AC310" s="151" t="str">
        <f aca="false">IF(ISNUMBER(B310),B310*(1-1/'13_Mapa_Liq'!$B$19+'13_Mapa_Liq'!$B$6),"")</f>
        <v/>
      </c>
      <c r="AD310" s="151" t="n">
        <f aca="false">IF(ISNUMBER(B310),IF(K310&gt;AC310,I310*'13_Mapa_Liq'!$C$19,0),0)</f>
        <v>0</v>
      </c>
      <c r="AE310" s="151" t="str">
        <f aca="false">IF(ISNUMBER(B310),B310*(1+1/'13_Mapa_Liq'!$B$19-'13_Mapa_Liq'!$B$6),"")</f>
        <v/>
      </c>
      <c r="AF310" s="151" t="n">
        <f aca="false">IF(ISNUMBER(B310),IF(L310&lt;AE310,J310*'13_Mapa_Liq'!$C$19,0),0)</f>
        <v>0</v>
      </c>
      <c r="AG310" s="151"/>
      <c r="AH310" s="151" t="n">
        <f aca="false">IF(ISNUMBER(B310),E310*F310*((K310&lt;=M310)*'13_Mapa_Liq'!$C$15+(K310&lt;=Q310)*'13_Mapa_Liq'!$C$16+(K310&lt;=U310)*'13_Mapa_Liq'!$C$17+(K310&lt;=Y310)*'13_Mapa_Liq'!$C$18+(K310&lt;=AC310)*'13_Mapa_Liq'!$C$19),0)</f>
        <v>0</v>
      </c>
      <c r="AI310" s="151" t="n">
        <f aca="false">IF(ISNUMBER(B310),E310*(1-F310)*((L310&gt;=O310)*'13_Mapa_Liq'!$C$15+(L310&gt;=S310)*'13_Mapa_Liq'!$C$16+(L310&gt;=W310)*'13_Mapa_Liq'!$C$17+(L310&gt;=AA310)*'13_Mapa_Liq'!$C$18+(L310&gt;=AE310)*'13_Mapa_Liq'!$C$19),0)</f>
        <v>0</v>
      </c>
    </row>
    <row r="311" customFormat="false" ht="15" hidden="false" customHeight="false" outlineLevel="0" collapsed="false">
      <c r="A311" s="151" t="str">
        <f aca="false">IF(ISNUMBER('12_Datos_5m'!F311),ROW()-4,"")</f>
        <v/>
      </c>
      <c r="B311" s="151" t="str">
        <f aca="false">IF(ISNUMBER('12_Datos_5m'!F311),'12_Datos_5m'!F311,"")</f>
        <v/>
      </c>
      <c r="C311" s="151" t="str">
        <f aca="false">IF(ISNUMBER('12_Datos_5m'!A311),'12_Datos_5m'!A311,"")</f>
        <v/>
      </c>
      <c r="D311" s="151" t="n">
        <f aca="false">IF(AND(ISNUMBER('12_Datos_5m'!I311),ISNUMBER('12_Datos_5m'!I310)),'12_Datos_5m'!I311-'12_Datos_5m'!I310,0)</f>
        <v>0</v>
      </c>
      <c r="E311" s="151" t="n">
        <f aca="false">MAX(0,D311)</f>
        <v>0</v>
      </c>
      <c r="F311" s="151" t="n">
        <f aca="false">IF(AND(ISNUMBER('12_Datos_5m'!G311),N('12_Datos_5m'!G311)&gt;0),'12_Datos_5m'!H311/'12_Datos_5m'!G311,0.5)</f>
        <v>0.5</v>
      </c>
      <c r="G311" s="151" t="n">
        <f aca="false">IF(ISNUMBER(C311),($C$2-C311)/3600000,0)</f>
        <v>0</v>
      </c>
      <c r="H311" s="151" t="n">
        <f aca="false">EXP(-G311/'13_Mapa_Liq'!$B$7)</f>
        <v>1</v>
      </c>
      <c r="I311" s="151" t="n">
        <f aca="false">E311*F311*H311</f>
        <v>0</v>
      </c>
      <c r="J311" s="151" t="n">
        <f aca="false">E311*(1-F311)*H311</f>
        <v>0</v>
      </c>
      <c r="K311" s="151" t="n">
        <f aca="false">IF(COUNT('12_Datos_5m'!E312:E$504)=0,1000000000000,MIN('12_Datos_5m'!E312:E$504))</f>
        <v>1000000000000</v>
      </c>
      <c r="L311" s="151" t="n">
        <f aca="false">IF(COUNT('12_Datos_5m'!D312:D$504)=0,0,MAX('12_Datos_5m'!D312:D$504))</f>
        <v>0</v>
      </c>
      <c r="M311" s="151" t="str">
        <f aca="false">IF(ISNUMBER(B311),B311*(1-1/'13_Mapa_Liq'!$B$15+'13_Mapa_Liq'!$B$6),"")</f>
        <v/>
      </c>
      <c r="N311" s="151" t="n">
        <f aca="false">IF(ISNUMBER(B311),IF(K311&gt;M311,I311*'13_Mapa_Liq'!$C$15,0),0)</f>
        <v>0</v>
      </c>
      <c r="O311" s="151" t="str">
        <f aca="false">IF(ISNUMBER(B311),B311*(1+1/'13_Mapa_Liq'!$B$15-'13_Mapa_Liq'!$B$6),"")</f>
        <v/>
      </c>
      <c r="P311" s="151" t="n">
        <f aca="false">IF(ISNUMBER(B311),IF(L311&lt;O311,J311*'13_Mapa_Liq'!$C$15,0),0)</f>
        <v>0</v>
      </c>
      <c r="Q311" s="151" t="str">
        <f aca="false">IF(ISNUMBER(B311),B311*(1-1/'13_Mapa_Liq'!$B$16+'13_Mapa_Liq'!$B$6),"")</f>
        <v/>
      </c>
      <c r="R311" s="151" t="n">
        <f aca="false">IF(ISNUMBER(B311),IF(K311&gt;Q311,I311*'13_Mapa_Liq'!$C$16,0),0)</f>
        <v>0</v>
      </c>
      <c r="S311" s="151" t="str">
        <f aca="false">IF(ISNUMBER(B311),B311*(1+1/'13_Mapa_Liq'!$B$16-'13_Mapa_Liq'!$B$6),"")</f>
        <v/>
      </c>
      <c r="T311" s="151" t="n">
        <f aca="false">IF(ISNUMBER(B311),IF(L311&lt;S311,J311*'13_Mapa_Liq'!$C$16,0),0)</f>
        <v>0</v>
      </c>
      <c r="U311" s="151" t="str">
        <f aca="false">IF(ISNUMBER(B311),B311*(1-1/'13_Mapa_Liq'!$B$17+'13_Mapa_Liq'!$B$6),"")</f>
        <v/>
      </c>
      <c r="V311" s="151" t="n">
        <f aca="false">IF(ISNUMBER(B311),IF(K311&gt;U311,I311*'13_Mapa_Liq'!$C$17,0),0)</f>
        <v>0</v>
      </c>
      <c r="W311" s="151" t="str">
        <f aca="false">IF(ISNUMBER(B311),B311*(1+1/'13_Mapa_Liq'!$B$17-'13_Mapa_Liq'!$B$6),"")</f>
        <v/>
      </c>
      <c r="X311" s="151" t="n">
        <f aca="false">IF(ISNUMBER(B311),IF(L311&lt;W311,J311*'13_Mapa_Liq'!$C$17,0),0)</f>
        <v>0</v>
      </c>
      <c r="Y311" s="151" t="str">
        <f aca="false">IF(ISNUMBER(B311),B311*(1-1/'13_Mapa_Liq'!$B$18+'13_Mapa_Liq'!$B$6),"")</f>
        <v/>
      </c>
      <c r="Z311" s="151" t="n">
        <f aca="false">IF(ISNUMBER(B311),IF(K311&gt;Y311,I311*'13_Mapa_Liq'!$C$18,0),0)</f>
        <v>0</v>
      </c>
      <c r="AA311" s="151" t="str">
        <f aca="false">IF(ISNUMBER(B311),B311*(1+1/'13_Mapa_Liq'!$B$18-'13_Mapa_Liq'!$B$6),"")</f>
        <v/>
      </c>
      <c r="AB311" s="151" t="n">
        <f aca="false">IF(ISNUMBER(B311),IF(L311&lt;AA311,J311*'13_Mapa_Liq'!$C$18,0),0)</f>
        <v>0</v>
      </c>
      <c r="AC311" s="151" t="str">
        <f aca="false">IF(ISNUMBER(B311),B311*(1-1/'13_Mapa_Liq'!$B$19+'13_Mapa_Liq'!$B$6),"")</f>
        <v/>
      </c>
      <c r="AD311" s="151" t="n">
        <f aca="false">IF(ISNUMBER(B311),IF(K311&gt;AC311,I311*'13_Mapa_Liq'!$C$19,0),0)</f>
        <v>0</v>
      </c>
      <c r="AE311" s="151" t="str">
        <f aca="false">IF(ISNUMBER(B311),B311*(1+1/'13_Mapa_Liq'!$B$19-'13_Mapa_Liq'!$B$6),"")</f>
        <v/>
      </c>
      <c r="AF311" s="151" t="n">
        <f aca="false">IF(ISNUMBER(B311),IF(L311&lt;AE311,J311*'13_Mapa_Liq'!$C$19,0),0)</f>
        <v>0</v>
      </c>
      <c r="AG311" s="151"/>
      <c r="AH311" s="151" t="n">
        <f aca="false">IF(ISNUMBER(B311),E311*F311*((K311&lt;=M311)*'13_Mapa_Liq'!$C$15+(K311&lt;=Q311)*'13_Mapa_Liq'!$C$16+(K311&lt;=U311)*'13_Mapa_Liq'!$C$17+(K311&lt;=Y311)*'13_Mapa_Liq'!$C$18+(K311&lt;=AC311)*'13_Mapa_Liq'!$C$19),0)</f>
        <v>0</v>
      </c>
      <c r="AI311" s="151" t="n">
        <f aca="false">IF(ISNUMBER(B311),E311*(1-F311)*((L311&gt;=O311)*'13_Mapa_Liq'!$C$15+(L311&gt;=S311)*'13_Mapa_Liq'!$C$16+(L311&gt;=W311)*'13_Mapa_Liq'!$C$17+(L311&gt;=AA311)*'13_Mapa_Liq'!$C$18+(L311&gt;=AE311)*'13_Mapa_Liq'!$C$19),0)</f>
        <v>0</v>
      </c>
    </row>
    <row r="312" customFormat="false" ht="15" hidden="false" customHeight="false" outlineLevel="0" collapsed="false">
      <c r="A312" s="151" t="str">
        <f aca="false">IF(ISNUMBER('12_Datos_5m'!F312),ROW()-4,"")</f>
        <v/>
      </c>
      <c r="B312" s="151" t="str">
        <f aca="false">IF(ISNUMBER('12_Datos_5m'!F312),'12_Datos_5m'!F312,"")</f>
        <v/>
      </c>
      <c r="C312" s="151" t="str">
        <f aca="false">IF(ISNUMBER('12_Datos_5m'!A312),'12_Datos_5m'!A312,"")</f>
        <v/>
      </c>
      <c r="D312" s="151" t="n">
        <f aca="false">IF(AND(ISNUMBER('12_Datos_5m'!I312),ISNUMBER('12_Datos_5m'!I311)),'12_Datos_5m'!I312-'12_Datos_5m'!I311,0)</f>
        <v>0</v>
      </c>
      <c r="E312" s="151" t="n">
        <f aca="false">MAX(0,D312)</f>
        <v>0</v>
      </c>
      <c r="F312" s="151" t="n">
        <f aca="false">IF(AND(ISNUMBER('12_Datos_5m'!G312),N('12_Datos_5m'!G312)&gt;0),'12_Datos_5m'!H312/'12_Datos_5m'!G312,0.5)</f>
        <v>0.5</v>
      </c>
      <c r="G312" s="151" t="n">
        <f aca="false">IF(ISNUMBER(C312),($C$2-C312)/3600000,0)</f>
        <v>0</v>
      </c>
      <c r="H312" s="151" t="n">
        <f aca="false">EXP(-G312/'13_Mapa_Liq'!$B$7)</f>
        <v>1</v>
      </c>
      <c r="I312" s="151" t="n">
        <f aca="false">E312*F312*H312</f>
        <v>0</v>
      </c>
      <c r="J312" s="151" t="n">
        <f aca="false">E312*(1-F312)*H312</f>
        <v>0</v>
      </c>
      <c r="K312" s="151" t="n">
        <f aca="false">IF(COUNT('12_Datos_5m'!E313:E$504)=0,1000000000000,MIN('12_Datos_5m'!E313:E$504))</f>
        <v>1000000000000</v>
      </c>
      <c r="L312" s="151" t="n">
        <f aca="false">IF(COUNT('12_Datos_5m'!D313:D$504)=0,0,MAX('12_Datos_5m'!D313:D$504))</f>
        <v>0</v>
      </c>
      <c r="M312" s="151" t="str">
        <f aca="false">IF(ISNUMBER(B312),B312*(1-1/'13_Mapa_Liq'!$B$15+'13_Mapa_Liq'!$B$6),"")</f>
        <v/>
      </c>
      <c r="N312" s="151" t="n">
        <f aca="false">IF(ISNUMBER(B312),IF(K312&gt;M312,I312*'13_Mapa_Liq'!$C$15,0),0)</f>
        <v>0</v>
      </c>
      <c r="O312" s="151" t="str">
        <f aca="false">IF(ISNUMBER(B312),B312*(1+1/'13_Mapa_Liq'!$B$15-'13_Mapa_Liq'!$B$6),"")</f>
        <v/>
      </c>
      <c r="P312" s="151" t="n">
        <f aca="false">IF(ISNUMBER(B312),IF(L312&lt;O312,J312*'13_Mapa_Liq'!$C$15,0),0)</f>
        <v>0</v>
      </c>
      <c r="Q312" s="151" t="str">
        <f aca="false">IF(ISNUMBER(B312),B312*(1-1/'13_Mapa_Liq'!$B$16+'13_Mapa_Liq'!$B$6),"")</f>
        <v/>
      </c>
      <c r="R312" s="151" t="n">
        <f aca="false">IF(ISNUMBER(B312),IF(K312&gt;Q312,I312*'13_Mapa_Liq'!$C$16,0),0)</f>
        <v>0</v>
      </c>
      <c r="S312" s="151" t="str">
        <f aca="false">IF(ISNUMBER(B312),B312*(1+1/'13_Mapa_Liq'!$B$16-'13_Mapa_Liq'!$B$6),"")</f>
        <v/>
      </c>
      <c r="T312" s="151" t="n">
        <f aca="false">IF(ISNUMBER(B312),IF(L312&lt;S312,J312*'13_Mapa_Liq'!$C$16,0),0)</f>
        <v>0</v>
      </c>
      <c r="U312" s="151" t="str">
        <f aca="false">IF(ISNUMBER(B312),B312*(1-1/'13_Mapa_Liq'!$B$17+'13_Mapa_Liq'!$B$6),"")</f>
        <v/>
      </c>
      <c r="V312" s="151" t="n">
        <f aca="false">IF(ISNUMBER(B312),IF(K312&gt;U312,I312*'13_Mapa_Liq'!$C$17,0),0)</f>
        <v>0</v>
      </c>
      <c r="W312" s="151" t="str">
        <f aca="false">IF(ISNUMBER(B312),B312*(1+1/'13_Mapa_Liq'!$B$17-'13_Mapa_Liq'!$B$6),"")</f>
        <v/>
      </c>
      <c r="X312" s="151" t="n">
        <f aca="false">IF(ISNUMBER(B312),IF(L312&lt;W312,J312*'13_Mapa_Liq'!$C$17,0),0)</f>
        <v>0</v>
      </c>
      <c r="Y312" s="151" t="str">
        <f aca="false">IF(ISNUMBER(B312),B312*(1-1/'13_Mapa_Liq'!$B$18+'13_Mapa_Liq'!$B$6),"")</f>
        <v/>
      </c>
      <c r="Z312" s="151" t="n">
        <f aca="false">IF(ISNUMBER(B312),IF(K312&gt;Y312,I312*'13_Mapa_Liq'!$C$18,0),0)</f>
        <v>0</v>
      </c>
      <c r="AA312" s="151" t="str">
        <f aca="false">IF(ISNUMBER(B312),B312*(1+1/'13_Mapa_Liq'!$B$18-'13_Mapa_Liq'!$B$6),"")</f>
        <v/>
      </c>
      <c r="AB312" s="151" t="n">
        <f aca="false">IF(ISNUMBER(B312),IF(L312&lt;AA312,J312*'13_Mapa_Liq'!$C$18,0),0)</f>
        <v>0</v>
      </c>
      <c r="AC312" s="151" t="str">
        <f aca="false">IF(ISNUMBER(B312),B312*(1-1/'13_Mapa_Liq'!$B$19+'13_Mapa_Liq'!$B$6),"")</f>
        <v/>
      </c>
      <c r="AD312" s="151" t="n">
        <f aca="false">IF(ISNUMBER(B312),IF(K312&gt;AC312,I312*'13_Mapa_Liq'!$C$19,0),0)</f>
        <v>0</v>
      </c>
      <c r="AE312" s="151" t="str">
        <f aca="false">IF(ISNUMBER(B312),B312*(1+1/'13_Mapa_Liq'!$B$19-'13_Mapa_Liq'!$B$6),"")</f>
        <v/>
      </c>
      <c r="AF312" s="151" t="n">
        <f aca="false">IF(ISNUMBER(B312),IF(L312&lt;AE312,J312*'13_Mapa_Liq'!$C$19,0),0)</f>
        <v>0</v>
      </c>
      <c r="AG312" s="151"/>
      <c r="AH312" s="151" t="n">
        <f aca="false">IF(ISNUMBER(B312),E312*F312*((K312&lt;=M312)*'13_Mapa_Liq'!$C$15+(K312&lt;=Q312)*'13_Mapa_Liq'!$C$16+(K312&lt;=U312)*'13_Mapa_Liq'!$C$17+(K312&lt;=Y312)*'13_Mapa_Liq'!$C$18+(K312&lt;=AC312)*'13_Mapa_Liq'!$C$19),0)</f>
        <v>0</v>
      </c>
      <c r="AI312" s="151" t="n">
        <f aca="false">IF(ISNUMBER(B312),E312*(1-F312)*((L312&gt;=O312)*'13_Mapa_Liq'!$C$15+(L312&gt;=S312)*'13_Mapa_Liq'!$C$16+(L312&gt;=W312)*'13_Mapa_Liq'!$C$17+(L312&gt;=AA312)*'13_Mapa_Liq'!$C$18+(L312&gt;=AE312)*'13_Mapa_Liq'!$C$19),0)</f>
        <v>0</v>
      </c>
    </row>
    <row r="313" customFormat="false" ht="15" hidden="false" customHeight="false" outlineLevel="0" collapsed="false">
      <c r="A313" s="151" t="str">
        <f aca="false">IF(ISNUMBER('12_Datos_5m'!F313),ROW()-4,"")</f>
        <v/>
      </c>
      <c r="B313" s="151" t="str">
        <f aca="false">IF(ISNUMBER('12_Datos_5m'!F313),'12_Datos_5m'!F313,"")</f>
        <v/>
      </c>
      <c r="C313" s="151" t="str">
        <f aca="false">IF(ISNUMBER('12_Datos_5m'!A313),'12_Datos_5m'!A313,"")</f>
        <v/>
      </c>
      <c r="D313" s="151" t="n">
        <f aca="false">IF(AND(ISNUMBER('12_Datos_5m'!I313),ISNUMBER('12_Datos_5m'!I312)),'12_Datos_5m'!I313-'12_Datos_5m'!I312,0)</f>
        <v>0</v>
      </c>
      <c r="E313" s="151" t="n">
        <f aca="false">MAX(0,D313)</f>
        <v>0</v>
      </c>
      <c r="F313" s="151" t="n">
        <f aca="false">IF(AND(ISNUMBER('12_Datos_5m'!G313),N('12_Datos_5m'!G313)&gt;0),'12_Datos_5m'!H313/'12_Datos_5m'!G313,0.5)</f>
        <v>0.5</v>
      </c>
      <c r="G313" s="151" t="n">
        <f aca="false">IF(ISNUMBER(C313),($C$2-C313)/3600000,0)</f>
        <v>0</v>
      </c>
      <c r="H313" s="151" t="n">
        <f aca="false">EXP(-G313/'13_Mapa_Liq'!$B$7)</f>
        <v>1</v>
      </c>
      <c r="I313" s="151" t="n">
        <f aca="false">E313*F313*H313</f>
        <v>0</v>
      </c>
      <c r="J313" s="151" t="n">
        <f aca="false">E313*(1-F313)*H313</f>
        <v>0</v>
      </c>
      <c r="K313" s="151" t="n">
        <f aca="false">IF(COUNT('12_Datos_5m'!E314:E$504)=0,1000000000000,MIN('12_Datos_5m'!E314:E$504))</f>
        <v>1000000000000</v>
      </c>
      <c r="L313" s="151" t="n">
        <f aca="false">IF(COUNT('12_Datos_5m'!D314:D$504)=0,0,MAX('12_Datos_5m'!D314:D$504))</f>
        <v>0</v>
      </c>
      <c r="M313" s="151" t="str">
        <f aca="false">IF(ISNUMBER(B313),B313*(1-1/'13_Mapa_Liq'!$B$15+'13_Mapa_Liq'!$B$6),"")</f>
        <v/>
      </c>
      <c r="N313" s="151" t="n">
        <f aca="false">IF(ISNUMBER(B313),IF(K313&gt;M313,I313*'13_Mapa_Liq'!$C$15,0),0)</f>
        <v>0</v>
      </c>
      <c r="O313" s="151" t="str">
        <f aca="false">IF(ISNUMBER(B313),B313*(1+1/'13_Mapa_Liq'!$B$15-'13_Mapa_Liq'!$B$6),"")</f>
        <v/>
      </c>
      <c r="P313" s="151" t="n">
        <f aca="false">IF(ISNUMBER(B313),IF(L313&lt;O313,J313*'13_Mapa_Liq'!$C$15,0),0)</f>
        <v>0</v>
      </c>
      <c r="Q313" s="151" t="str">
        <f aca="false">IF(ISNUMBER(B313),B313*(1-1/'13_Mapa_Liq'!$B$16+'13_Mapa_Liq'!$B$6),"")</f>
        <v/>
      </c>
      <c r="R313" s="151" t="n">
        <f aca="false">IF(ISNUMBER(B313),IF(K313&gt;Q313,I313*'13_Mapa_Liq'!$C$16,0),0)</f>
        <v>0</v>
      </c>
      <c r="S313" s="151" t="str">
        <f aca="false">IF(ISNUMBER(B313),B313*(1+1/'13_Mapa_Liq'!$B$16-'13_Mapa_Liq'!$B$6),"")</f>
        <v/>
      </c>
      <c r="T313" s="151" t="n">
        <f aca="false">IF(ISNUMBER(B313),IF(L313&lt;S313,J313*'13_Mapa_Liq'!$C$16,0),0)</f>
        <v>0</v>
      </c>
      <c r="U313" s="151" t="str">
        <f aca="false">IF(ISNUMBER(B313),B313*(1-1/'13_Mapa_Liq'!$B$17+'13_Mapa_Liq'!$B$6),"")</f>
        <v/>
      </c>
      <c r="V313" s="151" t="n">
        <f aca="false">IF(ISNUMBER(B313),IF(K313&gt;U313,I313*'13_Mapa_Liq'!$C$17,0),0)</f>
        <v>0</v>
      </c>
      <c r="W313" s="151" t="str">
        <f aca="false">IF(ISNUMBER(B313),B313*(1+1/'13_Mapa_Liq'!$B$17-'13_Mapa_Liq'!$B$6),"")</f>
        <v/>
      </c>
      <c r="X313" s="151" t="n">
        <f aca="false">IF(ISNUMBER(B313),IF(L313&lt;W313,J313*'13_Mapa_Liq'!$C$17,0),0)</f>
        <v>0</v>
      </c>
      <c r="Y313" s="151" t="str">
        <f aca="false">IF(ISNUMBER(B313),B313*(1-1/'13_Mapa_Liq'!$B$18+'13_Mapa_Liq'!$B$6),"")</f>
        <v/>
      </c>
      <c r="Z313" s="151" t="n">
        <f aca="false">IF(ISNUMBER(B313),IF(K313&gt;Y313,I313*'13_Mapa_Liq'!$C$18,0),0)</f>
        <v>0</v>
      </c>
      <c r="AA313" s="151" t="str">
        <f aca="false">IF(ISNUMBER(B313),B313*(1+1/'13_Mapa_Liq'!$B$18-'13_Mapa_Liq'!$B$6),"")</f>
        <v/>
      </c>
      <c r="AB313" s="151" t="n">
        <f aca="false">IF(ISNUMBER(B313),IF(L313&lt;AA313,J313*'13_Mapa_Liq'!$C$18,0),0)</f>
        <v>0</v>
      </c>
      <c r="AC313" s="151" t="str">
        <f aca="false">IF(ISNUMBER(B313),B313*(1-1/'13_Mapa_Liq'!$B$19+'13_Mapa_Liq'!$B$6),"")</f>
        <v/>
      </c>
      <c r="AD313" s="151" t="n">
        <f aca="false">IF(ISNUMBER(B313),IF(K313&gt;AC313,I313*'13_Mapa_Liq'!$C$19,0),0)</f>
        <v>0</v>
      </c>
      <c r="AE313" s="151" t="str">
        <f aca="false">IF(ISNUMBER(B313),B313*(1+1/'13_Mapa_Liq'!$B$19-'13_Mapa_Liq'!$B$6),"")</f>
        <v/>
      </c>
      <c r="AF313" s="151" t="n">
        <f aca="false">IF(ISNUMBER(B313),IF(L313&lt;AE313,J313*'13_Mapa_Liq'!$C$19,0),0)</f>
        <v>0</v>
      </c>
      <c r="AG313" s="151"/>
      <c r="AH313" s="151" t="n">
        <f aca="false">IF(ISNUMBER(B313),E313*F313*((K313&lt;=M313)*'13_Mapa_Liq'!$C$15+(K313&lt;=Q313)*'13_Mapa_Liq'!$C$16+(K313&lt;=U313)*'13_Mapa_Liq'!$C$17+(K313&lt;=Y313)*'13_Mapa_Liq'!$C$18+(K313&lt;=AC313)*'13_Mapa_Liq'!$C$19),0)</f>
        <v>0</v>
      </c>
      <c r="AI313" s="151" t="n">
        <f aca="false">IF(ISNUMBER(B313),E313*(1-F313)*((L313&gt;=O313)*'13_Mapa_Liq'!$C$15+(L313&gt;=S313)*'13_Mapa_Liq'!$C$16+(L313&gt;=W313)*'13_Mapa_Liq'!$C$17+(L313&gt;=AA313)*'13_Mapa_Liq'!$C$18+(L313&gt;=AE313)*'13_Mapa_Liq'!$C$19),0)</f>
        <v>0</v>
      </c>
    </row>
    <row r="314" customFormat="false" ht="15" hidden="false" customHeight="false" outlineLevel="0" collapsed="false">
      <c r="A314" s="151" t="str">
        <f aca="false">IF(ISNUMBER('12_Datos_5m'!F314),ROW()-4,"")</f>
        <v/>
      </c>
      <c r="B314" s="151" t="str">
        <f aca="false">IF(ISNUMBER('12_Datos_5m'!F314),'12_Datos_5m'!F314,"")</f>
        <v/>
      </c>
      <c r="C314" s="151" t="str">
        <f aca="false">IF(ISNUMBER('12_Datos_5m'!A314),'12_Datos_5m'!A314,"")</f>
        <v/>
      </c>
      <c r="D314" s="151" t="n">
        <f aca="false">IF(AND(ISNUMBER('12_Datos_5m'!I314),ISNUMBER('12_Datos_5m'!I313)),'12_Datos_5m'!I314-'12_Datos_5m'!I313,0)</f>
        <v>0</v>
      </c>
      <c r="E314" s="151" t="n">
        <f aca="false">MAX(0,D314)</f>
        <v>0</v>
      </c>
      <c r="F314" s="151" t="n">
        <f aca="false">IF(AND(ISNUMBER('12_Datos_5m'!G314),N('12_Datos_5m'!G314)&gt;0),'12_Datos_5m'!H314/'12_Datos_5m'!G314,0.5)</f>
        <v>0.5</v>
      </c>
      <c r="G314" s="151" t="n">
        <f aca="false">IF(ISNUMBER(C314),($C$2-C314)/3600000,0)</f>
        <v>0</v>
      </c>
      <c r="H314" s="151" t="n">
        <f aca="false">EXP(-G314/'13_Mapa_Liq'!$B$7)</f>
        <v>1</v>
      </c>
      <c r="I314" s="151" t="n">
        <f aca="false">E314*F314*H314</f>
        <v>0</v>
      </c>
      <c r="J314" s="151" t="n">
        <f aca="false">E314*(1-F314)*H314</f>
        <v>0</v>
      </c>
      <c r="K314" s="151" t="n">
        <f aca="false">IF(COUNT('12_Datos_5m'!E315:E$504)=0,1000000000000,MIN('12_Datos_5m'!E315:E$504))</f>
        <v>1000000000000</v>
      </c>
      <c r="L314" s="151" t="n">
        <f aca="false">IF(COUNT('12_Datos_5m'!D315:D$504)=0,0,MAX('12_Datos_5m'!D315:D$504))</f>
        <v>0</v>
      </c>
      <c r="M314" s="151" t="str">
        <f aca="false">IF(ISNUMBER(B314),B314*(1-1/'13_Mapa_Liq'!$B$15+'13_Mapa_Liq'!$B$6),"")</f>
        <v/>
      </c>
      <c r="N314" s="151" t="n">
        <f aca="false">IF(ISNUMBER(B314),IF(K314&gt;M314,I314*'13_Mapa_Liq'!$C$15,0),0)</f>
        <v>0</v>
      </c>
      <c r="O314" s="151" t="str">
        <f aca="false">IF(ISNUMBER(B314),B314*(1+1/'13_Mapa_Liq'!$B$15-'13_Mapa_Liq'!$B$6),"")</f>
        <v/>
      </c>
      <c r="P314" s="151" t="n">
        <f aca="false">IF(ISNUMBER(B314),IF(L314&lt;O314,J314*'13_Mapa_Liq'!$C$15,0),0)</f>
        <v>0</v>
      </c>
      <c r="Q314" s="151" t="str">
        <f aca="false">IF(ISNUMBER(B314),B314*(1-1/'13_Mapa_Liq'!$B$16+'13_Mapa_Liq'!$B$6),"")</f>
        <v/>
      </c>
      <c r="R314" s="151" t="n">
        <f aca="false">IF(ISNUMBER(B314),IF(K314&gt;Q314,I314*'13_Mapa_Liq'!$C$16,0),0)</f>
        <v>0</v>
      </c>
      <c r="S314" s="151" t="str">
        <f aca="false">IF(ISNUMBER(B314),B314*(1+1/'13_Mapa_Liq'!$B$16-'13_Mapa_Liq'!$B$6),"")</f>
        <v/>
      </c>
      <c r="T314" s="151" t="n">
        <f aca="false">IF(ISNUMBER(B314),IF(L314&lt;S314,J314*'13_Mapa_Liq'!$C$16,0),0)</f>
        <v>0</v>
      </c>
      <c r="U314" s="151" t="str">
        <f aca="false">IF(ISNUMBER(B314),B314*(1-1/'13_Mapa_Liq'!$B$17+'13_Mapa_Liq'!$B$6),"")</f>
        <v/>
      </c>
      <c r="V314" s="151" t="n">
        <f aca="false">IF(ISNUMBER(B314),IF(K314&gt;U314,I314*'13_Mapa_Liq'!$C$17,0),0)</f>
        <v>0</v>
      </c>
      <c r="W314" s="151" t="str">
        <f aca="false">IF(ISNUMBER(B314),B314*(1+1/'13_Mapa_Liq'!$B$17-'13_Mapa_Liq'!$B$6),"")</f>
        <v/>
      </c>
      <c r="X314" s="151" t="n">
        <f aca="false">IF(ISNUMBER(B314),IF(L314&lt;W314,J314*'13_Mapa_Liq'!$C$17,0),0)</f>
        <v>0</v>
      </c>
      <c r="Y314" s="151" t="str">
        <f aca="false">IF(ISNUMBER(B314),B314*(1-1/'13_Mapa_Liq'!$B$18+'13_Mapa_Liq'!$B$6),"")</f>
        <v/>
      </c>
      <c r="Z314" s="151" t="n">
        <f aca="false">IF(ISNUMBER(B314),IF(K314&gt;Y314,I314*'13_Mapa_Liq'!$C$18,0),0)</f>
        <v>0</v>
      </c>
      <c r="AA314" s="151" t="str">
        <f aca="false">IF(ISNUMBER(B314),B314*(1+1/'13_Mapa_Liq'!$B$18-'13_Mapa_Liq'!$B$6),"")</f>
        <v/>
      </c>
      <c r="AB314" s="151" t="n">
        <f aca="false">IF(ISNUMBER(B314),IF(L314&lt;AA314,J314*'13_Mapa_Liq'!$C$18,0),0)</f>
        <v>0</v>
      </c>
      <c r="AC314" s="151" t="str">
        <f aca="false">IF(ISNUMBER(B314),B314*(1-1/'13_Mapa_Liq'!$B$19+'13_Mapa_Liq'!$B$6),"")</f>
        <v/>
      </c>
      <c r="AD314" s="151" t="n">
        <f aca="false">IF(ISNUMBER(B314),IF(K314&gt;AC314,I314*'13_Mapa_Liq'!$C$19,0),0)</f>
        <v>0</v>
      </c>
      <c r="AE314" s="151" t="str">
        <f aca="false">IF(ISNUMBER(B314),B314*(1+1/'13_Mapa_Liq'!$B$19-'13_Mapa_Liq'!$B$6),"")</f>
        <v/>
      </c>
      <c r="AF314" s="151" t="n">
        <f aca="false">IF(ISNUMBER(B314),IF(L314&lt;AE314,J314*'13_Mapa_Liq'!$C$19,0),0)</f>
        <v>0</v>
      </c>
      <c r="AG314" s="151"/>
      <c r="AH314" s="151" t="n">
        <f aca="false">IF(ISNUMBER(B314),E314*F314*((K314&lt;=M314)*'13_Mapa_Liq'!$C$15+(K314&lt;=Q314)*'13_Mapa_Liq'!$C$16+(K314&lt;=U314)*'13_Mapa_Liq'!$C$17+(K314&lt;=Y314)*'13_Mapa_Liq'!$C$18+(K314&lt;=AC314)*'13_Mapa_Liq'!$C$19),0)</f>
        <v>0</v>
      </c>
      <c r="AI314" s="151" t="n">
        <f aca="false">IF(ISNUMBER(B314),E314*(1-F314)*((L314&gt;=O314)*'13_Mapa_Liq'!$C$15+(L314&gt;=S314)*'13_Mapa_Liq'!$C$16+(L314&gt;=W314)*'13_Mapa_Liq'!$C$17+(L314&gt;=AA314)*'13_Mapa_Liq'!$C$18+(L314&gt;=AE314)*'13_Mapa_Liq'!$C$19),0)</f>
        <v>0</v>
      </c>
    </row>
    <row r="315" customFormat="false" ht="15" hidden="false" customHeight="false" outlineLevel="0" collapsed="false">
      <c r="A315" s="151" t="str">
        <f aca="false">IF(ISNUMBER('12_Datos_5m'!F315),ROW()-4,"")</f>
        <v/>
      </c>
      <c r="B315" s="151" t="str">
        <f aca="false">IF(ISNUMBER('12_Datos_5m'!F315),'12_Datos_5m'!F315,"")</f>
        <v/>
      </c>
      <c r="C315" s="151" t="str">
        <f aca="false">IF(ISNUMBER('12_Datos_5m'!A315),'12_Datos_5m'!A315,"")</f>
        <v/>
      </c>
      <c r="D315" s="151" t="n">
        <f aca="false">IF(AND(ISNUMBER('12_Datos_5m'!I315),ISNUMBER('12_Datos_5m'!I314)),'12_Datos_5m'!I315-'12_Datos_5m'!I314,0)</f>
        <v>0</v>
      </c>
      <c r="E315" s="151" t="n">
        <f aca="false">MAX(0,D315)</f>
        <v>0</v>
      </c>
      <c r="F315" s="151" t="n">
        <f aca="false">IF(AND(ISNUMBER('12_Datos_5m'!G315),N('12_Datos_5m'!G315)&gt;0),'12_Datos_5m'!H315/'12_Datos_5m'!G315,0.5)</f>
        <v>0.5</v>
      </c>
      <c r="G315" s="151" t="n">
        <f aca="false">IF(ISNUMBER(C315),($C$2-C315)/3600000,0)</f>
        <v>0</v>
      </c>
      <c r="H315" s="151" t="n">
        <f aca="false">EXP(-G315/'13_Mapa_Liq'!$B$7)</f>
        <v>1</v>
      </c>
      <c r="I315" s="151" t="n">
        <f aca="false">E315*F315*H315</f>
        <v>0</v>
      </c>
      <c r="J315" s="151" t="n">
        <f aca="false">E315*(1-F315)*H315</f>
        <v>0</v>
      </c>
      <c r="K315" s="151" t="n">
        <f aca="false">IF(COUNT('12_Datos_5m'!E316:E$504)=0,1000000000000,MIN('12_Datos_5m'!E316:E$504))</f>
        <v>1000000000000</v>
      </c>
      <c r="L315" s="151" t="n">
        <f aca="false">IF(COUNT('12_Datos_5m'!D316:D$504)=0,0,MAX('12_Datos_5m'!D316:D$504))</f>
        <v>0</v>
      </c>
      <c r="M315" s="151" t="str">
        <f aca="false">IF(ISNUMBER(B315),B315*(1-1/'13_Mapa_Liq'!$B$15+'13_Mapa_Liq'!$B$6),"")</f>
        <v/>
      </c>
      <c r="N315" s="151" t="n">
        <f aca="false">IF(ISNUMBER(B315),IF(K315&gt;M315,I315*'13_Mapa_Liq'!$C$15,0),0)</f>
        <v>0</v>
      </c>
      <c r="O315" s="151" t="str">
        <f aca="false">IF(ISNUMBER(B315),B315*(1+1/'13_Mapa_Liq'!$B$15-'13_Mapa_Liq'!$B$6),"")</f>
        <v/>
      </c>
      <c r="P315" s="151" t="n">
        <f aca="false">IF(ISNUMBER(B315),IF(L315&lt;O315,J315*'13_Mapa_Liq'!$C$15,0),0)</f>
        <v>0</v>
      </c>
      <c r="Q315" s="151" t="str">
        <f aca="false">IF(ISNUMBER(B315),B315*(1-1/'13_Mapa_Liq'!$B$16+'13_Mapa_Liq'!$B$6),"")</f>
        <v/>
      </c>
      <c r="R315" s="151" t="n">
        <f aca="false">IF(ISNUMBER(B315),IF(K315&gt;Q315,I315*'13_Mapa_Liq'!$C$16,0),0)</f>
        <v>0</v>
      </c>
      <c r="S315" s="151" t="str">
        <f aca="false">IF(ISNUMBER(B315),B315*(1+1/'13_Mapa_Liq'!$B$16-'13_Mapa_Liq'!$B$6),"")</f>
        <v/>
      </c>
      <c r="T315" s="151" t="n">
        <f aca="false">IF(ISNUMBER(B315),IF(L315&lt;S315,J315*'13_Mapa_Liq'!$C$16,0),0)</f>
        <v>0</v>
      </c>
      <c r="U315" s="151" t="str">
        <f aca="false">IF(ISNUMBER(B315),B315*(1-1/'13_Mapa_Liq'!$B$17+'13_Mapa_Liq'!$B$6),"")</f>
        <v/>
      </c>
      <c r="V315" s="151" t="n">
        <f aca="false">IF(ISNUMBER(B315),IF(K315&gt;U315,I315*'13_Mapa_Liq'!$C$17,0),0)</f>
        <v>0</v>
      </c>
      <c r="W315" s="151" t="str">
        <f aca="false">IF(ISNUMBER(B315),B315*(1+1/'13_Mapa_Liq'!$B$17-'13_Mapa_Liq'!$B$6),"")</f>
        <v/>
      </c>
      <c r="X315" s="151" t="n">
        <f aca="false">IF(ISNUMBER(B315),IF(L315&lt;W315,J315*'13_Mapa_Liq'!$C$17,0),0)</f>
        <v>0</v>
      </c>
      <c r="Y315" s="151" t="str">
        <f aca="false">IF(ISNUMBER(B315),B315*(1-1/'13_Mapa_Liq'!$B$18+'13_Mapa_Liq'!$B$6),"")</f>
        <v/>
      </c>
      <c r="Z315" s="151" t="n">
        <f aca="false">IF(ISNUMBER(B315),IF(K315&gt;Y315,I315*'13_Mapa_Liq'!$C$18,0),0)</f>
        <v>0</v>
      </c>
      <c r="AA315" s="151" t="str">
        <f aca="false">IF(ISNUMBER(B315),B315*(1+1/'13_Mapa_Liq'!$B$18-'13_Mapa_Liq'!$B$6),"")</f>
        <v/>
      </c>
      <c r="AB315" s="151" t="n">
        <f aca="false">IF(ISNUMBER(B315),IF(L315&lt;AA315,J315*'13_Mapa_Liq'!$C$18,0),0)</f>
        <v>0</v>
      </c>
      <c r="AC315" s="151" t="str">
        <f aca="false">IF(ISNUMBER(B315),B315*(1-1/'13_Mapa_Liq'!$B$19+'13_Mapa_Liq'!$B$6),"")</f>
        <v/>
      </c>
      <c r="AD315" s="151" t="n">
        <f aca="false">IF(ISNUMBER(B315),IF(K315&gt;AC315,I315*'13_Mapa_Liq'!$C$19,0),0)</f>
        <v>0</v>
      </c>
      <c r="AE315" s="151" t="str">
        <f aca="false">IF(ISNUMBER(B315),B315*(1+1/'13_Mapa_Liq'!$B$19-'13_Mapa_Liq'!$B$6),"")</f>
        <v/>
      </c>
      <c r="AF315" s="151" t="n">
        <f aca="false">IF(ISNUMBER(B315),IF(L315&lt;AE315,J315*'13_Mapa_Liq'!$C$19,0),0)</f>
        <v>0</v>
      </c>
      <c r="AG315" s="151"/>
      <c r="AH315" s="151" t="n">
        <f aca="false">IF(ISNUMBER(B315),E315*F315*((K315&lt;=M315)*'13_Mapa_Liq'!$C$15+(K315&lt;=Q315)*'13_Mapa_Liq'!$C$16+(K315&lt;=U315)*'13_Mapa_Liq'!$C$17+(K315&lt;=Y315)*'13_Mapa_Liq'!$C$18+(K315&lt;=AC315)*'13_Mapa_Liq'!$C$19),0)</f>
        <v>0</v>
      </c>
      <c r="AI315" s="151" t="n">
        <f aca="false">IF(ISNUMBER(B315),E315*(1-F315)*((L315&gt;=O315)*'13_Mapa_Liq'!$C$15+(L315&gt;=S315)*'13_Mapa_Liq'!$C$16+(L315&gt;=W315)*'13_Mapa_Liq'!$C$17+(L315&gt;=AA315)*'13_Mapa_Liq'!$C$18+(L315&gt;=AE315)*'13_Mapa_Liq'!$C$19),0)</f>
        <v>0</v>
      </c>
    </row>
    <row r="316" customFormat="false" ht="15" hidden="false" customHeight="false" outlineLevel="0" collapsed="false">
      <c r="A316" s="151" t="str">
        <f aca="false">IF(ISNUMBER('12_Datos_5m'!F316),ROW()-4,"")</f>
        <v/>
      </c>
      <c r="B316" s="151" t="str">
        <f aca="false">IF(ISNUMBER('12_Datos_5m'!F316),'12_Datos_5m'!F316,"")</f>
        <v/>
      </c>
      <c r="C316" s="151" t="str">
        <f aca="false">IF(ISNUMBER('12_Datos_5m'!A316),'12_Datos_5m'!A316,"")</f>
        <v/>
      </c>
      <c r="D316" s="151" t="n">
        <f aca="false">IF(AND(ISNUMBER('12_Datos_5m'!I316),ISNUMBER('12_Datos_5m'!I315)),'12_Datos_5m'!I316-'12_Datos_5m'!I315,0)</f>
        <v>0</v>
      </c>
      <c r="E316" s="151" t="n">
        <f aca="false">MAX(0,D316)</f>
        <v>0</v>
      </c>
      <c r="F316" s="151" t="n">
        <f aca="false">IF(AND(ISNUMBER('12_Datos_5m'!G316),N('12_Datos_5m'!G316)&gt;0),'12_Datos_5m'!H316/'12_Datos_5m'!G316,0.5)</f>
        <v>0.5</v>
      </c>
      <c r="G316" s="151" t="n">
        <f aca="false">IF(ISNUMBER(C316),($C$2-C316)/3600000,0)</f>
        <v>0</v>
      </c>
      <c r="H316" s="151" t="n">
        <f aca="false">EXP(-G316/'13_Mapa_Liq'!$B$7)</f>
        <v>1</v>
      </c>
      <c r="I316" s="151" t="n">
        <f aca="false">E316*F316*H316</f>
        <v>0</v>
      </c>
      <c r="J316" s="151" t="n">
        <f aca="false">E316*(1-F316)*H316</f>
        <v>0</v>
      </c>
      <c r="K316" s="151" t="n">
        <f aca="false">IF(COUNT('12_Datos_5m'!E317:E$504)=0,1000000000000,MIN('12_Datos_5m'!E317:E$504))</f>
        <v>1000000000000</v>
      </c>
      <c r="L316" s="151" t="n">
        <f aca="false">IF(COUNT('12_Datos_5m'!D317:D$504)=0,0,MAX('12_Datos_5m'!D317:D$504))</f>
        <v>0</v>
      </c>
      <c r="M316" s="151" t="str">
        <f aca="false">IF(ISNUMBER(B316),B316*(1-1/'13_Mapa_Liq'!$B$15+'13_Mapa_Liq'!$B$6),"")</f>
        <v/>
      </c>
      <c r="N316" s="151" t="n">
        <f aca="false">IF(ISNUMBER(B316),IF(K316&gt;M316,I316*'13_Mapa_Liq'!$C$15,0),0)</f>
        <v>0</v>
      </c>
      <c r="O316" s="151" t="str">
        <f aca="false">IF(ISNUMBER(B316),B316*(1+1/'13_Mapa_Liq'!$B$15-'13_Mapa_Liq'!$B$6),"")</f>
        <v/>
      </c>
      <c r="P316" s="151" t="n">
        <f aca="false">IF(ISNUMBER(B316),IF(L316&lt;O316,J316*'13_Mapa_Liq'!$C$15,0),0)</f>
        <v>0</v>
      </c>
      <c r="Q316" s="151" t="str">
        <f aca="false">IF(ISNUMBER(B316),B316*(1-1/'13_Mapa_Liq'!$B$16+'13_Mapa_Liq'!$B$6),"")</f>
        <v/>
      </c>
      <c r="R316" s="151" t="n">
        <f aca="false">IF(ISNUMBER(B316),IF(K316&gt;Q316,I316*'13_Mapa_Liq'!$C$16,0),0)</f>
        <v>0</v>
      </c>
      <c r="S316" s="151" t="str">
        <f aca="false">IF(ISNUMBER(B316),B316*(1+1/'13_Mapa_Liq'!$B$16-'13_Mapa_Liq'!$B$6),"")</f>
        <v/>
      </c>
      <c r="T316" s="151" t="n">
        <f aca="false">IF(ISNUMBER(B316),IF(L316&lt;S316,J316*'13_Mapa_Liq'!$C$16,0),0)</f>
        <v>0</v>
      </c>
      <c r="U316" s="151" t="str">
        <f aca="false">IF(ISNUMBER(B316),B316*(1-1/'13_Mapa_Liq'!$B$17+'13_Mapa_Liq'!$B$6),"")</f>
        <v/>
      </c>
      <c r="V316" s="151" t="n">
        <f aca="false">IF(ISNUMBER(B316),IF(K316&gt;U316,I316*'13_Mapa_Liq'!$C$17,0),0)</f>
        <v>0</v>
      </c>
      <c r="W316" s="151" t="str">
        <f aca="false">IF(ISNUMBER(B316),B316*(1+1/'13_Mapa_Liq'!$B$17-'13_Mapa_Liq'!$B$6),"")</f>
        <v/>
      </c>
      <c r="X316" s="151" t="n">
        <f aca="false">IF(ISNUMBER(B316),IF(L316&lt;W316,J316*'13_Mapa_Liq'!$C$17,0),0)</f>
        <v>0</v>
      </c>
      <c r="Y316" s="151" t="str">
        <f aca="false">IF(ISNUMBER(B316),B316*(1-1/'13_Mapa_Liq'!$B$18+'13_Mapa_Liq'!$B$6),"")</f>
        <v/>
      </c>
      <c r="Z316" s="151" t="n">
        <f aca="false">IF(ISNUMBER(B316),IF(K316&gt;Y316,I316*'13_Mapa_Liq'!$C$18,0),0)</f>
        <v>0</v>
      </c>
      <c r="AA316" s="151" t="str">
        <f aca="false">IF(ISNUMBER(B316),B316*(1+1/'13_Mapa_Liq'!$B$18-'13_Mapa_Liq'!$B$6),"")</f>
        <v/>
      </c>
      <c r="AB316" s="151" t="n">
        <f aca="false">IF(ISNUMBER(B316),IF(L316&lt;AA316,J316*'13_Mapa_Liq'!$C$18,0),0)</f>
        <v>0</v>
      </c>
      <c r="AC316" s="151" t="str">
        <f aca="false">IF(ISNUMBER(B316),B316*(1-1/'13_Mapa_Liq'!$B$19+'13_Mapa_Liq'!$B$6),"")</f>
        <v/>
      </c>
      <c r="AD316" s="151" t="n">
        <f aca="false">IF(ISNUMBER(B316),IF(K316&gt;AC316,I316*'13_Mapa_Liq'!$C$19,0),0)</f>
        <v>0</v>
      </c>
      <c r="AE316" s="151" t="str">
        <f aca="false">IF(ISNUMBER(B316),B316*(1+1/'13_Mapa_Liq'!$B$19-'13_Mapa_Liq'!$B$6),"")</f>
        <v/>
      </c>
      <c r="AF316" s="151" t="n">
        <f aca="false">IF(ISNUMBER(B316),IF(L316&lt;AE316,J316*'13_Mapa_Liq'!$C$19,0),0)</f>
        <v>0</v>
      </c>
      <c r="AG316" s="151"/>
      <c r="AH316" s="151" t="n">
        <f aca="false">IF(ISNUMBER(B316),E316*F316*((K316&lt;=M316)*'13_Mapa_Liq'!$C$15+(K316&lt;=Q316)*'13_Mapa_Liq'!$C$16+(K316&lt;=U316)*'13_Mapa_Liq'!$C$17+(K316&lt;=Y316)*'13_Mapa_Liq'!$C$18+(K316&lt;=AC316)*'13_Mapa_Liq'!$C$19),0)</f>
        <v>0</v>
      </c>
      <c r="AI316" s="151" t="n">
        <f aca="false">IF(ISNUMBER(B316),E316*(1-F316)*((L316&gt;=O316)*'13_Mapa_Liq'!$C$15+(L316&gt;=S316)*'13_Mapa_Liq'!$C$16+(L316&gt;=W316)*'13_Mapa_Liq'!$C$17+(L316&gt;=AA316)*'13_Mapa_Liq'!$C$18+(L316&gt;=AE316)*'13_Mapa_Liq'!$C$19),0)</f>
        <v>0</v>
      </c>
    </row>
    <row r="317" customFormat="false" ht="15" hidden="false" customHeight="false" outlineLevel="0" collapsed="false">
      <c r="A317" s="151" t="str">
        <f aca="false">IF(ISNUMBER('12_Datos_5m'!F317),ROW()-4,"")</f>
        <v/>
      </c>
      <c r="B317" s="151" t="str">
        <f aca="false">IF(ISNUMBER('12_Datos_5m'!F317),'12_Datos_5m'!F317,"")</f>
        <v/>
      </c>
      <c r="C317" s="151" t="str">
        <f aca="false">IF(ISNUMBER('12_Datos_5m'!A317),'12_Datos_5m'!A317,"")</f>
        <v/>
      </c>
      <c r="D317" s="151" t="n">
        <f aca="false">IF(AND(ISNUMBER('12_Datos_5m'!I317),ISNUMBER('12_Datos_5m'!I316)),'12_Datos_5m'!I317-'12_Datos_5m'!I316,0)</f>
        <v>0</v>
      </c>
      <c r="E317" s="151" t="n">
        <f aca="false">MAX(0,D317)</f>
        <v>0</v>
      </c>
      <c r="F317" s="151" t="n">
        <f aca="false">IF(AND(ISNUMBER('12_Datos_5m'!G317),N('12_Datos_5m'!G317)&gt;0),'12_Datos_5m'!H317/'12_Datos_5m'!G317,0.5)</f>
        <v>0.5</v>
      </c>
      <c r="G317" s="151" t="n">
        <f aca="false">IF(ISNUMBER(C317),($C$2-C317)/3600000,0)</f>
        <v>0</v>
      </c>
      <c r="H317" s="151" t="n">
        <f aca="false">EXP(-G317/'13_Mapa_Liq'!$B$7)</f>
        <v>1</v>
      </c>
      <c r="I317" s="151" t="n">
        <f aca="false">E317*F317*H317</f>
        <v>0</v>
      </c>
      <c r="J317" s="151" t="n">
        <f aca="false">E317*(1-F317)*H317</f>
        <v>0</v>
      </c>
      <c r="K317" s="151" t="n">
        <f aca="false">IF(COUNT('12_Datos_5m'!E318:E$504)=0,1000000000000,MIN('12_Datos_5m'!E318:E$504))</f>
        <v>1000000000000</v>
      </c>
      <c r="L317" s="151" t="n">
        <f aca="false">IF(COUNT('12_Datos_5m'!D318:D$504)=0,0,MAX('12_Datos_5m'!D318:D$504))</f>
        <v>0</v>
      </c>
      <c r="M317" s="151" t="str">
        <f aca="false">IF(ISNUMBER(B317),B317*(1-1/'13_Mapa_Liq'!$B$15+'13_Mapa_Liq'!$B$6),"")</f>
        <v/>
      </c>
      <c r="N317" s="151" t="n">
        <f aca="false">IF(ISNUMBER(B317),IF(K317&gt;M317,I317*'13_Mapa_Liq'!$C$15,0),0)</f>
        <v>0</v>
      </c>
      <c r="O317" s="151" t="str">
        <f aca="false">IF(ISNUMBER(B317),B317*(1+1/'13_Mapa_Liq'!$B$15-'13_Mapa_Liq'!$B$6),"")</f>
        <v/>
      </c>
      <c r="P317" s="151" t="n">
        <f aca="false">IF(ISNUMBER(B317),IF(L317&lt;O317,J317*'13_Mapa_Liq'!$C$15,0),0)</f>
        <v>0</v>
      </c>
      <c r="Q317" s="151" t="str">
        <f aca="false">IF(ISNUMBER(B317),B317*(1-1/'13_Mapa_Liq'!$B$16+'13_Mapa_Liq'!$B$6),"")</f>
        <v/>
      </c>
      <c r="R317" s="151" t="n">
        <f aca="false">IF(ISNUMBER(B317),IF(K317&gt;Q317,I317*'13_Mapa_Liq'!$C$16,0),0)</f>
        <v>0</v>
      </c>
      <c r="S317" s="151" t="str">
        <f aca="false">IF(ISNUMBER(B317),B317*(1+1/'13_Mapa_Liq'!$B$16-'13_Mapa_Liq'!$B$6),"")</f>
        <v/>
      </c>
      <c r="T317" s="151" t="n">
        <f aca="false">IF(ISNUMBER(B317),IF(L317&lt;S317,J317*'13_Mapa_Liq'!$C$16,0),0)</f>
        <v>0</v>
      </c>
      <c r="U317" s="151" t="str">
        <f aca="false">IF(ISNUMBER(B317),B317*(1-1/'13_Mapa_Liq'!$B$17+'13_Mapa_Liq'!$B$6),"")</f>
        <v/>
      </c>
      <c r="V317" s="151" t="n">
        <f aca="false">IF(ISNUMBER(B317),IF(K317&gt;U317,I317*'13_Mapa_Liq'!$C$17,0),0)</f>
        <v>0</v>
      </c>
      <c r="W317" s="151" t="str">
        <f aca="false">IF(ISNUMBER(B317),B317*(1+1/'13_Mapa_Liq'!$B$17-'13_Mapa_Liq'!$B$6),"")</f>
        <v/>
      </c>
      <c r="X317" s="151" t="n">
        <f aca="false">IF(ISNUMBER(B317),IF(L317&lt;W317,J317*'13_Mapa_Liq'!$C$17,0),0)</f>
        <v>0</v>
      </c>
      <c r="Y317" s="151" t="str">
        <f aca="false">IF(ISNUMBER(B317),B317*(1-1/'13_Mapa_Liq'!$B$18+'13_Mapa_Liq'!$B$6),"")</f>
        <v/>
      </c>
      <c r="Z317" s="151" t="n">
        <f aca="false">IF(ISNUMBER(B317),IF(K317&gt;Y317,I317*'13_Mapa_Liq'!$C$18,0),0)</f>
        <v>0</v>
      </c>
      <c r="AA317" s="151" t="str">
        <f aca="false">IF(ISNUMBER(B317),B317*(1+1/'13_Mapa_Liq'!$B$18-'13_Mapa_Liq'!$B$6),"")</f>
        <v/>
      </c>
      <c r="AB317" s="151" t="n">
        <f aca="false">IF(ISNUMBER(B317),IF(L317&lt;AA317,J317*'13_Mapa_Liq'!$C$18,0),0)</f>
        <v>0</v>
      </c>
      <c r="AC317" s="151" t="str">
        <f aca="false">IF(ISNUMBER(B317),B317*(1-1/'13_Mapa_Liq'!$B$19+'13_Mapa_Liq'!$B$6),"")</f>
        <v/>
      </c>
      <c r="AD317" s="151" t="n">
        <f aca="false">IF(ISNUMBER(B317),IF(K317&gt;AC317,I317*'13_Mapa_Liq'!$C$19,0),0)</f>
        <v>0</v>
      </c>
      <c r="AE317" s="151" t="str">
        <f aca="false">IF(ISNUMBER(B317),B317*(1+1/'13_Mapa_Liq'!$B$19-'13_Mapa_Liq'!$B$6),"")</f>
        <v/>
      </c>
      <c r="AF317" s="151" t="n">
        <f aca="false">IF(ISNUMBER(B317),IF(L317&lt;AE317,J317*'13_Mapa_Liq'!$C$19,0),0)</f>
        <v>0</v>
      </c>
      <c r="AG317" s="151"/>
      <c r="AH317" s="151" t="n">
        <f aca="false">IF(ISNUMBER(B317),E317*F317*((K317&lt;=M317)*'13_Mapa_Liq'!$C$15+(K317&lt;=Q317)*'13_Mapa_Liq'!$C$16+(K317&lt;=U317)*'13_Mapa_Liq'!$C$17+(K317&lt;=Y317)*'13_Mapa_Liq'!$C$18+(K317&lt;=AC317)*'13_Mapa_Liq'!$C$19),0)</f>
        <v>0</v>
      </c>
      <c r="AI317" s="151" t="n">
        <f aca="false">IF(ISNUMBER(B317),E317*(1-F317)*((L317&gt;=O317)*'13_Mapa_Liq'!$C$15+(L317&gt;=S317)*'13_Mapa_Liq'!$C$16+(L317&gt;=W317)*'13_Mapa_Liq'!$C$17+(L317&gt;=AA317)*'13_Mapa_Liq'!$C$18+(L317&gt;=AE317)*'13_Mapa_Liq'!$C$19),0)</f>
        <v>0</v>
      </c>
    </row>
    <row r="318" customFormat="false" ht="15" hidden="false" customHeight="false" outlineLevel="0" collapsed="false">
      <c r="A318" s="151" t="str">
        <f aca="false">IF(ISNUMBER('12_Datos_5m'!F318),ROW()-4,"")</f>
        <v/>
      </c>
      <c r="B318" s="151" t="str">
        <f aca="false">IF(ISNUMBER('12_Datos_5m'!F318),'12_Datos_5m'!F318,"")</f>
        <v/>
      </c>
      <c r="C318" s="151" t="str">
        <f aca="false">IF(ISNUMBER('12_Datos_5m'!A318),'12_Datos_5m'!A318,"")</f>
        <v/>
      </c>
      <c r="D318" s="151" t="n">
        <f aca="false">IF(AND(ISNUMBER('12_Datos_5m'!I318),ISNUMBER('12_Datos_5m'!I317)),'12_Datos_5m'!I318-'12_Datos_5m'!I317,0)</f>
        <v>0</v>
      </c>
      <c r="E318" s="151" t="n">
        <f aca="false">MAX(0,D318)</f>
        <v>0</v>
      </c>
      <c r="F318" s="151" t="n">
        <f aca="false">IF(AND(ISNUMBER('12_Datos_5m'!G318),N('12_Datos_5m'!G318)&gt;0),'12_Datos_5m'!H318/'12_Datos_5m'!G318,0.5)</f>
        <v>0.5</v>
      </c>
      <c r="G318" s="151" t="n">
        <f aca="false">IF(ISNUMBER(C318),($C$2-C318)/3600000,0)</f>
        <v>0</v>
      </c>
      <c r="H318" s="151" t="n">
        <f aca="false">EXP(-G318/'13_Mapa_Liq'!$B$7)</f>
        <v>1</v>
      </c>
      <c r="I318" s="151" t="n">
        <f aca="false">E318*F318*H318</f>
        <v>0</v>
      </c>
      <c r="J318" s="151" t="n">
        <f aca="false">E318*(1-F318)*H318</f>
        <v>0</v>
      </c>
      <c r="K318" s="151" t="n">
        <f aca="false">IF(COUNT('12_Datos_5m'!E319:E$504)=0,1000000000000,MIN('12_Datos_5m'!E319:E$504))</f>
        <v>1000000000000</v>
      </c>
      <c r="L318" s="151" t="n">
        <f aca="false">IF(COUNT('12_Datos_5m'!D319:D$504)=0,0,MAX('12_Datos_5m'!D319:D$504))</f>
        <v>0</v>
      </c>
      <c r="M318" s="151" t="str">
        <f aca="false">IF(ISNUMBER(B318),B318*(1-1/'13_Mapa_Liq'!$B$15+'13_Mapa_Liq'!$B$6),"")</f>
        <v/>
      </c>
      <c r="N318" s="151" t="n">
        <f aca="false">IF(ISNUMBER(B318),IF(K318&gt;M318,I318*'13_Mapa_Liq'!$C$15,0),0)</f>
        <v>0</v>
      </c>
      <c r="O318" s="151" t="str">
        <f aca="false">IF(ISNUMBER(B318),B318*(1+1/'13_Mapa_Liq'!$B$15-'13_Mapa_Liq'!$B$6),"")</f>
        <v/>
      </c>
      <c r="P318" s="151" t="n">
        <f aca="false">IF(ISNUMBER(B318),IF(L318&lt;O318,J318*'13_Mapa_Liq'!$C$15,0),0)</f>
        <v>0</v>
      </c>
      <c r="Q318" s="151" t="str">
        <f aca="false">IF(ISNUMBER(B318),B318*(1-1/'13_Mapa_Liq'!$B$16+'13_Mapa_Liq'!$B$6),"")</f>
        <v/>
      </c>
      <c r="R318" s="151" t="n">
        <f aca="false">IF(ISNUMBER(B318),IF(K318&gt;Q318,I318*'13_Mapa_Liq'!$C$16,0),0)</f>
        <v>0</v>
      </c>
      <c r="S318" s="151" t="str">
        <f aca="false">IF(ISNUMBER(B318),B318*(1+1/'13_Mapa_Liq'!$B$16-'13_Mapa_Liq'!$B$6),"")</f>
        <v/>
      </c>
      <c r="T318" s="151" t="n">
        <f aca="false">IF(ISNUMBER(B318),IF(L318&lt;S318,J318*'13_Mapa_Liq'!$C$16,0),0)</f>
        <v>0</v>
      </c>
      <c r="U318" s="151" t="str">
        <f aca="false">IF(ISNUMBER(B318),B318*(1-1/'13_Mapa_Liq'!$B$17+'13_Mapa_Liq'!$B$6),"")</f>
        <v/>
      </c>
      <c r="V318" s="151" t="n">
        <f aca="false">IF(ISNUMBER(B318),IF(K318&gt;U318,I318*'13_Mapa_Liq'!$C$17,0),0)</f>
        <v>0</v>
      </c>
      <c r="W318" s="151" t="str">
        <f aca="false">IF(ISNUMBER(B318),B318*(1+1/'13_Mapa_Liq'!$B$17-'13_Mapa_Liq'!$B$6),"")</f>
        <v/>
      </c>
      <c r="X318" s="151" t="n">
        <f aca="false">IF(ISNUMBER(B318),IF(L318&lt;W318,J318*'13_Mapa_Liq'!$C$17,0),0)</f>
        <v>0</v>
      </c>
      <c r="Y318" s="151" t="str">
        <f aca="false">IF(ISNUMBER(B318),B318*(1-1/'13_Mapa_Liq'!$B$18+'13_Mapa_Liq'!$B$6),"")</f>
        <v/>
      </c>
      <c r="Z318" s="151" t="n">
        <f aca="false">IF(ISNUMBER(B318),IF(K318&gt;Y318,I318*'13_Mapa_Liq'!$C$18,0),0)</f>
        <v>0</v>
      </c>
      <c r="AA318" s="151" t="str">
        <f aca="false">IF(ISNUMBER(B318),B318*(1+1/'13_Mapa_Liq'!$B$18-'13_Mapa_Liq'!$B$6),"")</f>
        <v/>
      </c>
      <c r="AB318" s="151" t="n">
        <f aca="false">IF(ISNUMBER(B318),IF(L318&lt;AA318,J318*'13_Mapa_Liq'!$C$18,0),0)</f>
        <v>0</v>
      </c>
      <c r="AC318" s="151" t="str">
        <f aca="false">IF(ISNUMBER(B318),B318*(1-1/'13_Mapa_Liq'!$B$19+'13_Mapa_Liq'!$B$6),"")</f>
        <v/>
      </c>
      <c r="AD318" s="151" t="n">
        <f aca="false">IF(ISNUMBER(B318),IF(K318&gt;AC318,I318*'13_Mapa_Liq'!$C$19,0),0)</f>
        <v>0</v>
      </c>
      <c r="AE318" s="151" t="str">
        <f aca="false">IF(ISNUMBER(B318),B318*(1+1/'13_Mapa_Liq'!$B$19-'13_Mapa_Liq'!$B$6),"")</f>
        <v/>
      </c>
      <c r="AF318" s="151" t="n">
        <f aca="false">IF(ISNUMBER(B318),IF(L318&lt;AE318,J318*'13_Mapa_Liq'!$C$19,0),0)</f>
        <v>0</v>
      </c>
      <c r="AG318" s="151"/>
      <c r="AH318" s="151" t="n">
        <f aca="false">IF(ISNUMBER(B318),E318*F318*((K318&lt;=M318)*'13_Mapa_Liq'!$C$15+(K318&lt;=Q318)*'13_Mapa_Liq'!$C$16+(K318&lt;=U318)*'13_Mapa_Liq'!$C$17+(K318&lt;=Y318)*'13_Mapa_Liq'!$C$18+(K318&lt;=AC318)*'13_Mapa_Liq'!$C$19),0)</f>
        <v>0</v>
      </c>
      <c r="AI318" s="151" t="n">
        <f aca="false">IF(ISNUMBER(B318),E318*(1-F318)*((L318&gt;=O318)*'13_Mapa_Liq'!$C$15+(L318&gt;=S318)*'13_Mapa_Liq'!$C$16+(L318&gt;=W318)*'13_Mapa_Liq'!$C$17+(L318&gt;=AA318)*'13_Mapa_Liq'!$C$18+(L318&gt;=AE318)*'13_Mapa_Liq'!$C$19),0)</f>
        <v>0</v>
      </c>
    </row>
    <row r="319" customFormat="false" ht="15" hidden="false" customHeight="false" outlineLevel="0" collapsed="false">
      <c r="A319" s="151" t="str">
        <f aca="false">IF(ISNUMBER('12_Datos_5m'!F319),ROW()-4,"")</f>
        <v/>
      </c>
      <c r="B319" s="151" t="str">
        <f aca="false">IF(ISNUMBER('12_Datos_5m'!F319),'12_Datos_5m'!F319,"")</f>
        <v/>
      </c>
      <c r="C319" s="151" t="str">
        <f aca="false">IF(ISNUMBER('12_Datos_5m'!A319),'12_Datos_5m'!A319,"")</f>
        <v/>
      </c>
      <c r="D319" s="151" t="n">
        <f aca="false">IF(AND(ISNUMBER('12_Datos_5m'!I319),ISNUMBER('12_Datos_5m'!I318)),'12_Datos_5m'!I319-'12_Datos_5m'!I318,0)</f>
        <v>0</v>
      </c>
      <c r="E319" s="151" t="n">
        <f aca="false">MAX(0,D319)</f>
        <v>0</v>
      </c>
      <c r="F319" s="151" t="n">
        <f aca="false">IF(AND(ISNUMBER('12_Datos_5m'!G319),N('12_Datos_5m'!G319)&gt;0),'12_Datos_5m'!H319/'12_Datos_5m'!G319,0.5)</f>
        <v>0.5</v>
      </c>
      <c r="G319" s="151" t="n">
        <f aca="false">IF(ISNUMBER(C319),($C$2-C319)/3600000,0)</f>
        <v>0</v>
      </c>
      <c r="H319" s="151" t="n">
        <f aca="false">EXP(-G319/'13_Mapa_Liq'!$B$7)</f>
        <v>1</v>
      </c>
      <c r="I319" s="151" t="n">
        <f aca="false">E319*F319*H319</f>
        <v>0</v>
      </c>
      <c r="J319" s="151" t="n">
        <f aca="false">E319*(1-F319)*H319</f>
        <v>0</v>
      </c>
      <c r="K319" s="151" t="n">
        <f aca="false">IF(COUNT('12_Datos_5m'!E320:E$504)=0,1000000000000,MIN('12_Datos_5m'!E320:E$504))</f>
        <v>1000000000000</v>
      </c>
      <c r="L319" s="151" t="n">
        <f aca="false">IF(COUNT('12_Datos_5m'!D320:D$504)=0,0,MAX('12_Datos_5m'!D320:D$504))</f>
        <v>0</v>
      </c>
      <c r="M319" s="151" t="str">
        <f aca="false">IF(ISNUMBER(B319),B319*(1-1/'13_Mapa_Liq'!$B$15+'13_Mapa_Liq'!$B$6),"")</f>
        <v/>
      </c>
      <c r="N319" s="151" t="n">
        <f aca="false">IF(ISNUMBER(B319),IF(K319&gt;M319,I319*'13_Mapa_Liq'!$C$15,0),0)</f>
        <v>0</v>
      </c>
      <c r="O319" s="151" t="str">
        <f aca="false">IF(ISNUMBER(B319),B319*(1+1/'13_Mapa_Liq'!$B$15-'13_Mapa_Liq'!$B$6),"")</f>
        <v/>
      </c>
      <c r="P319" s="151" t="n">
        <f aca="false">IF(ISNUMBER(B319),IF(L319&lt;O319,J319*'13_Mapa_Liq'!$C$15,0),0)</f>
        <v>0</v>
      </c>
      <c r="Q319" s="151" t="str">
        <f aca="false">IF(ISNUMBER(B319),B319*(1-1/'13_Mapa_Liq'!$B$16+'13_Mapa_Liq'!$B$6),"")</f>
        <v/>
      </c>
      <c r="R319" s="151" t="n">
        <f aca="false">IF(ISNUMBER(B319),IF(K319&gt;Q319,I319*'13_Mapa_Liq'!$C$16,0),0)</f>
        <v>0</v>
      </c>
      <c r="S319" s="151" t="str">
        <f aca="false">IF(ISNUMBER(B319),B319*(1+1/'13_Mapa_Liq'!$B$16-'13_Mapa_Liq'!$B$6),"")</f>
        <v/>
      </c>
      <c r="T319" s="151" t="n">
        <f aca="false">IF(ISNUMBER(B319),IF(L319&lt;S319,J319*'13_Mapa_Liq'!$C$16,0),0)</f>
        <v>0</v>
      </c>
      <c r="U319" s="151" t="str">
        <f aca="false">IF(ISNUMBER(B319),B319*(1-1/'13_Mapa_Liq'!$B$17+'13_Mapa_Liq'!$B$6),"")</f>
        <v/>
      </c>
      <c r="V319" s="151" t="n">
        <f aca="false">IF(ISNUMBER(B319),IF(K319&gt;U319,I319*'13_Mapa_Liq'!$C$17,0),0)</f>
        <v>0</v>
      </c>
      <c r="W319" s="151" t="str">
        <f aca="false">IF(ISNUMBER(B319),B319*(1+1/'13_Mapa_Liq'!$B$17-'13_Mapa_Liq'!$B$6),"")</f>
        <v/>
      </c>
      <c r="X319" s="151" t="n">
        <f aca="false">IF(ISNUMBER(B319),IF(L319&lt;W319,J319*'13_Mapa_Liq'!$C$17,0),0)</f>
        <v>0</v>
      </c>
      <c r="Y319" s="151" t="str">
        <f aca="false">IF(ISNUMBER(B319),B319*(1-1/'13_Mapa_Liq'!$B$18+'13_Mapa_Liq'!$B$6),"")</f>
        <v/>
      </c>
      <c r="Z319" s="151" t="n">
        <f aca="false">IF(ISNUMBER(B319),IF(K319&gt;Y319,I319*'13_Mapa_Liq'!$C$18,0),0)</f>
        <v>0</v>
      </c>
      <c r="AA319" s="151" t="str">
        <f aca="false">IF(ISNUMBER(B319),B319*(1+1/'13_Mapa_Liq'!$B$18-'13_Mapa_Liq'!$B$6),"")</f>
        <v/>
      </c>
      <c r="AB319" s="151" t="n">
        <f aca="false">IF(ISNUMBER(B319),IF(L319&lt;AA319,J319*'13_Mapa_Liq'!$C$18,0),0)</f>
        <v>0</v>
      </c>
      <c r="AC319" s="151" t="str">
        <f aca="false">IF(ISNUMBER(B319),B319*(1-1/'13_Mapa_Liq'!$B$19+'13_Mapa_Liq'!$B$6),"")</f>
        <v/>
      </c>
      <c r="AD319" s="151" t="n">
        <f aca="false">IF(ISNUMBER(B319),IF(K319&gt;AC319,I319*'13_Mapa_Liq'!$C$19,0),0)</f>
        <v>0</v>
      </c>
      <c r="AE319" s="151" t="str">
        <f aca="false">IF(ISNUMBER(B319),B319*(1+1/'13_Mapa_Liq'!$B$19-'13_Mapa_Liq'!$B$6),"")</f>
        <v/>
      </c>
      <c r="AF319" s="151" t="n">
        <f aca="false">IF(ISNUMBER(B319),IF(L319&lt;AE319,J319*'13_Mapa_Liq'!$C$19,0),0)</f>
        <v>0</v>
      </c>
      <c r="AG319" s="151"/>
      <c r="AH319" s="151" t="n">
        <f aca="false">IF(ISNUMBER(B319),E319*F319*((K319&lt;=M319)*'13_Mapa_Liq'!$C$15+(K319&lt;=Q319)*'13_Mapa_Liq'!$C$16+(K319&lt;=U319)*'13_Mapa_Liq'!$C$17+(K319&lt;=Y319)*'13_Mapa_Liq'!$C$18+(K319&lt;=AC319)*'13_Mapa_Liq'!$C$19),0)</f>
        <v>0</v>
      </c>
      <c r="AI319" s="151" t="n">
        <f aca="false">IF(ISNUMBER(B319),E319*(1-F319)*((L319&gt;=O319)*'13_Mapa_Liq'!$C$15+(L319&gt;=S319)*'13_Mapa_Liq'!$C$16+(L319&gt;=W319)*'13_Mapa_Liq'!$C$17+(L319&gt;=AA319)*'13_Mapa_Liq'!$C$18+(L319&gt;=AE319)*'13_Mapa_Liq'!$C$19),0)</f>
        <v>0</v>
      </c>
    </row>
    <row r="320" customFormat="false" ht="15" hidden="false" customHeight="false" outlineLevel="0" collapsed="false">
      <c r="A320" s="151" t="str">
        <f aca="false">IF(ISNUMBER('12_Datos_5m'!F320),ROW()-4,"")</f>
        <v/>
      </c>
      <c r="B320" s="151" t="str">
        <f aca="false">IF(ISNUMBER('12_Datos_5m'!F320),'12_Datos_5m'!F320,"")</f>
        <v/>
      </c>
      <c r="C320" s="151" t="str">
        <f aca="false">IF(ISNUMBER('12_Datos_5m'!A320),'12_Datos_5m'!A320,"")</f>
        <v/>
      </c>
      <c r="D320" s="151" t="n">
        <f aca="false">IF(AND(ISNUMBER('12_Datos_5m'!I320),ISNUMBER('12_Datos_5m'!I319)),'12_Datos_5m'!I320-'12_Datos_5m'!I319,0)</f>
        <v>0</v>
      </c>
      <c r="E320" s="151" t="n">
        <f aca="false">MAX(0,D320)</f>
        <v>0</v>
      </c>
      <c r="F320" s="151" t="n">
        <f aca="false">IF(AND(ISNUMBER('12_Datos_5m'!G320),N('12_Datos_5m'!G320)&gt;0),'12_Datos_5m'!H320/'12_Datos_5m'!G320,0.5)</f>
        <v>0.5</v>
      </c>
      <c r="G320" s="151" t="n">
        <f aca="false">IF(ISNUMBER(C320),($C$2-C320)/3600000,0)</f>
        <v>0</v>
      </c>
      <c r="H320" s="151" t="n">
        <f aca="false">EXP(-G320/'13_Mapa_Liq'!$B$7)</f>
        <v>1</v>
      </c>
      <c r="I320" s="151" t="n">
        <f aca="false">E320*F320*H320</f>
        <v>0</v>
      </c>
      <c r="J320" s="151" t="n">
        <f aca="false">E320*(1-F320)*H320</f>
        <v>0</v>
      </c>
      <c r="K320" s="151" t="n">
        <f aca="false">IF(COUNT('12_Datos_5m'!E321:E$504)=0,1000000000000,MIN('12_Datos_5m'!E321:E$504))</f>
        <v>1000000000000</v>
      </c>
      <c r="L320" s="151" t="n">
        <f aca="false">IF(COUNT('12_Datos_5m'!D321:D$504)=0,0,MAX('12_Datos_5m'!D321:D$504))</f>
        <v>0</v>
      </c>
      <c r="M320" s="151" t="str">
        <f aca="false">IF(ISNUMBER(B320),B320*(1-1/'13_Mapa_Liq'!$B$15+'13_Mapa_Liq'!$B$6),"")</f>
        <v/>
      </c>
      <c r="N320" s="151" t="n">
        <f aca="false">IF(ISNUMBER(B320),IF(K320&gt;M320,I320*'13_Mapa_Liq'!$C$15,0),0)</f>
        <v>0</v>
      </c>
      <c r="O320" s="151" t="str">
        <f aca="false">IF(ISNUMBER(B320),B320*(1+1/'13_Mapa_Liq'!$B$15-'13_Mapa_Liq'!$B$6),"")</f>
        <v/>
      </c>
      <c r="P320" s="151" t="n">
        <f aca="false">IF(ISNUMBER(B320),IF(L320&lt;O320,J320*'13_Mapa_Liq'!$C$15,0),0)</f>
        <v>0</v>
      </c>
      <c r="Q320" s="151" t="str">
        <f aca="false">IF(ISNUMBER(B320),B320*(1-1/'13_Mapa_Liq'!$B$16+'13_Mapa_Liq'!$B$6),"")</f>
        <v/>
      </c>
      <c r="R320" s="151" t="n">
        <f aca="false">IF(ISNUMBER(B320),IF(K320&gt;Q320,I320*'13_Mapa_Liq'!$C$16,0),0)</f>
        <v>0</v>
      </c>
      <c r="S320" s="151" t="str">
        <f aca="false">IF(ISNUMBER(B320),B320*(1+1/'13_Mapa_Liq'!$B$16-'13_Mapa_Liq'!$B$6),"")</f>
        <v/>
      </c>
      <c r="T320" s="151" t="n">
        <f aca="false">IF(ISNUMBER(B320),IF(L320&lt;S320,J320*'13_Mapa_Liq'!$C$16,0),0)</f>
        <v>0</v>
      </c>
      <c r="U320" s="151" t="str">
        <f aca="false">IF(ISNUMBER(B320),B320*(1-1/'13_Mapa_Liq'!$B$17+'13_Mapa_Liq'!$B$6),"")</f>
        <v/>
      </c>
      <c r="V320" s="151" t="n">
        <f aca="false">IF(ISNUMBER(B320),IF(K320&gt;U320,I320*'13_Mapa_Liq'!$C$17,0),0)</f>
        <v>0</v>
      </c>
      <c r="W320" s="151" t="str">
        <f aca="false">IF(ISNUMBER(B320),B320*(1+1/'13_Mapa_Liq'!$B$17-'13_Mapa_Liq'!$B$6),"")</f>
        <v/>
      </c>
      <c r="X320" s="151" t="n">
        <f aca="false">IF(ISNUMBER(B320),IF(L320&lt;W320,J320*'13_Mapa_Liq'!$C$17,0),0)</f>
        <v>0</v>
      </c>
      <c r="Y320" s="151" t="str">
        <f aca="false">IF(ISNUMBER(B320),B320*(1-1/'13_Mapa_Liq'!$B$18+'13_Mapa_Liq'!$B$6),"")</f>
        <v/>
      </c>
      <c r="Z320" s="151" t="n">
        <f aca="false">IF(ISNUMBER(B320),IF(K320&gt;Y320,I320*'13_Mapa_Liq'!$C$18,0),0)</f>
        <v>0</v>
      </c>
      <c r="AA320" s="151" t="str">
        <f aca="false">IF(ISNUMBER(B320),B320*(1+1/'13_Mapa_Liq'!$B$18-'13_Mapa_Liq'!$B$6),"")</f>
        <v/>
      </c>
      <c r="AB320" s="151" t="n">
        <f aca="false">IF(ISNUMBER(B320),IF(L320&lt;AA320,J320*'13_Mapa_Liq'!$C$18,0),0)</f>
        <v>0</v>
      </c>
      <c r="AC320" s="151" t="str">
        <f aca="false">IF(ISNUMBER(B320),B320*(1-1/'13_Mapa_Liq'!$B$19+'13_Mapa_Liq'!$B$6),"")</f>
        <v/>
      </c>
      <c r="AD320" s="151" t="n">
        <f aca="false">IF(ISNUMBER(B320),IF(K320&gt;AC320,I320*'13_Mapa_Liq'!$C$19,0),0)</f>
        <v>0</v>
      </c>
      <c r="AE320" s="151" t="str">
        <f aca="false">IF(ISNUMBER(B320),B320*(1+1/'13_Mapa_Liq'!$B$19-'13_Mapa_Liq'!$B$6),"")</f>
        <v/>
      </c>
      <c r="AF320" s="151" t="n">
        <f aca="false">IF(ISNUMBER(B320),IF(L320&lt;AE320,J320*'13_Mapa_Liq'!$C$19,0),0)</f>
        <v>0</v>
      </c>
      <c r="AG320" s="151"/>
      <c r="AH320" s="151" t="n">
        <f aca="false">IF(ISNUMBER(B320),E320*F320*((K320&lt;=M320)*'13_Mapa_Liq'!$C$15+(K320&lt;=Q320)*'13_Mapa_Liq'!$C$16+(K320&lt;=U320)*'13_Mapa_Liq'!$C$17+(K320&lt;=Y320)*'13_Mapa_Liq'!$C$18+(K320&lt;=AC320)*'13_Mapa_Liq'!$C$19),0)</f>
        <v>0</v>
      </c>
      <c r="AI320" s="151" t="n">
        <f aca="false">IF(ISNUMBER(B320),E320*(1-F320)*((L320&gt;=O320)*'13_Mapa_Liq'!$C$15+(L320&gt;=S320)*'13_Mapa_Liq'!$C$16+(L320&gt;=W320)*'13_Mapa_Liq'!$C$17+(L320&gt;=AA320)*'13_Mapa_Liq'!$C$18+(L320&gt;=AE320)*'13_Mapa_Liq'!$C$19),0)</f>
        <v>0</v>
      </c>
    </row>
    <row r="321" customFormat="false" ht="15" hidden="false" customHeight="false" outlineLevel="0" collapsed="false">
      <c r="A321" s="151" t="str">
        <f aca="false">IF(ISNUMBER('12_Datos_5m'!F321),ROW()-4,"")</f>
        <v/>
      </c>
      <c r="B321" s="151" t="str">
        <f aca="false">IF(ISNUMBER('12_Datos_5m'!F321),'12_Datos_5m'!F321,"")</f>
        <v/>
      </c>
      <c r="C321" s="151" t="str">
        <f aca="false">IF(ISNUMBER('12_Datos_5m'!A321),'12_Datos_5m'!A321,"")</f>
        <v/>
      </c>
      <c r="D321" s="151" t="n">
        <f aca="false">IF(AND(ISNUMBER('12_Datos_5m'!I321),ISNUMBER('12_Datos_5m'!I320)),'12_Datos_5m'!I321-'12_Datos_5m'!I320,0)</f>
        <v>0</v>
      </c>
      <c r="E321" s="151" t="n">
        <f aca="false">MAX(0,D321)</f>
        <v>0</v>
      </c>
      <c r="F321" s="151" t="n">
        <f aca="false">IF(AND(ISNUMBER('12_Datos_5m'!G321),N('12_Datos_5m'!G321)&gt;0),'12_Datos_5m'!H321/'12_Datos_5m'!G321,0.5)</f>
        <v>0.5</v>
      </c>
      <c r="G321" s="151" t="n">
        <f aca="false">IF(ISNUMBER(C321),($C$2-C321)/3600000,0)</f>
        <v>0</v>
      </c>
      <c r="H321" s="151" t="n">
        <f aca="false">EXP(-G321/'13_Mapa_Liq'!$B$7)</f>
        <v>1</v>
      </c>
      <c r="I321" s="151" t="n">
        <f aca="false">E321*F321*H321</f>
        <v>0</v>
      </c>
      <c r="J321" s="151" t="n">
        <f aca="false">E321*(1-F321)*H321</f>
        <v>0</v>
      </c>
      <c r="K321" s="151" t="n">
        <f aca="false">IF(COUNT('12_Datos_5m'!E322:E$504)=0,1000000000000,MIN('12_Datos_5m'!E322:E$504))</f>
        <v>1000000000000</v>
      </c>
      <c r="L321" s="151" t="n">
        <f aca="false">IF(COUNT('12_Datos_5m'!D322:D$504)=0,0,MAX('12_Datos_5m'!D322:D$504))</f>
        <v>0</v>
      </c>
      <c r="M321" s="151" t="str">
        <f aca="false">IF(ISNUMBER(B321),B321*(1-1/'13_Mapa_Liq'!$B$15+'13_Mapa_Liq'!$B$6),"")</f>
        <v/>
      </c>
      <c r="N321" s="151" t="n">
        <f aca="false">IF(ISNUMBER(B321),IF(K321&gt;M321,I321*'13_Mapa_Liq'!$C$15,0),0)</f>
        <v>0</v>
      </c>
      <c r="O321" s="151" t="str">
        <f aca="false">IF(ISNUMBER(B321),B321*(1+1/'13_Mapa_Liq'!$B$15-'13_Mapa_Liq'!$B$6),"")</f>
        <v/>
      </c>
      <c r="P321" s="151" t="n">
        <f aca="false">IF(ISNUMBER(B321),IF(L321&lt;O321,J321*'13_Mapa_Liq'!$C$15,0),0)</f>
        <v>0</v>
      </c>
      <c r="Q321" s="151" t="str">
        <f aca="false">IF(ISNUMBER(B321),B321*(1-1/'13_Mapa_Liq'!$B$16+'13_Mapa_Liq'!$B$6),"")</f>
        <v/>
      </c>
      <c r="R321" s="151" t="n">
        <f aca="false">IF(ISNUMBER(B321),IF(K321&gt;Q321,I321*'13_Mapa_Liq'!$C$16,0),0)</f>
        <v>0</v>
      </c>
      <c r="S321" s="151" t="str">
        <f aca="false">IF(ISNUMBER(B321),B321*(1+1/'13_Mapa_Liq'!$B$16-'13_Mapa_Liq'!$B$6),"")</f>
        <v/>
      </c>
      <c r="T321" s="151" t="n">
        <f aca="false">IF(ISNUMBER(B321),IF(L321&lt;S321,J321*'13_Mapa_Liq'!$C$16,0),0)</f>
        <v>0</v>
      </c>
      <c r="U321" s="151" t="str">
        <f aca="false">IF(ISNUMBER(B321),B321*(1-1/'13_Mapa_Liq'!$B$17+'13_Mapa_Liq'!$B$6),"")</f>
        <v/>
      </c>
      <c r="V321" s="151" t="n">
        <f aca="false">IF(ISNUMBER(B321),IF(K321&gt;U321,I321*'13_Mapa_Liq'!$C$17,0),0)</f>
        <v>0</v>
      </c>
      <c r="W321" s="151" t="str">
        <f aca="false">IF(ISNUMBER(B321),B321*(1+1/'13_Mapa_Liq'!$B$17-'13_Mapa_Liq'!$B$6),"")</f>
        <v/>
      </c>
      <c r="X321" s="151" t="n">
        <f aca="false">IF(ISNUMBER(B321),IF(L321&lt;W321,J321*'13_Mapa_Liq'!$C$17,0),0)</f>
        <v>0</v>
      </c>
      <c r="Y321" s="151" t="str">
        <f aca="false">IF(ISNUMBER(B321),B321*(1-1/'13_Mapa_Liq'!$B$18+'13_Mapa_Liq'!$B$6),"")</f>
        <v/>
      </c>
      <c r="Z321" s="151" t="n">
        <f aca="false">IF(ISNUMBER(B321),IF(K321&gt;Y321,I321*'13_Mapa_Liq'!$C$18,0),0)</f>
        <v>0</v>
      </c>
      <c r="AA321" s="151" t="str">
        <f aca="false">IF(ISNUMBER(B321),B321*(1+1/'13_Mapa_Liq'!$B$18-'13_Mapa_Liq'!$B$6),"")</f>
        <v/>
      </c>
      <c r="AB321" s="151" t="n">
        <f aca="false">IF(ISNUMBER(B321),IF(L321&lt;AA321,J321*'13_Mapa_Liq'!$C$18,0),0)</f>
        <v>0</v>
      </c>
      <c r="AC321" s="151" t="str">
        <f aca="false">IF(ISNUMBER(B321),B321*(1-1/'13_Mapa_Liq'!$B$19+'13_Mapa_Liq'!$B$6),"")</f>
        <v/>
      </c>
      <c r="AD321" s="151" t="n">
        <f aca="false">IF(ISNUMBER(B321),IF(K321&gt;AC321,I321*'13_Mapa_Liq'!$C$19,0),0)</f>
        <v>0</v>
      </c>
      <c r="AE321" s="151" t="str">
        <f aca="false">IF(ISNUMBER(B321),B321*(1+1/'13_Mapa_Liq'!$B$19-'13_Mapa_Liq'!$B$6),"")</f>
        <v/>
      </c>
      <c r="AF321" s="151" t="n">
        <f aca="false">IF(ISNUMBER(B321),IF(L321&lt;AE321,J321*'13_Mapa_Liq'!$C$19,0),0)</f>
        <v>0</v>
      </c>
      <c r="AG321" s="151"/>
      <c r="AH321" s="151" t="n">
        <f aca="false">IF(ISNUMBER(B321),E321*F321*((K321&lt;=M321)*'13_Mapa_Liq'!$C$15+(K321&lt;=Q321)*'13_Mapa_Liq'!$C$16+(K321&lt;=U321)*'13_Mapa_Liq'!$C$17+(K321&lt;=Y321)*'13_Mapa_Liq'!$C$18+(K321&lt;=AC321)*'13_Mapa_Liq'!$C$19),0)</f>
        <v>0</v>
      </c>
      <c r="AI321" s="151" t="n">
        <f aca="false">IF(ISNUMBER(B321),E321*(1-F321)*((L321&gt;=O321)*'13_Mapa_Liq'!$C$15+(L321&gt;=S321)*'13_Mapa_Liq'!$C$16+(L321&gt;=W321)*'13_Mapa_Liq'!$C$17+(L321&gt;=AA321)*'13_Mapa_Liq'!$C$18+(L321&gt;=AE321)*'13_Mapa_Liq'!$C$19),0)</f>
        <v>0</v>
      </c>
    </row>
    <row r="322" customFormat="false" ht="15" hidden="false" customHeight="false" outlineLevel="0" collapsed="false">
      <c r="A322" s="151" t="str">
        <f aca="false">IF(ISNUMBER('12_Datos_5m'!F322),ROW()-4,"")</f>
        <v/>
      </c>
      <c r="B322" s="151" t="str">
        <f aca="false">IF(ISNUMBER('12_Datos_5m'!F322),'12_Datos_5m'!F322,"")</f>
        <v/>
      </c>
      <c r="C322" s="151" t="str">
        <f aca="false">IF(ISNUMBER('12_Datos_5m'!A322),'12_Datos_5m'!A322,"")</f>
        <v/>
      </c>
      <c r="D322" s="151" t="n">
        <f aca="false">IF(AND(ISNUMBER('12_Datos_5m'!I322),ISNUMBER('12_Datos_5m'!I321)),'12_Datos_5m'!I322-'12_Datos_5m'!I321,0)</f>
        <v>0</v>
      </c>
      <c r="E322" s="151" t="n">
        <f aca="false">MAX(0,D322)</f>
        <v>0</v>
      </c>
      <c r="F322" s="151" t="n">
        <f aca="false">IF(AND(ISNUMBER('12_Datos_5m'!G322),N('12_Datos_5m'!G322)&gt;0),'12_Datos_5m'!H322/'12_Datos_5m'!G322,0.5)</f>
        <v>0.5</v>
      </c>
      <c r="G322" s="151" t="n">
        <f aca="false">IF(ISNUMBER(C322),($C$2-C322)/3600000,0)</f>
        <v>0</v>
      </c>
      <c r="H322" s="151" t="n">
        <f aca="false">EXP(-G322/'13_Mapa_Liq'!$B$7)</f>
        <v>1</v>
      </c>
      <c r="I322" s="151" t="n">
        <f aca="false">E322*F322*H322</f>
        <v>0</v>
      </c>
      <c r="J322" s="151" t="n">
        <f aca="false">E322*(1-F322)*H322</f>
        <v>0</v>
      </c>
      <c r="K322" s="151" t="n">
        <f aca="false">IF(COUNT('12_Datos_5m'!E323:E$504)=0,1000000000000,MIN('12_Datos_5m'!E323:E$504))</f>
        <v>1000000000000</v>
      </c>
      <c r="L322" s="151" t="n">
        <f aca="false">IF(COUNT('12_Datos_5m'!D323:D$504)=0,0,MAX('12_Datos_5m'!D323:D$504))</f>
        <v>0</v>
      </c>
      <c r="M322" s="151" t="str">
        <f aca="false">IF(ISNUMBER(B322),B322*(1-1/'13_Mapa_Liq'!$B$15+'13_Mapa_Liq'!$B$6),"")</f>
        <v/>
      </c>
      <c r="N322" s="151" t="n">
        <f aca="false">IF(ISNUMBER(B322),IF(K322&gt;M322,I322*'13_Mapa_Liq'!$C$15,0),0)</f>
        <v>0</v>
      </c>
      <c r="O322" s="151" t="str">
        <f aca="false">IF(ISNUMBER(B322),B322*(1+1/'13_Mapa_Liq'!$B$15-'13_Mapa_Liq'!$B$6),"")</f>
        <v/>
      </c>
      <c r="P322" s="151" t="n">
        <f aca="false">IF(ISNUMBER(B322),IF(L322&lt;O322,J322*'13_Mapa_Liq'!$C$15,0),0)</f>
        <v>0</v>
      </c>
      <c r="Q322" s="151" t="str">
        <f aca="false">IF(ISNUMBER(B322),B322*(1-1/'13_Mapa_Liq'!$B$16+'13_Mapa_Liq'!$B$6),"")</f>
        <v/>
      </c>
      <c r="R322" s="151" t="n">
        <f aca="false">IF(ISNUMBER(B322),IF(K322&gt;Q322,I322*'13_Mapa_Liq'!$C$16,0),0)</f>
        <v>0</v>
      </c>
      <c r="S322" s="151" t="str">
        <f aca="false">IF(ISNUMBER(B322),B322*(1+1/'13_Mapa_Liq'!$B$16-'13_Mapa_Liq'!$B$6),"")</f>
        <v/>
      </c>
      <c r="T322" s="151" t="n">
        <f aca="false">IF(ISNUMBER(B322),IF(L322&lt;S322,J322*'13_Mapa_Liq'!$C$16,0),0)</f>
        <v>0</v>
      </c>
      <c r="U322" s="151" t="str">
        <f aca="false">IF(ISNUMBER(B322),B322*(1-1/'13_Mapa_Liq'!$B$17+'13_Mapa_Liq'!$B$6),"")</f>
        <v/>
      </c>
      <c r="V322" s="151" t="n">
        <f aca="false">IF(ISNUMBER(B322),IF(K322&gt;U322,I322*'13_Mapa_Liq'!$C$17,0),0)</f>
        <v>0</v>
      </c>
      <c r="W322" s="151" t="str">
        <f aca="false">IF(ISNUMBER(B322),B322*(1+1/'13_Mapa_Liq'!$B$17-'13_Mapa_Liq'!$B$6),"")</f>
        <v/>
      </c>
      <c r="X322" s="151" t="n">
        <f aca="false">IF(ISNUMBER(B322),IF(L322&lt;W322,J322*'13_Mapa_Liq'!$C$17,0),0)</f>
        <v>0</v>
      </c>
      <c r="Y322" s="151" t="str">
        <f aca="false">IF(ISNUMBER(B322),B322*(1-1/'13_Mapa_Liq'!$B$18+'13_Mapa_Liq'!$B$6),"")</f>
        <v/>
      </c>
      <c r="Z322" s="151" t="n">
        <f aca="false">IF(ISNUMBER(B322),IF(K322&gt;Y322,I322*'13_Mapa_Liq'!$C$18,0),0)</f>
        <v>0</v>
      </c>
      <c r="AA322" s="151" t="str">
        <f aca="false">IF(ISNUMBER(B322),B322*(1+1/'13_Mapa_Liq'!$B$18-'13_Mapa_Liq'!$B$6),"")</f>
        <v/>
      </c>
      <c r="AB322" s="151" t="n">
        <f aca="false">IF(ISNUMBER(B322),IF(L322&lt;AA322,J322*'13_Mapa_Liq'!$C$18,0),0)</f>
        <v>0</v>
      </c>
      <c r="AC322" s="151" t="str">
        <f aca="false">IF(ISNUMBER(B322),B322*(1-1/'13_Mapa_Liq'!$B$19+'13_Mapa_Liq'!$B$6),"")</f>
        <v/>
      </c>
      <c r="AD322" s="151" t="n">
        <f aca="false">IF(ISNUMBER(B322),IF(K322&gt;AC322,I322*'13_Mapa_Liq'!$C$19,0),0)</f>
        <v>0</v>
      </c>
      <c r="AE322" s="151" t="str">
        <f aca="false">IF(ISNUMBER(B322),B322*(1+1/'13_Mapa_Liq'!$B$19-'13_Mapa_Liq'!$B$6),"")</f>
        <v/>
      </c>
      <c r="AF322" s="151" t="n">
        <f aca="false">IF(ISNUMBER(B322),IF(L322&lt;AE322,J322*'13_Mapa_Liq'!$C$19,0),0)</f>
        <v>0</v>
      </c>
      <c r="AG322" s="151"/>
      <c r="AH322" s="151" t="n">
        <f aca="false">IF(ISNUMBER(B322),E322*F322*((K322&lt;=M322)*'13_Mapa_Liq'!$C$15+(K322&lt;=Q322)*'13_Mapa_Liq'!$C$16+(K322&lt;=U322)*'13_Mapa_Liq'!$C$17+(K322&lt;=Y322)*'13_Mapa_Liq'!$C$18+(K322&lt;=AC322)*'13_Mapa_Liq'!$C$19),0)</f>
        <v>0</v>
      </c>
      <c r="AI322" s="151" t="n">
        <f aca="false">IF(ISNUMBER(B322),E322*(1-F322)*((L322&gt;=O322)*'13_Mapa_Liq'!$C$15+(L322&gt;=S322)*'13_Mapa_Liq'!$C$16+(L322&gt;=W322)*'13_Mapa_Liq'!$C$17+(L322&gt;=AA322)*'13_Mapa_Liq'!$C$18+(L322&gt;=AE322)*'13_Mapa_Liq'!$C$19),0)</f>
        <v>0</v>
      </c>
    </row>
    <row r="323" customFormat="false" ht="15" hidden="false" customHeight="false" outlineLevel="0" collapsed="false">
      <c r="A323" s="151" t="str">
        <f aca="false">IF(ISNUMBER('12_Datos_5m'!F323),ROW()-4,"")</f>
        <v/>
      </c>
      <c r="B323" s="151" t="str">
        <f aca="false">IF(ISNUMBER('12_Datos_5m'!F323),'12_Datos_5m'!F323,"")</f>
        <v/>
      </c>
      <c r="C323" s="151" t="str">
        <f aca="false">IF(ISNUMBER('12_Datos_5m'!A323),'12_Datos_5m'!A323,"")</f>
        <v/>
      </c>
      <c r="D323" s="151" t="n">
        <f aca="false">IF(AND(ISNUMBER('12_Datos_5m'!I323),ISNUMBER('12_Datos_5m'!I322)),'12_Datos_5m'!I323-'12_Datos_5m'!I322,0)</f>
        <v>0</v>
      </c>
      <c r="E323" s="151" t="n">
        <f aca="false">MAX(0,D323)</f>
        <v>0</v>
      </c>
      <c r="F323" s="151" t="n">
        <f aca="false">IF(AND(ISNUMBER('12_Datos_5m'!G323),N('12_Datos_5m'!G323)&gt;0),'12_Datos_5m'!H323/'12_Datos_5m'!G323,0.5)</f>
        <v>0.5</v>
      </c>
      <c r="G323" s="151" t="n">
        <f aca="false">IF(ISNUMBER(C323),($C$2-C323)/3600000,0)</f>
        <v>0</v>
      </c>
      <c r="H323" s="151" t="n">
        <f aca="false">EXP(-G323/'13_Mapa_Liq'!$B$7)</f>
        <v>1</v>
      </c>
      <c r="I323" s="151" t="n">
        <f aca="false">E323*F323*H323</f>
        <v>0</v>
      </c>
      <c r="J323" s="151" t="n">
        <f aca="false">E323*(1-F323)*H323</f>
        <v>0</v>
      </c>
      <c r="K323" s="151" t="n">
        <f aca="false">IF(COUNT('12_Datos_5m'!E324:E$504)=0,1000000000000,MIN('12_Datos_5m'!E324:E$504))</f>
        <v>1000000000000</v>
      </c>
      <c r="L323" s="151" t="n">
        <f aca="false">IF(COUNT('12_Datos_5m'!D324:D$504)=0,0,MAX('12_Datos_5m'!D324:D$504))</f>
        <v>0</v>
      </c>
      <c r="M323" s="151" t="str">
        <f aca="false">IF(ISNUMBER(B323),B323*(1-1/'13_Mapa_Liq'!$B$15+'13_Mapa_Liq'!$B$6),"")</f>
        <v/>
      </c>
      <c r="N323" s="151" t="n">
        <f aca="false">IF(ISNUMBER(B323),IF(K323&gt;M323,I323*'13_Mapa_Liq'!$C$15,0),0)</f>
        <v>0</v>
      </c>
      <c r="O323" s="151" t="str">
        <f aca="false">IF(ISNUMBER(B323),B323*(1+1/'13_Mapa_Liq'!$B$15-'13_Mapa_Liq'!$B$6),"")</f>
        <v/>
      </c>
      <c r="P323" s="151" t="n">
        <f aca="false">IF(ISNUMBER(B323),IF(L323&lt;O323,J323*'13_Mapa_Liq'!$C$15,0),0)</f>
        <v>0</v>
      </c>
      <c r="Q323" s="151" t="str">
        <f aca="false">IF(ISNUMBER(B323),B323*(1-1/'13_Mapa_Liq'!$B$16+'13_Mapa_Liq'!$B$6),"")</f>
        <v/>
      </c>
      <c r="R323" s="151" t="n">
        <f aca="false">IF(ISNUMBER(B323),IF(K323&gt;Q323,I323*'13_Mapa_Liq'!$C$16,0),0)</f>
        <v>0</v>
      </c>
      <c r="S323" s="151" t="str">
        <f aca="false">IF(ISNUMBER(B323),B323*(1+1/'13_Mapa_Liq'!$B$16-'13_Mapa_Liq'!$B$6),"")</f>
        <v/>
      </c>
      <c r="T323" s="151" t="n">
        <f aca="false">IF(ISNUMBER(B323),IF(L323&lt;S323,J323*'13_Mapa_Liq'!$C$16,0),0)</f>
        <v>0</v>
      </c>
      <c r="U323" s="151" t="str">
        <f aca="false">IF(ISNUMBER(B323),B323*(1-1/'13_Mapa_Liq'!$B$17+'13_Mapa_Liq'!$B$6),"")</f>
        <v/>
      </c>
      <c r="V323" s="151" t="n">
        <f aca="false">IF(ISNUMBER(B323),IF(K323&gt;U323,I323*'13_Mapa_Liq'!$C$17,0),0)</f>
        <v>0</v>
      </c>
      <c r="W323" s="151" t="str">
        <f aca="false">IF(ISNUMBER(B323),B323*(1+1/'13_Mapa_Liq'!$B$17-'13_Mapa_Liq'!$B$6),"")</f>
        <v/>
      </c>
      <c r="X323" s="151" t="n">
        <f aca="false">IF(ISNUMBER(B323),IF(L323&lt;W323,J323*'13_Mapa_Liq'!$C$17,0),0)</f>
        <v>0</v>
      </c>
      <c r="Y323" s="151" t="str">
        <f aca="false">IF(ISNUMBER(B323),B323*(1-1/'13_Mapa_Liq'!$B$18+'13_Mapa_Liq'!$B$6),"")</f>
        <v/>
      </c>
      <c r="Z323" s="151" t="n">
        <f aca="false">IF(ISNUMBER(B323),IF(K323&gt;Y323,I323*'13_Mapa_Liq'!$C$18,0),0)</f>
        <v>0</v>
      </c>
      <c r="AA323" s="151" t="str">
        <f aca="false">IF(ISNUMBER(B323),B323*(1+1/'13_Mapa_Liq'!$B$18-'13_Mapa_Liq'!$B$6),"")</f>
        <v/>
      </c>
      <c r="AB323" s="151" t="n">
        <f aca="false">IF(ISNUMBER(B323),IF(L323&lt;AA323,J323*'13_Mapa_Liq'!$C$18,0),0)</f>
        <v>0</v>
      </c>
      <c r="AC323" s="151" t="str">
        <f aca="false">IF(ISNUMBER(B323),B323*(1-1/'13_Mapa_Liq'!$B$19+'13_Mapa_Liq'!$B$6),"")</f>
        <v/>
      </c>
      <c r="AD323" s="151" t="n">
        <f aca="false">IF(ISNUMBER(B323),IF(K323&gt;AC323,I323*'13_Mapa_Liq'!$C$19,0),0)</f>
        <v>0</v>
      </c>
      <c r="AE323" s="151" t="str">
        <f aca="false">IF(ISNUMBER(B323),B323*(1+1/'13_Mapa_Liq'!$B$19-'13_Mapa_Liq'!$B$6),"")</f>
        <v/>
      </c>
      <c r="AF323" s="151" t="n">
        <f aca="false">IF(ISNUMBER(B323),IF(L323&lt;AE323,J323*'13_Mapa_Liq'!$C$19,0),0)</f>
        <v>0</v>
      </c>
      <c r="AG323" s="151"/>
      <c r="AH323" s="151" t="n">
        <f aca="false">IF(ISNUMBER(B323),E323*F323*((K323&lt;=M323)*'13_Mapa_Liq'!$C$15+(K323&lt;=Q323)*'13_Mapa_Liq'!$C$16+(K323&lt;=U323)*'13_Mapa_Liq'!$C$17+(K323&lt;=Y323)*'13_Mapa_Liq'!$C$18+(K323&lt;=AC323)*'13_Mapa_Liq'!$C$19),0)</f>
        <v>0</v>
      </c>
      <c r="AI323" s="151" t="n">
        <f aca="false">IF(ISNUMBER(B323),E323*(1-F323)*((L323&gt;=O323)*'13_Mapa_Liq'!$C$15+(L323&gt;=S323)*'13_Mapa_Liq'!$C$16+(L323&gt;=W323)*'13_Mapa_Liq'!$C$17+(L323&gt;=AA323)*'13_Mapa_Liq'!$C$18+(L323&gt;=AE323)*'13_Mapa_Liq'!$C$19),0)</f>
        <v>0</v>
      </c>
    </row>
    <row r="324" customFormat="false" ht="15" hidden="false" customHeight="false" outlineLevel="0" collapsed="false">
      <c r="A324" s="151" t="str">
        <f aca="false">IF(ISNUMBER('12_Datos_5m'!F324),ROW()-4,"")</f>
        <v/>
      </c>
      <c r="B324" s="151" t="str">
        <f aca="false">IF(ISNUMBER('12_Datos_5m'!F324),'12_Datos_5m'!F324,"")</f>
        <v/>
      </c>
      <c r="C324" s="151" t="str">
        <f aca="false">IF(ISNUMBER('12_Datos_5m'!A324),'12_Datos_5m'!A324,"")</f>
        <v/>
      </c>
      <c r="D324" s="151" t="n">
        <f aca="false">IF(AND(ISNUMBER('12_Datos_5m'!I324),ISNUMBER('12_Datos_5m'!I323)),'12_Datos_5m'!I324-'12_Datos_5m'!I323,0)</f>
        <v>0</v>
      </c>
      <c r="E324" s="151" t="n">
        <f aca="false">MAX(0,D324)</f>
        <v>0</v>
      </c>
      <c r="F324" s="151" t="n">
        <f aca="false">IF(AND(ISNUMBER('12_Datos_5m'!G324),N('12_Datos_5m'!G324)&gt;0),'12_Datos_5m'!H324/'12_Datos_5m'!G324,0.5)</f>
        <v>0.5</v>
      </c>
      <c r="G324" s="151" t="n">
        <f aca="false">IF(ISNUMBER(C324),($C$2-C324)/3600000,0)</f>
        <v>0</v>
      </c>
      <c r="H324" s="151" t="n">
        <f aca="false">EXP(-G324/'13_Mapa_Liq'!$B$7)</f>
        <v>1</v>
      </c>
      <c r="I324" s="151" t="n">
        <f aca="false">E324*F324*H324</f>
        <v>0</v>
      </c>
      <c r="J324" s="151" t="n">
        <f aca="false">E324*(1-F324)*H324</f>
        <v>0</v>
      </c>
      <c r="K324" s="151" t="n">
        <f aca="false">IF(COUNT('12_Datos_5m'!E325:E$504)=0,1000000000000,MIN('12_Datos_5m'!E325:E$504))</f>
        <v>1000000000000</v>
      </c>
      <c r="L324" s="151" t="n">
        <f aca="false">IF(COUNT('12_Datos_5m'!D325:D$504)=0,0,MAX('12_Datos_5m'!D325:D$504))</f>
        <v>0</v>
      </c>
      <c r="M324" s="151" t="str">
        <f aca="false">IF(ISNUMBER(B324),B324*(1-1/'13_Mapa_Liq'!$B$15+'13_Mapa_Liq'!$B$6),"")</f>
        <v/>
      </c>
      <c r="N324" s="151" t="n">
        <f aca="false">IF(ISNUMBER(B324),IF(K324&gt;M324,I324*'13_Mapa_Liq'!$C$15,0),0)</f>
        <v>0</v>
      </c>
      <c r="O324" s="151" t="str">
        <f aca="false">IF(ISNUMBER(B324),B324*(1+1/'13_Mapa_Liq'!$B$15-'13_Mapa_Liq'!$B$6),"")</f>
        <v/>
      </c>
      <c r="P324" s="151" t="n">
        <f aca="false">IF(ISNUMBER(B324),IF(L324&lt;O324,J324*'13_Mapa_Liq'!$C$15,0),0)</f>
        <v>0</v>
      </c>
      <c r="Q324" s="151" t="str">
        <f aca="false">IF(ISNUMBER(B324),B324*(1-1/'13_Mapa_Liq'!$B$16+'13_Mapa_Liq'!$B$6),"")</f>
        <v/>
      </c>
      <c r="R324" s="151" t="n">
        <f aca="false">IF(ISNUMBER(B324),IF(K324&gt;Q324,I324*'13_Mapa_Liq'!$C$16,0),0)</f>
        <v>0</v>
      </c>
      <c r="S324" s="151" t="str">
        <f aca="false">IF(ISNUMBER(B324),B324*(1+1/'13_Mapa_Liq'!$B$16-'13_Mapa_Liq'!$B$6),"")</f>
        <v/>
      </c>
      <c r="T324" s="151" t="n">
        <f aca="false">IF(ISNUMBER(B324),IF(L324&lt;S324,J324*'13_Mapa_Liq'!$C$16,0),0)</f>
        <v>0</v>
      </c>
      <c r="U324" s="151" t="str">
        <f aca="false">IF(ISNUMBER(B324),B324*(1-1/'13_Mapa_Liq'!$B$17+'13_Mapa_Liq'!$B$6),"")</f>
        <v/>
      </c>
      <c r="V324" s="151" t="n">
        <f aca="false">IF(ISNUMBER(B324),IF(K324&gt;U324,I324*'13_Mapa_Liq'!$C$17,0),0)</f>
        <v>0</v>
      </c>
      <c r="W324" s="151" t="str">
        <f aca="false">IF(ISNUMBER(B324),B324*(1+1/'13_Mapa_Liq'!$B$17-'13_Mapa_Liq'!$B$6),"")</f>
        <v/>
      </c>
      <c r="X324" s="151" t="n">
        <f aca="false">IF(ISNUMBER(B324),IF(L324&lt;W324,J324*'13_Mapa_Liq'!$C$17,0),0)</f>
        <v>0</v>
      </c>
      <c r="Y324" s="151" t="str">
        <f aca="false">IF(ISNUMBER(B324),B324*(1-1/'13_Mapa_Liq'!$B$18+'13_Mapa_Liq'!$B$6),"")</f>
        <v/>
      </c>
      <c r="Z324" s="151" t="n">
        <f aca="false">IF(ISNUMBER(B324),IF(K324&gt;Y324,I324*'13_Mapa_Liq'!$C$18,0),0)</f>
        <v>0</v>
      </c>
      <c r="AA324" s="151" t="str">
        <f aca="false">IF(ISNUMBER(B324),B324*(1+1/'13_Mapa_Liq'!$B$18-'13_Mapa_Liq'!$B$6),"")</f>
        <v/>
      </c>
      <c r="AB324" s="151" t="n">
        <f aca="false">IF(ISNUMBER(B324),IF(L324&lt;AA324,J324*'13_Mapa_Liq'!$C$18,0),0)</f>
        <v>0</v>
      </c>
      <c r="AC324" s="151" t="str">
        <f aca="false">IF(ISNUMBER(B324),B324*(1-1/'13_Mapa_Liq'!$B$19+'13_Mapa_Liq'!$B$6),"")</f>
        <v/>
      </c>
      <c r="AD324" s="151" t="n">
        <f aca="false">IF(ISNUMBER(B324),IF(K324&gt;AC324,I324*'13_Mapa_Liq'!$C$19,0),0)</f>
        <v>0</v>
      </c>
      <c r="AE324" s="151" t="str">
        <f aca="false">IF(ISNUMBER(B324),B324*(1+1/'13_Mapa_Liq'!$B$19-'13_Mapa_Liq'!$B$6),"")</f>
        <v/>
      </c>
      <c r="AF324" s="151" t="n">
        <f aca="false">IF(ISNUMBER(B324),IF(L324&lt;AE324,J324*'13_Mapa_Liq'!$C$19,0),0)</f>
        <v>0</v>
      </c>
      <c r="AG324" s="151"/>
      <c r="AH324" s="151" t="n">
        <f aca="false">IF(ISNUMBER(B324),E324*F324*((K324&lt;=M324)*'13_Mapa_Liq'!$C$15+(K324&lt;=Q324)*'13_Mapa_Liq'!$C$16+(K324&lt;=U324)*'13_Mapa_Liq'!$C$17+(K324&lt;=Y324)*'13_Mapa_Liq'!$C$18+(K324&lt;=AC324)*'13_Mapa_Liq'!$C$19),0)</f>
        <v>0</v>
      </c>
      <c r="AI324" s="151" t="n">
        <f aca="false">IF(ISNUMBER(B324),E324*(1-F324)*((L324&gt;=O324)*'13_Mapa_Liq'!$C$15+(L324&gt;=S324)*'13_Mapa_Liq'!$C$16+(L324&gt;=W324)*'13_Mapa_Liq'!$C$17+(L324&gt;=AA324)*'13_Mapa_Liq'!$C$18+(L324&gt;=AE324)*'13_Mapa_Liq'!$C$19),0)</f>
        <v>0</v>
      </c>
    </row>
    <row r="325" customFormat="false" ht="15" hidden="false" customHeight="false" outlineLevel="0" collapsed="false">
      <c r="A325" s="151" t="str">
        <f aca="false">IF(ISNUMBER('12_Datos_5m'!F325),ROW()-4,"")</f>
        <v/>
      </c>
      <c r="B325" s="151" t="str">
        <f aca="false">IF(ISNUMBER('12_Datos_5m'!F325),'12_Datos_5m'!F325,"")</f>
        <v/>
      </c>
      <c r="C325" s="151" t="str">
        <f aca="false">IF(ISNUMBER('12_Datos_5m'!A325),'12_Datos_5m'!A325,"")</f>
        <v/>
      </c>
      <c r="D325" s="151" t="n">
        <f aca="false">IF(AND(ISNUMBER('12_Datos_5m'!I325),ISNUMBER('12_Datos_5m'!I324)),'12_Datos_5m'!I325-'12_Datos_5m'!I324,0)</f>
        <v>0</v>
      </c>
      <c r="E325" s="151" t="n">
        <f aca="false">MAX(0,D325)</f>
        <v>0</v>
      </c>
      <c r="F325" s="151" t="n">
        <f aca="false">IF(AND(ISNUMBER('12_Datos_5m'!G325),N('12_Datos_5m'!G325)&gt;0),'12_Datos_5m'!H325/'12_Datos_5m'!G325,0.5)</f>
        <v>0.5</v>
      </c>
      <c r="G325" s="151" t="n">
        <f aca="false">IF(ISNUMBER(C325),($C$2-C325)/3600000,0)</f>
        <v>0</v>
      </c>
      <c r="H325" s="151" t="n">
        <f aca="false">EXP(-G325/'13_Mapa_Liq'!$B$7)</f>
        <v>1</v>
      </c>
      <c r="I325" s="151" t="n">
        <f aca="false">E325*F325*H325</f>
        <v>0</v>
      </c>
      <c r="J325" s="151" t="n">
        <f aca="false">E325*(1-F325)*H325</f>
        <v>0</v>
      </c>
      <c r="K325" s="151" t="n">
        <f aca="false">IF(COUNT('12_Datos_5m'!E326:E$504)=0,1000000000000,MIN('12_Datos_5m'!E326:E$504))</f>
        <v>1000000000000</v>
      </c>
      <c r="L325" s="151" t="n">
        <f aca="false">IF(COUNT('12_Datos_5m'!D326:D$504)=0,0,MAX('12_Datos_5m'!D326:D$504))</f>
        <v>0</v>
      </c>
      <c r="M325" s="151" t="str">
        <f aca="false">IF(ISNUMBER(B325),B325*(1-1/'13_Mapa_Liq'!$B$15+'13_Mapa_Liq'!$B$6),"")</f>
        <v/>
      </c>
      <c r="N325" s="151" t="n">
        <f aca="false">IF(ISNUMBER(B325),IF(K325&gt;M325,I325*'13_Mapa_Liq'!$C$15,0),0)</f>
        <v>0</v>
      </c>
      <c r="O325" s="151" t="str">
        <f aca="false">IF(ISNUMBER(B325),B325*(1+1/'13_Mapa_Liq'!$B$15-'13_Mapa_Liq'!$B$6),"")</f>
        <v/>
      </c>
      <c r="P325" s="151" t="n">
        <f aca="false">IF(ISNUMBER(B325),IF(L325&lt;O325,J325*'13_Mapa_Liq'!$C$15,0),0)</f>
        <v>0</v>
      </c>
      <c r="Q325" s="151" t="str">
        <f aca="false">IF(ISNUMBER(B325),B325*(1-1/'13_Mapa_Liq'!$B$16+'13_Mapa_Liq'!$B$6),"")</f>
        <v/>
      </c>
      <c r="R325" s="151" t="n">
        <f aca="false">IF(ISNUMBER(B325),IF(K325&gt;Q325,I325*'13_Mapa_Liq'!$C$16,0),0)</f>
        <v>0</v>
      </c>
      <c r="S325" s="151" t="str">
        <f aca="false">IF(ISNUMBER(B325),B325*(1+1/'13_Mapa_Liq'!$B$16-'13_Mapa_Liq'!$B$6),"")</f>
        <v/>
      </c>
      <c r="T325" s="151" t="n">
        <f aca="false">IF(ISNUMBER(B325),IF(L325&lt;S325,J325*'13_Mapa_Liq'!$C$16,0),0)</f>
        <v>0</v>
      </c>
      <c r="U325" s="151" t="str">
        <f aca="false">IF(ISNUMBER(B325),B325*(1-1/'13_Mapa_Liq'!$B$17+'13_Mapa_Liq'!$B$6),"")</f>
        <v/>
      </c>
      <c r="V325" s="151" t="n">
        <f aca="false">IF(ISNUMBER(B325),IF(K325&gt;U325,I325*'13_Mapa_Liq'!$C$17,0),0)</f>
        <v>0</v>
      </c>
      <c r="W325" s="151" t="str">
        <f aca="false">IF(ISNUMBER(B325),B325*(1+1/'13_Mapa_Liq'!$B$17-'13_Mapa_Liq'!$B$6),"")</f>
        <v/>
      </c>
      <c r="X325" s="151" t="n">
        <f aca="false">IF(ISNUMBER(B325),IF(L325&lt;W325,J325*'13_Mapa_Liq'!$C$17,0),0)</f>
        <v>0</v>
      </c>
      <c r="Y325" s="151" t="str">
        <f aca="false">IF(ISNUMBER(B325),B325*(1-1/'13_Mapa_Liq'!$B$18+'13_Mapa_Liq'!$B$6),"")</f>
        <v/>
      </c>
      <c r="Z325" s="151" t="n">
        <f aca="false">IF(ISNUMBER(B325),IF(K325&gt;Y325,I325*'13_Mapa_Liq'!$C$18,0),0)</f>
        <v>0</v>
      </c>
      <c r="AA325" s="151" t="str">
        <f aca="false">IF(ISNUMBER(B325),B325*(1+1/'13_Mapa_Liq'!$B$18-'13_Mapa_Liq'!$B$6),"")</f>
        <v/>
      </c>
      <c r="AB325" s="151" t="n">
        <f aca="false">IF(ISNUMBER(B325),IF(L325&lt;AA325,J325*'13_Mapa_Liq'!$C$18,0),0)</f>
        <v>0</v>
      </c>
      <c r="AC325" s="151" t="str">
        <f aca="false">IF(ISNUMBER(B325),B325*(1-1/'13_Mapa_Liq'!$B$19+'13_Mapa_Liq'!$B$6),"")</f>
        <v/>
      </c>
      <c r="AD325" s="151" t="n">
        <f aca="false">IF(ISNUMBER(B325),IF(K325&gt;AC325,I325*'13_Mapa_Liq'!$C$19,0),0)</f>
        <v>0</v>
      </c>
      <c r="AE325" s="151" t="str">
        <f aca="false">IF(ISNUMBER(B325),B325*(1+1/'13_Mapa_Liq'!$B$19-'13_Mapa_Liq'!$B$6),"")</f>
        <v/>
      </c>
      <c r="AF325" s="151" t="n">
        <f aca="false">IF(ISNUMBER(B325),IF(L325&lt;AE325,J325*'13_Mapa_Liq'!$C$19,0),0)</f>
        <v>0</v>
      </c>
      <c r="AG325" s="151"/>
      <c r="AH325" s="151" t="n">
        <f aca="false">IF(ISNUMBER(B325),E325*F325*((K325&lt;=M325)*'13_Mapa_Liq'!$C$15+(K325&lt;=Q325)*'13_Mapa_Liq'!$C$16+(K325&lt;=U325)*'13_Mapa_Liq'!$C$17+(K325&lt;=Y325)*'13_Mapa_Liq'!$C$18+(K325&lt;=AC325)*'13_Mapa_Liq'!$C$19),0)</f>
        <v>0</v>
      </c>
      <c r="AI325" s="151" t="n">
        <f aca="false">IF(ISNUMBER(B325),E325*(1-F325)*((L325&gt;=O325)*'13_Mapa_Liq'!$C$15+(L325&gt;=S325)*'13_Mapa_Liq'!$C$16+(L325&gt;=W325)*'13_Mapa_Liq'!$C$17+(L325&gt;=AA325)*'13_Mapa_Liq'!$C$18+(L325&gt;=AE325)*'13_Mapa_Liq'!$C$19),0)</f>
        <v>0</v>
      </c>
    </row>
    <row r="326" customFormat="false" ht="15" hidden="false" customHeight="false" outlineLevel="0" collapsed="false">
      <c r="A326" s="151" t="str">
        <f aca="false">IF(ISNUMBER('12_Datos_5m'!F326),ROW()-4,"")</f>
        <v/>
      </c>
      <c r="B326" s="151" t="str">
        <f aca="false">IF(ISNUMBER('12_Datos_5m'!F326),'12_Datos_5m'!F326,"")</f>
        <v/>
      </c>
      <c r="C326" s="151" t="str">
        <f aca="false">IF(ISNUMBER('12_Datos_5m'!A326),'12_Datos_5m'!A326,"")</f>
        <v/>
      </c>
      <c r="D326" s="151" t="n">
        <f aca="false">IF(AND(ISNUMBER('12_Datos_5m'!I326),ISNUMBER('12_Datos_5m'!I325)),'12_Datos_5m'!I326-'12_Datos_5m'!I325,0)</f>
        <v>0</v>
      </c>
      <c r="E326" s="151" t="n">
        <f aca="false">MAX(0,D326)</f>
        <v>0</v>
      </c>
      <c r="F326" s="151" t="n">
        <f aca="false">IF(AND(ISNUMBER('12_Datos_5m'!G326),N('12_Datos_5m'!G326)&gt;0),'12_Datos_5m'!H326/'12_Datos_5m'!G326,0.5)</f>
        <v>0.5</v>
      </c>
      <c r="G326" s="151" t="n">
        <f aca="false">IF(ISNUMBER(C326),($C$2-C326)/3600000,0)</f>
        <v>0</v>
      </c>
      <c r="H326" s="151" t="n">
        <f aca="false">EXP(-G326/'13_Mapa_Liq'!$B$7)</f>
        <v>1</v>
      </c>
      <c r="I326" s="151" t="n">
        <f aca="false">E326*F326*H326</f>
        <v>0</v>
      </c>
      <c r="J326" s="151" t="n">
        <f aca="false">E326*(1-F326)*H326</f>
        <v>0</v>
      </c>
      <c r="K326" s="151" t="n">
        <f aca="false">IF(COUNT('12_Datos_5m'!E327:E$504)=0,1000000000000,MIN('12_Datos_5m'!E327:E$504))</f>
        <v>1000000000000</v>
      </c>
      <c r="L326" s="151" t="n">
        <f aca="false">IF(COUNT('12_Datos_5m'!D327:D$504)=0,0,MAX('12_Datos_5m'!D327:D$504))</f>
        <v>0</v>
      </c>
      <c r="M326" s="151" t="str">
        <f aca="false">IF(ISNUMBER(B326),B326*(1-1/'13_Mapa_Liq'!$B$15+'13_Mapa_Liq'!$B$6),"")</f>
        <v/>
      </c>
      <c r="N326" s="151" t="n">
        <f aca="false">IF(ISNUMBER(B326),IF(K326&gt;M326,I326*'13_Mapa_Liq'!$C$15,0),0)</f>
        <v>0</v>
      </c>
      <c r="O326" s="151" t="str">
        <f aca="false">IF(ISNUMBER(B326),B326*(1+1/'13_Mapa_Liq'!$B$15-'13_Mapa_Liq'!$B$6),"")</f>
        <v/>
      </c>
      <c r="P326" s="151" t="n">
        <f aca="false">IF(ISNUMBER(B326),IF(L326&lt;O326,J326*'13_Mapa_Liq'!$C$15,0),0)</f>
        <v>0</v>
      </c>
      <c r="Q326" s="151" t="str">
        <f aca="false">IF(ISNUMBER(B326),B326*(1-1/'13_Mapa_Liq'!$B$16+'13_Mapa_Liq'!$B$6),"")</f>
        <v/>
      </c>
      <c r="R326" s="151" t="n">
        <f aca="false">IF(ISNUMBER(B326),IF(K326&gt;Q326,I326*'13_Mapa_Liq'!$C$16,0),0)</f>
        <v>0</v>
      </c>
      <c r="S326" s="151" t="str">
        <f aca="false">IF(ISNUMBER(B326),B326*(1+1/'13_Mapa_Liq'!$B$16-'13_Mapa_Liq'!$B$6),"")</f>
        <v/>
      </c>
      <c r="T326" s="151" t="n">
        <f aca="false">IF(ISNUMBER(B326),IF(L326&lt;S326,J326*'13_Mapa_Liq'!$C$16,0),0)</f>
        <v>0</v>
      </c>
      <c r="U326" s="151" t="str">
        <f aca="false">IF(ISNUMBER(B326),B326*(1-1/'13_Mapa_Liq'!$B$17+'13_Mapa_Liq'!$B$6),"")</f>
        <v/>
      </c>
      <c r="V326" s="151" t="n">
        <f aca="false">IF(ISNUMBER(B326),IF(K326&gt;U326,I326*'13_Mapa_Liq'!$C$17,0),0)</f>
        <v>0</v>
      </c>
      <c r="W326" s="151" t="str">
        <f aca="false">IF(ISNUMBER(B326),B326*(1+1/'13_Mapa_Liq'!$B$17-'13_Mapa_Liq'!$B$6),"")</f>
        <v/>
      </c>
      <c r="X326" s="151" t="n">
        <f aca="false">IF(ISNUMBER(B326),IF(L326&lt;W326,J326*'13_Mapa_Liq'!$C$17,0),0)</f>
        <v>0</v>
      </c>
      <c r="Y326" s="151" t="str">
        <f aca="false">IF(ISNUMBER(B326),B326*(1-1/'13_Mapa_Liq'!$B$18+'13_Mapa_Liq'!$B$6),"")</f>
        <v/>
      </c>
      <c r="Z326" s="151" t="n">
        <f aca="false">IF(ISNUMBER(B326),IF(K326&gt;Y326,I326*'13_Mapa_Liq'!$C$18,0),0)</f>
        <v>0</v>
      </c>
      <c r="AA326" s="151" t="str">
        <f aca="false">IF(ISNUMBER(B326),B326*(1+1/'13_Mapa_Liq'!$B$18-'13_Mapa_Liq'!$B$6),"")</f>
        <v/>
      </c>
      <c r="AB326" s="151" t="n">
        <f aca="false">IF(ISNUMBER(B326),IF(L326&lt;AA326,J326*'13_Mapa_Liq'!$C$18,0),0)</f>
        <v>0</v>
      </c>
      <c r="AC326" s="151" t="str">
        <f aca="false">IF(ISNUMBER(B326),B326*(1-1/'13_Mapa_Liq'!$B$19+'13_Mapa_Liq'!$B$6),"")</f>
        <v/>
      </c>
      <c r="AD326" s="151" t="n">
        <f aca="false">IF(ISNUMBER(B326),IF(K326&gt;AC326,I326*'13_Mapa_Liq'!$C$19,0),0)</f>
        <v>0</v>
      </c>
      <c r="AE326" s="151" t="str">
        <f aca="false">IF(ISNUMBER(B326),B326*(1+1/'13_Mapa_Liq'!$B$19-'13_Mapa_Liq'!$B$6),"")</f>
        <v/>
      </c>
      <c r="AF326" s="151" t="n">
        <f aca="false">IF(ISNUMBER(B326),IF(L326&lt;AE326,J326*'13_Mapa_Liq'!$C$19,0),0)</f>
        <v>0</v>
      </c>
      <c r="AG326" s="151"/>
      <c r="AH326" s="151" t="n">
        <f aca="false">IF(ISNUMBER(B326),E326*F326*((K326&lt;=M326)*'13_Mapa_Liq'!$C$15+(K326&lt;=Q326)*'13_Mapa_Liq'!$C$16+(K326&lt;=U326)*'13_Mapa_Liq'!$C$17+(K326&lt;=Y326)*'13_Mapa_Liq'!$C$18+(K326&lt;=AC326)*'13_Mapa_Liq'!$C$19),0)</f>
        <v>0</v>
      </c>
      <c r="AI326" s="151" t="n">
        <f aca="false">IF(ISNUMBER(B326),E326*(1-F326)*((L326&gt;=O326)*'13_Mapa_Liq'!$C$15+(L326&gt;=S326)*'13_Mapa_Liq'!$C$16+(L326&gt;=W326)*'13_Mapa_Liq'!$C$17+(L326&gt;=AA326)*'13_Mapa_Liq'!$C$18+(L326&gt;=AE326)*'13_Mapa_Liq'!$C$19),0)</f>
        <v>0</v>
      </c>
    </row>
    <row r="327" customFormat="false" ht="15" hidden="false" customHeight="false" outlineLevel="0" collapsed="false">
      <c r="A327" s="151" t="str">
        <f aca="false">IF(ISNUMBER('12_Datos_5m'!F327),ROW()-4,"")</f>
        <v/>
      </c>
      <c r="B327" s="151" t="str">
        <f aca="false">IF(ISNUMBER('12_Datos_5m'!F327),'12_Datos_5m'!F327,"")</f>
        <v/>
      </c>
      <c r="C327" s="151" t="str">
        <f aca="false">IF(ISNUMBER('12_Datos_5m'!A327),'12_Datos_5m'!A327,"")</f>
        <v/>
      </c>
      <c r="D327" s="151" t="n">
        <f aca="false">IF(AND(ISNUMBER('12_Datos_5m'!I327),ISNUMBER('12_Datos_5m'!I326)),'12_Datos_5m'!I327-'12_Datos_5m'!I326,0)</f>
        <v>0</v>
      </c>
      <c r="E327" s="151" t="n">
        <f aca="false">MAX(0,D327)</f>
        <v>0</v>
      </c>
      <c r="F327" s="151" t="n">
        <f aca="false">IF(AND(ISNUMBER('12_Datos_5m'!G327),N('12_Datos_5m'!G327)&gt;0),'12_Datos_5m'!H327/'12_Datos_5m'!G327,0.5)</f>
        <v>0.5</v>
      </c>
      <c r="G327" s="151" t="n">
        <f aca="false">IF(ISNUMBER(C327),($C$2-C327)/3600000,0)</f>
        <v>0</v>
      </c>
      <c r="H327" s="151" t="n">
        <f aca="false">EXP(-G327/'13_Mapa_Liq'!$B$7)</f>
        <v>1</v>
      </c>
      <c r="I327" s="151" t="n">
        <f aca="false">E327*F327*H327</f>
        <v>0</v>
      </c>
      <c r="J327" s="151" t="n">
        <f aca="false">E327*(1-F327)*H327</f>
        <v>0</v>
      </c>
      <c r="K327" s="151" t="n">
        <f aca="false">IF(COUNT('12_Datos_5m'!E328:E$504)=0,1000000000000,MIN('12_Datos_5m'!E328:E$504))</f>
        <v>1000000000000</v>
      </c>
      <c r="L327" s="151" t="n">
        <f aca="false">IF(COUNT('12_Datos_5m'!D328:D$504)=0,0,MAX('12_Datos_5m'!D328:D$504))</f>
        <v>0</v>
      </c>
      <c r="M327" s="151" t="str">
        <f aca="false">IF(ISNUMBER(B327),B327*(1-1/'13_Mapa_Liq'!$B$15+'13_Mapa_Liq'!$B$6),"")</f>
        <v/>
      </c>
      <c r="N327" s="151" t="n">
        <f aca="false">IF(ISNUMBER(B327),IF(K327&gt;M327,I327*'13_Mapa_Liq'!$C$15,0),0)</f>
        <v>0</v>
      </c>
      <c r="O327" s="151" t="str">
        <f aca="false">IF(ISNUMBER(B327),B327*(1+1/'13_Mapa_Liq'!$B$15-'13_Mapa_Liq'!$B$6),"")</f>
        <v/>
      </c>
      <c r="P327" s="151" t="n">
        <f aca="false">IF(ISNUMBER(B327),IF(L327&lt;O327,J327*'13_Mapa_Liq'!$C$15,0),0)</f>
        <v>0</v>
      </c>
      <c r="Q327" s="151" t="str">
        <f aca="false">IF(ISNUMBER(B327),B327*(1-1/'13_Mapa_Liq'!$B$16+'13_Mapa_Liq'!$B$6),"")</f>
        <v/>
      </c>
      <c r="R327" s="151" t="n">
        <f aca="false">IF(ISNUMBER(B327),IF(K327&gt;Q327,I327*'13_Mapa_Liq'!$C$16,0),0)</f>
        <v>0</v>
      </c>
      <c r="S327" s="151" t="str">
        <f aca="false">IF(ISNUMBER(B327),B327*(1+1/'13_Mapa_Liq'!$B$16-'13_Mapa_Liq'!$B$6),"")</f>
        <v/>
      </c>
      <c r="T327" s="151" t="n">
        <f aca="false">IF(ISNUMBER(B327),IF(L327&lt;S327,J327*'13_Mapa_Liq'!$C$16,0),0)</f>
        <v>0</v>
      </c>
      <c r="U327" s="151" t="str">
        <f aca="false">IF(ISNUMBER(B327),B327*(1-1/'13_Mapa_Liq'!$B$17+'13_Mapa_Liq'!$B$6),"")</f>
        <v/>
      </c>
      <c r="V327" s="151" t="n">
        <f aca="false">IF(ISNUMBER(B327),IF(K327&gt;U327,I327*'13_Mapa_Liq'!$C$17,0),0)</f>
        <v>0</v>
      </c>
      <c r="W327" s="151" t="str">
        <f aca="false">IF(ISNUMBER(B327),B327*(1+1/'13_Mapa_Liq'!$B$17-'13_Mapa_Liq'!$B$6),"")</f>
        <v/>
      </c>
      <c r="X327" s="151" t="n">
        <f aca="false">IF(ISNUMBER(B327),IF(L327&lt;W327,J327*'13_Mapa_Liq'!$C$17,0),0)</f>
        <v>0</v>
      </c>
      <c r="Y327" s="151" t="str">
        <f aca="false">IF(ISNUMBER(B327),B327*(1-1/'13_Mapa_Liq'!$B$18+'13_Mapa_Liq'!$B$6),"")</f>
        <v/>
      </c>
      <c r="Z327" s="151" t="n">
        <f aca="false">IF(ISNUMBER(B327),IF(K327&gt;Y327,I327*'13_Mapa_Liq'!$C$18,0),0)</f>
        <v>0</v>
      </c>
      <c r="AA327" s="151" t="str">
        <f aca="false">IF(ISNUMBER(B327),B327*(1+1/'13_Mapa_Liq'!$B$18-'13_Mapa_Liq'!$B$6),"")</f>
        <v/>
      </c>
      <c r="AB327" s="151" t="n">
        <f aca="false">IF(ISNUMBER(B327),IF(L327&lt;AA327,J327*'13_Mapa_Liq'!$C$18,0),0)</f>
        <v>0</v>
      </c>
      <c r="AC327" s="151" t="str">
        <f aca="false">IF(ISNUMBER(B327),B327*(1-1/'13_Mapa_Liq'!$B$19+'13_Mapa_Liq'!$B$6),"")</f>
        <v/>
      </c>
      <c r="AD327" s="151" t="n">
        <f aca="false">IF(ISNUMBER(B327),IF(K327&gt;AC327,I327*'13_Mapa_Liq'!$C$19,0),0)</f>
        <v>0</v>
      </c>
      <c r="AE327" s="151" t="str">
        <f aca="false">IF(ISNUMBER(B327),B327*(1+1/'13_Mapa_Liq'!$B$19-'13_Mapa_Liq'!$B$6),"")</f>
        <v/>
      </c>
      <c r="AF327" s="151" t="n">
        <f aca="false">IF(ISNUMBER(B327),IF(L327&lt;AE327,J327*'13_Mapa_Liq'!$C$19,0),0)</f>
        <v>0</v>
      </c>
      <c r="AG327" s="151"/>
      <c r="AH327" s="151" t="n">
        <f aca="false">IF(ISNUMBER(B327),E327*F327*((K327&lt;=M327)*'13_Mapa_Liq'!$C$15+(K327&lt;=Q327)*'13_Mapa_Liq'!$C$16+(K327&lt;=U327)*'13_Mapa_Liq'!$C$17+(K327&lt;=Y327)*'13_Mapa_Liq'!$C$18+(K327&lt;=AC327)*'13_Mapa_Liq'!$C$19),0)</f>
        <v>0</v>
      </c>
      <c r="AI327" s="151" t="n">
        <f aca="false">IF(ISNUMBER(B327),E327*(1-F327)*((L327&gt;=O327)*'13_Mapa_Liq'!$C$15+(L327&gt;=S327)*'13_Mapa_Liq'!$C$16+(L327&gt;=W327)*'13_Mapa_Liq'!$C$17+(L327&gt;=AA327)*'13_Mapa_Liq'!$C$18+(L327&gt;=AE327)*'13_Mapa_Liq'!$C$19),0)</f>
        <v>0</v>
      </c>
    </row>
    <row r="328" customFormat="false" ht="15" hidden="false" customHeight="false" outlineLevel="0" collapsed="false">
      <c r="A328" s="151" t="str">
        <f aca="false">IF(ISNUMBER('12_Datos_5m'!F328),ROW()-4,"")</f>
        <v/>
      </c>
      <c r="B328" s="151" t="str">
        <f aca="false">IF(ISNUMBER('12_Datos_5m'!F328),'12_Datos_5m'!F328,"")</f>
        <v/>
      </c>
      <c r="C328" s="151" t="str">
        <f aca="false">IF(ISNUMBER('12_Datos_5m'!A328),'12_Datos_5m'!A328,"")</f>
        <v/>
      </c>
      <c r="D328" s="151" t="n">
        <f aca="false">IF(AND(ISNUMBER('12_Datos_5m'!I328),ISNUMBER('12_Datos_5m'!I327)),'12_Datos_5m'!I328-'12_Datos_5m'!I327,0)</f>
        <v>0</v>
      </c>
      <c r="E328" s="151" t="n">
        <f aca="false">MAX(0,D328)</f>
        <v>0</v>
      </c>
      <c r="F328" s="151" t="n">
        <f aca="false">IF(AND(ISNUMBER('12_Datos_5m'!G328),N('12_Datos_5m'!G328)&gt;0),'12_Datos_5m'!H328/'12_Datos_5m'!G328,0.5)</f>
        <v>0.5</v>
      </c>
      <c r="G328" s="151" t="n">
        <f aca="false">IF(ISNUMBER(C328),($C$2-C328)/3600000,0)</f>
        <v>0</v>
      </c>
      <c r="H328" s="151" t="n">
        <f aca="false">EXP(-G328/'13_Mapa_Liq'!$B$7)</f>
        <v>1</v>
      </c>
      <c r="I328" s="151" t="n">
        <f aca="false">E328*F328*H328</f>
        <v>0</v>
      </c>
      <c r="J328" s="151" t="n">
        <f aca="false">E328*(1-F328)*H328</f>
        <v>0</v>
      </c>
      <c r="K328" s="151" t="n">
        <f aca="false">IF(COUNT('12_Datos_5m'!E329:E$504)=0,1000000000000,MIN('12_Datos_5m'!E329:E$504))</f>
        <v>1000000000000</v>
      </c>
      <c r="L328" s="151" t="n">
        <f aca="false">IF(COUNT('12_Datos_5m'!D329:D$504)=0,0,MAX('12_Datos_5m'!D329:D$504))</f>
        <v>0</v>
      </c>
      <c r="M328" s="151" t="str">
        <f aca="false">IF(ISNUMBER(B328),B328*(1-1/'13_Mapa_Liq'!$B$15+'13_Mapa_Liq'!$B$6),"")</f>
        <v/>
      </c>
      <c r="N328" s="151" t="n">
        <f aca="false">IF(ISNUMBER(B328),IF(K328&gt;M328,I328*'13_Mapa_Liq'!$C$15,0),0)</f>
        <v>0</v>
      </c>
      <c r="O328" s="151" t="str">
        <f aca="false">IF(ISNUMBER(B328),B328*(1+1/'13_Mapa_Liq'!$B$15-'13_Mapa_Liq'!$B$6),"")</f>
        <v/>
      </c>
      <c r="P328" s="151" t="n">
        <f aca="false">IF(ISNUMBER(B328),IF(L328&lt;O328,J328*'13_Mapa_Liq'!$C$15,0),0)</f>
        <v>0</v>
      </c>
      <c r="Q328" s="151" t="str">
        <f aca="false">IF(ISNUMBER(B328),B328*(1-1/'13_Mapa_Liq'!$B$16+'13_Mapa_Liq'!$B$6),"")</f>
        <v/>
      </c>
      <c r="R328" s="151" t="n">
        <f aca="false">IF(ISNUMBER(B328),IF(K328&gt;Q328,I328*'13_Mapa_Liq'!$C$16,0),0)</f>
        <v>0</v>
      </c>
      <c r="S328" s="151" t="str">
        <f aca="false">IF(ISNUMBER(B328),B328*(1+1/'13_Mapa_Liq'!$B$16-'13_Mapa_Liq'!$B$6),"")</f>
        <v/>
      </c>
      <c r="T328" s="151" t="n">
        <f aca="false">IF(ISNUMBER(B328),IF(L328&lt;S328,J328*'13_Mapa_Liq'!$C$16,0),0)</f>
        <v>0</v>
      </c>
      <c r="U328" s="151" t="str">
        <f aca="false">IF(ISNUMBER(B328),B328*(1-1/'13_Mapa_Liq'!$B$17+'13_Mapa_Liq'!$B$6),"")</f>
        <v/>
      </c>
      <c r="V328" s="151" t="n">
        <f aca="false">IF(ISNUMBER(B328),IF(K328&gt;U328,I328*'13_Mapa_Liq'!$C$17,0),0)</f>
        <v>0</v>
      </c>
      <c r="W328" s="151" t="str">
        <f aca="false">IF(ISNUMBER(B328),B328*(1+1/'13_Mapa_Liq'!$B$17-'13_Mapa_Liq'!$B$6),"")</f>
        <v/>
      </c>
      <c r="X328" s="151" t="n">
        <f aca="false">IF(ISNUMBER(B328),IF(L328&lt;W328,J328*'13_Mapa_Liq'!$C$17,0),0)</f>
        <v>0</v>
      </c>
      <c r="Y328" s="151" t="str">
        <f aca="false">IF(ISNUMBER(B328),B328*(1-1/'13_Mapa_Liq'!$B$18+'13_Mapa_Liq'!$B$6),"")</f>
        <v/>
      </c>
      <c r="Z328" s="151" t="n">
        <f aca="false">IF(ISNUMBER(B328),IF(K328&gt;Y328,I328*'13_Mapa_Liq'!$C$18,0),0)</f>
        <v>0</v>
      </c>
      <c r="AA328" s="151" t="str">
        <f aca="false">IF(ISNUMBER(B328),B328*(1+1/'13_Mapa_Liq'!$B$18-'13_Mapa_Liq'!$B$6),"")</f>
        <v/>
      </c>
      <c r="AB328" s="151" t="n">
        <f aca="false">IF(ISNUMBER(B328),IF(L328&lt;AA328,J328*'13_Mapa_Liq'!$C$18,0),0)</f>
        <v>0</v>
      </c>
      <c r="AC328" s="151" t="str">
        <f aca="false">IF(ISNUMBER(B328),B328*(1-1/'13_Mapa_Liq'!$B$19+'13_Mapa_Liq'!$B$6),"")</f>
        <v/>
      </c>
      <c r="AD328" s="151" t="n">
        <f aca="false">IF(ISNUMBER(B328),IF(K328&gt;AC328,I328*'13_Mapa_Liq'!$C$19,0),0)</f>
        <v>0</v>
      </c>
      <c r="AE328" s="151" t="str">
        <f aca="false">IF(ISNUMBER(B328),B328*(1+1/'13_Mapa_Liq'!$B$19-'13_Mapa_Liq'!$B$6),"")</f>
        <v/>
      </c>
      <c r="AF328" s="151" t="n">
        <f aca="false">IF(ISNUMBER(B328),IF(L328&lt;AE328,J328*'13_Mapa_Liq'!$C$19,0),0)</f>
        <v>0</v>
      </c>
      <c r="AG328" s="151"/>
      <c r="AH328" s="151" t="n">
        <f aca="false">IF(ISNUMBER(B328),E328*F328*((K328&lt;=M328)*'13_Mapa_Liq'!$C$15+(K328&lt;=Q328)*'13_Mapa_Liq'!$C$16+(K328&lt;=U328)*'13_Mapa_Liq'!$C$17+(K328&lt;=Y328)*'13_Mapa_Liq'!$C$18+(K328&lt;=AC328)*'13_Mapa_Liq'!$C$19),0)</f>
        <v>0</v>
      </c>
      <c r="AI328" s="151" t="n">
        <f aca="false">IF(ISNUMBER(B328),E328*(1-F328)*((L328&gt;=O328)*'13_Mapa_Liq'!$C$15+(L328&gt;=S328)*'13_Mapa_Liq'!$C$16+(L328&gt;=W328)*'13_Mapa_Liq'!$C$17+(L328&gt;=AA328)*'13_Mapa_Liq'!$C$18+(L328&gt;=AE328)*'13_Mapa_Liq'!$C$19),0)</f>
        <v>0</v>
      </c>
    </row>
    <row r="329" customFormat="false" ht="15" hidden="false" customHeight="false" outlineLevel="0" collapsed="false">
      <c r="A329" s="151" t="str">
        <f aca="false">IF(ISNUMBER('12_Datos_5m'!F329),ROW()-4,"")</f>
        <v/>
      </c>
      <c r="B329" s="151" t="str">
        <f aca="false">IF(ISNUMBER('12_Datos_5m'!F329),'12_Datos_5m'!F329,"")</f>
        <v/>
      </c>
      <c r="C329" s="151" t="str">
        <f aca="false">IF(ISNUMBER('12_Datos_5m'!A329),'12_Datos_5m'!A329,"")</f>
        <v/>
      </c>
      <c r="D329" s="151" t="n">
        <f aca="false">IF(AND(ISNUMBER('12_Datos_5m'!I329),ISNUMBER('12_Datos_5m'!I328)),'12_Datos_5m'!I329-'12_Datos_5m'!I328,0)</f>
        <v>0</v>
      </c>
      <c r="E329" s="151" t="n">
        <f aca="false">MAX(0,D329)</f>
        <v>0</v>
      </c>
      <c r="F329" s="151" t="n">
        <f aca="false">IF(AND(ISNUMBER('12_Datos_5m'!G329),N('12_Datos_5m'!G329)&gt;0),'12_Datos_5m'!H329/'12_Datos_5m'!G329,0.5)</f>
        <v>0.5</v>
      </c>
      <c r="G329" s="151" t="n">
        <f aca="false">IF(ISNUMBER(C329),($C$2-C329)/3600000,0)</f>
        <v>0</v>
      </c>
      <c r="H329" s="151" t="n">
        <f aca="false">EXP(-G329/'13_Mapa_Liq'!$B$7)</f>
        <v>1</v>
      </c>
      <c r="I329" s="151" t="n">
        <f aca="false">E329*F329*H329</f>
        <v>0</v>
      </c>
      <c r="J329" s="151" t="n">
        <f aca="false">E329*(1-F329)*H329</f>
        <v>0</v>
      </c>
      <c r="K329" s="151" t="n">
        <f aca="false">IF(COUNT('12_Datos_5m'!E330:E$504)=0,1000000000000,MIN('12_Datos_5m'!E330:E$504))</f>
        <v>1000000000000</v>
      </c>
      <c r="L329" s="151" t="n">
        <f aca="false">IF(COUNT('12_Datos_5m'!D330:D$504)=0,0,MAX('12_Datos_5m'!D330:D$504))</f>
        <v>0</v>
      </c>
      <c r="M329" s="151" t="str">
        <f aca="false">IF(ISNUMBER(B329),B329*(1-1/'13_Mapa_Liq'!$B$15+'13_Mapa_Liq'!$B$6),"")</f>
        <v/>
      </c>
      <c r="N329" s="151" t="n">
        <f aca="false">IF(ISNUMBER(B329),IF(K329&gt;M329,I329*'13_Mapa_Liq'!$C$15,0),0)</f>
        <v>0</v>
      </c>
      <c r="O329" s="151" t="str">
        <f aca="false">IF(ISNUMBER(B329),B329*(1+1/'13_Mapa_Liq'!$B$15-'13_Mapa_Liq'!$B$6),"")</f>
        <v/>
      </c>
      <c r="P329" s="151" t="n">
        <f aca="false">IF(ISNUMBER(B329),IF(L329&lt;O329,J329*'13_Mapa_Liq'!$C$15,0),0)</f>
        <v>0</v>
      </c>
      <c r="Q329" s="151" t="str">
        <f aca="false">IF(ISNUMBER(B329),B329*(1-1/'13_Mapa_Liq'!$B$16+'13_Mapa_Liq'!$B$6),"")</f>
        <v/>
      </c>
      <c r="R329" s="151" t="n">
        <f aca="false">IF(ISNUMBER(B329),IF(K329&gt;Q329,I329*'13_Mapa_Liq'!$C$16,0),0)</f>
        <v>0</v>
      </c>
      <c r="S329" s="151" t="str">
        <f aca="false">IF(ISNUMBER(B329),B329*(1+1/'13_Mapa_Liq'!$B$16-'13_Mapa_Liq'!$B$6),"")</f>
        <v/>
      </c>
      <c r="T329" s="151" t="n">
        <f aca="false">IF(ISNUMBER(B329),IF(L329&lt;S329,J329*'13_Mapa_Liq'!$C$16,0),0)</f>
        <v>0</v>
      </c>
      <c r="U329" s="151" t="str">
        <f aca="false">IF(ISNUMBER(B329),B329*(1-1/'13_Mapa_Liq'!$B$17+'13_Mapa_Liq'!$B$6),"")</f>
        <v/>
      </c>
      <c r="V329" s="151" t="n">
        <f aca="false">IF(ISNUMBER(B329),IF(K329&gt;U329,I329*'13_Mapa_Liq'!$C$17,0),0)</f>
        <v>0</v>
      </c>
      <c r="W329" s="151" t="str">
        <f aca="false">IF(ISNUMBER(B329),B329*(1+1/'13_Mapa_Liq'!$B$17-'13_Mapa_Liq'!$B$6),"")</f>
        <v/>
      </c>
      <c r="X329" s="151" t="n">
        <f aca="false">IF(ISNUMBER(B329),IF(L329&lt;W329,J329*'13_Mapa_Liq'!$C$17,0),0)</f>
        <v>0</v>
      </c>
      <c r="Y329" s="151" t="str">
        <f aca="false">IF(ISNUMBER(B329),B329*(1-1/'13_Mapa_Liq'!$B$18+'13_Mapa_Liq'!$B$6),"")</f>
        <v/>
      </c>
      <c r="Z329" s="151" t="n">
        <f aca="false">IF(ISNUMBER(B329),IF(K329&gt;Y329,I329*'13_Mapa_Liq'!$C$18,0),0)</f>
        <v>0</v>
      </c>
      <c r="AA329" s="151" t="str">
        <f aca="false">IF(ISNUMBER(B329),B329*(1+1/'13_Mapa_Liq'!$B$18-'13_Mapa_Liq'!$B$6),"")</f>
        <v/>
      </c>
      <c r="AB329" s="151" t="n">
        <f aca="false">IF(ISNUMBER(B329),IF(L329&lt;AA329,J329*'13_Mapa_Liq'!$C$18,0),0)</f>
        <v>0</v>
      </c>
      <c r="AC329" s="151" t="str">
        <f aca="false">IF(ISNUMBER(B329),B329*(1-1/'13_Mapa_Liq'!$B$19+'13_Mapa_Liq'!$B$6),"")</f>
        <v/>
      </c>
      <c r="AD329" s="151" t="n">
        <f aca="false">IF(ISNUMBER(B329),IF(K329&gt;AC329,I329*'13_Mapa_Liq'!$C$19,0),0)</f>
        <v>0</v>
      </c>
      <c r="AE329" s="151" t="str">
        <f aca="false">IF(ISNUMBER(B329),B329*(1+1/'13_Mapa_Liq'!$B$19-'13_Mapa_Liq'!$B$6),"")</f>
        <v/>
      </c>
      <c r="AF329" s="151" t="n">
        <f aca="false">IF(ISNUMBER(B329),IF(L329&lt;AE329,J329*'13_Mapa_Liq'!$C$19,0),0)</f>
        <v>0</v>
      </c>
      <c r="AG329" s="151"/>
      <c r="AH329" s="151" t="n">
        <f aca="false">IF(ISNUMBER(B329),E329*F329*((K329&lt;=M329)*'13_Mapa_Liq'!$C$15+(K329&lt;=Q329)*'13_Mapa_Liq'!$C$16+(K329&lt;=U329)*'13_Mapa_Liq'!$C$17+(K329&lt;=Y329)*'13_Mapa_Liq'!$C$18+(K329&lt;=AC329)*'13_Mapa_Liq'!$C$19),0)</f>
        <v>0</v>
      </c>
      <c r="AI329" s="151" t="n">
        <f aca="false">IF(ISNUMBER(B329),E329*(1-F329)*((L329&gt;=O329)*'13_Mapa_Liq'!$C$15+(L329&gt;=S329)*'13_Mapa_Liq'!$C$16+(L329&gt;=W329)*'13_Mapa_Liq'!$C$17+(L329&gt;=AA329)*'13_Mapa_Liq'!$C$18+(L329&gt;=AE329)*'13_Mapa_Liq'!$C$19),0)</f>
        <v>0</v>
      </c>
    </row>
    <row r="330" customFormat="false" ht="15" hidden="false" customHeight="false" outlineLevel="0" collapsed="false">
      <c r="A330" s="151" t="str">
        <f aca="false">IF(ISNUMBER('12_Datos_5m'!F330),ROW()-4,"")</f>
        <v/>
      </c>
      <c r="B330" s="151" t="str">
        <f aca="false">IF(ISNUMBER('12_Datos_5m'!F330),'12_Datos_5m'!F330,"")</f>
        <v/>
      </c>
      <c r="C330" s="151" t="str">
        <f aca="false">IF(ISNUMBER('12_Datos_5m'!A330),'12_Datos_5m'!A330,"")</f>
        <v/>
      </c>
      <c r="D330" s="151" t="n">
        <f aca="false">IF(AND(ISNUMBER('12_Datos_5m'!I330),ISNUMBER('12_Datos_5m'!I329)),'12_Datos_5m'!I330-'12_Datos_5m'!I329,0)</f>
        <v>0</v>
      </c>
      <c r="E330" s="151" t="n">
        <f aca="false">MAX(0,D330)</f>
        <v>0</v>
      </c>
      <c r="F330" s="151" t="n">
        <f aca="false">IF(AND(ISNUMBER('12_Datos_5m'!G330),N('12_Datos_5m'!G330)&gt;0),'12_Datos_5m'!H330/'12_Datos_5m'!G330,0.5)</f>
        <v>0.5</v>
      </c>
      <c r="G330" s="151" t="n">
        <f aca="false">IF(ISNUMBER(C330),($C$2-C330)/3600000,0)</f>
        <v>0</v>
      </c>
      <c r="H330" s="151" t="n">
        <f aca="false">EXP(-G330/'13_Mapa_Liq'!$B$7)</f>
        <v>1</v>
      </c>
      <c r="I330" s="151" t="n">
        <f aca="false">E330*F330*H330</f>
        <v>0</v>
      </c>
      <c r="J330" s="151" t="n">
        <f aca="false">E330*(1-F330)*H330</f>
        <v>0</v>
      </c>
      <c r="K330" s="151" t="n">
        <f aca="false">IF(COUNT('12_Datos_5m'!E331:E$504)=0,1000000000000,MIN('12_Datos_5m'!E331:E$504))</f>
        <v>1000000000000</v>
      </c>
      <c r="L330" s="151" t="n">
        <f aca="false">IF(COUNT('12_Datos_5m'!D331:D$504)=0,0,MAX('12_Datos_5m'!D331:D$504))</f>
        <v>0</v>
      </c>
      <c r="M330" s="151" t="str">
        <f aca="false">IF(ISNUMBER(B330),B330*(1-1/'13_Mapa_Liq'!$B$15+'13_Mapa_Liq'!$B$6),"")</f>
        <v/>
      </c>
      <c r="N330" s="151" t="n">
        <f aca="false">IF(ISNUMBER(B330),IF(K330&gt;M330,I330*'13_Mapa_Liq'!$C$15,0),0)</f>
        <v>0</v>
      </c>
      <c r="O330" s="151" t="str">
        <f aca="false">IF(ISNUMBER(B330),B330*(1+1/'13_Mapa_Liq'!$B$15-'13_Mapa_Liq'!$B$6),"")</f>
        <v/>
      </c>
      <c r="P330" s="151" t="n">
        <f aca="false">IF(ISNUMBER(B330),IF(L330&lt;O330,J330*'13_Mapa_Liq'!$C$15,0),0)</f>
        <v>0</v>
      </c>
      <c r="Q330" s="151" t="str">
        <f aca="false">IF(ISNUMBER(B330),B330*(1-1/'13_Mapa_Liq'!$B$16+'13_Mapa_Liq'!$B$6),"")</f>
        <v/>
      </c>
      <c r="R330" s="151" t="n">
        <f aca="false">IF(ISNUMBER(B330),IF(K330&gt;Q330,I330*'13_Mapa_Liq'!$C$16,0),0)</f>
        <v>0</v>
      </c>
      <c r="S330" s="151" t="str">
        <f aca="false">IF(ISNUMBER(B330),B330*(1+1/'13_Mapa_Liq'!$B$16-'13_Mapa_Liq'!$B$6),"")</f>
        <v/>
      </c>
      <c r="T330" s="151" t="n">
        <f aca="false">IF(ISNUMBER(B330),IF(L330&lt;S330,J330*'13_Mapa_Liq'!$C$16,0),0)</f>
        <v>0</v>
      </c>
      <c r="U330" s="151" t="str">
        <f aca="false">IF(ISNUMBER(B330),B330*(1-1/'13_Mapa_Liq'!$B$17+'13_Mapa_Liq'!$B$6),"")</f>
        <v/>
      </c>
      <c r="V330" s="151" t="n">
        <f aca="false">IF(ISNUMBER(B330),IF(K330&gt;U330,I330*'13_Mapa_Liq'!$C$17,0),0)</f>
        <v>0</v>
      </c>
      <c r="W330" s="151" t="str">
        <f aca="false">IF(ISNUMBER(B330),B330*(1+1/'13_Mapa_Liq'!$B$17-'13_Mapa_Liq'!$B$6),"")</f>
        <v/>
      </c>
      <c r="X330" s="151" t="n">
        <f aca="false">IF(ISNUMBER(B330),IF(L330&lt;W330,J330*'13_Mapa_Liq'!$C$17,0),0)</f>
        <v>0</v>
      </c>
      <c r="Y330" s="151" t="str">
        <f aca="false">IF(ISNUMBER(B330),B330*(1-1/'13_Mapa_Liq'!$B$18+'13_Mapa_Liq'!$B$6),"")</f>
        <v/>
      </c>
      <c r="Z330" s="151" t="n">
        <f aca="false">IF(ISNUMBER(B330),IF(K330&gt;Y330,I330*'13_Mapa_Liq'!$C$18,0),0)</f>
        <v>0</v>
      </c>
      <c r="AA330" s="151" t="str">
        <f aca="false">IF(ISNUMBER(B330),B330*(1+1/'13_Mapa_Liq'!$B$18-'13_Mapa_Liq'!$B$6),"")</f>
        <v/>
      </c>
      <c r="AB330" s="151" t="n">
        <f aca="false">IF(ISNUMBER(B330),IF(L330&lt;AA330,J330*'13_Mapa_Liq'!$C$18,0),0)</f>
        <v>0</v>
      </c>
      <c r="AC330" s="151" t="str">
        <f aca="false">IF(ISNUMBER(B330),B330*(1-1/'13_Mapa_Liq'!$B$19+'13_Mapa_Liq'!$B$6),"")</f>
        <v/>
      </c>
      <c r="AD330" s="151" t="n">
        <f aca="false">IF(ISNUMBER(B330),IF(K330&gt;AC330,I330*'13_Mapa_Liq'!$C$19,0),0)</f>
        <v>0</v>
      </c>
      <c r="AE330" s="151" t="str">
        <f aca="false">IF(ISNUMBER(B330),B330*(1+1/'13_Mapa_Liq'!$B$19-'13_Mapa_Liq'!$B$6),"")</f>
        <v/>
      </c>
      <c r="AF330" s="151" t="n">
        <f aca="false">IF(ISNUMBER(B330),IF(L330&lt;AE330,J330*'13_Mapa_Liq'!$C$19,0),0)</f>
        <v>0</v>
      </c>
      <c r="AG330" s="151"/>
      <c r="AH330" s="151" t="n">
        <f aca="false">IF(ISNUMBER(B330),E330*F330*((K330&lt;=M330)*'13_Mapa_Liq'!$C$15+(K330&lt;=Q330)*'13_Mapa_Liq'!$C$16+(K330&lt;=U330)*'13_Mapa_Liq'!$C$17+(K330&lt;=Y330)*'13_Mapa_Liq'!$C$18+(K330&lt;=AC330)*'13_Mapa_Liq'!$C$19),0)</f>
        <v>0</v>
      </c>
      <c r="AI330" s="151" t="n">
        <f aca="false">IF(ISNUMBER(B330),E330*(1-F330)*((L330&gt;=O330)*'13_Mapa_Liq'!$C$15+(L330&gt;=S330)*'13_Mapa_Liq'!$C$16+(L330&gt;=W330)*'13_Mapa_Liq'!$C$17+(L330&gt;=AA330)*'13_Mapa_Liq'!$C$18+(L330&gt;=AE330)*'13_Mapa_Liq'!$C$19),0)</f>
        <v>0</v>
      </c>
    </row>
    <row r="331" customFormat="false" ht="15" hidden="false" customHeight="false" outlineLevel="0" collapsed="false">
      <c r="A331" s="151" t="str">
        <f aca="false">IF(ISNUMBER('12_Datos_5m'!F331),ROW()-4,"")</f>
        <v/>
      </c>
      <c r="B331" s="151" t="str">
        <f aca="false">IF(ISNUMBER('12_Datos_5m'!F331),'12_Datos_5m'!F331,"")</f>
        <v/>
      </c>
      <c r="C331" s="151" t="str">
        <f aca="false">IF(ISNUMBER('12_Datos_5m'!A331),'12_Datos_5m'!A331,"")</f>
        <v/>
      </c>
      <c r="D331" s="151" t="n">
        <f aca="false">IF(AND(ISNUMBER('12_Datos_5m'!I331),ISNUMBER('12_Datos_5m'!I330)),'12_Datos_5m'!I331-'12_Datos_5m'!I330,0)</f>
        <v>0</v>
      </c>
      <c r="E331" s="151" t="n">
        <f aca="false">MAX(0,D331)</f>
        <v>0</v>
      </c>
      <c r="F331" s="151" t="n">
        <f aca="false">IF(AND(ISNUMBER('12_Datos_5m'!G331),N('12_Datos_5m'!G331)&gt;0),'12_Datos_5m'!H331/'12_Datos_5m'!G331,0.5)</f>
        <v>0.5</v>
      </c>
      <c r="G331" s="151" t="n">
        <f aca="false">IF(ISNUMBER(C331),($C$2-C331)/3600000,0)</f>
        <v>0</v>
      </c>
      <c r="H331" s="151" t="n">
        <f aca="false">EXP(-G331/'13_Mapa_Liq'!$B$7)</f>
        <v>1</v>
      </c>
      <c r="I331" s="151" t="n">
        <f aca="false">E331*F331*H331</f>
        <v>0</v>
      </c>
      <c r="J331" s="151" t="n">
        <f aca="false">E331*(1-F331)*H331</f>
        <v>0</v>
      </c>
      <c r="K331" s="151" t="n">
        <f aca="false">IF(COUNT('12_Datos_5m'!E332:E$504)=0,1000000000000,MIN('12_Datos_5m'!E332:E$504))</f>
        <v>1000000000000</v>
      </c>
      <c r="L331" s="151" t="n">
        <f aca="false">IF(COUNT('12_Datos_5m'!D332:D$504)=0,0,MAX('12_Datos_5m'!D332:D$504))</f>
        <v>0</v>
      </c>
      <c r="M331" s="151" t="str">
        <f aca="false">IF(ISNUMBER(B331),B331*(1-1/'13_Mapa_Liq'!$B$15+'13_Mapa_Liq'!$B$6),"")</f>
        <v/>
      </c>
      <c r="N331" s="151" t="n">
        <f aca="false">IF(ISNUMBER(B331),IF(K331&gt;M331,I331*'13_Mapa_Liq'!$C$15,0),0)</f>
        <v>0</v>
      </c>
      <c r="O331" s="151" t="str">
        <f aca="false">IF(ISNUMBER(B331),B331*(1+1/'13_Mapa_Liq'!$B$15-'13_Mapa_Liq'!$B$6),"")</f>
        <v/>
      </c>
      <c r="P331" s="151" t="n">
        <f aca="false">IF(ISNUMBER(B331),IF(L331&lt;O331,J331*'13_Mapa_Liq'!$C$15,0),0)</f>
        <v>0</v>
      </c>
      <c r="Q331" s="151" t="str">
        <f aca="false">IF(ISNUMBER(B331),B331*(1-1/'13_Mapa_Liq'!$B$16+'13_Mapa_Liq'!$B$6),"")</f>
        <v/>
      </c>
      <c r="R331" s="151" t="n">
        <f aca="false">IF(ISNUMBER(B331),IF(K331&gt;Q331,I331*'13_Mapa_Liq'!$C$16,0),0)</f>
        <v>0</v>
      </c>
      <c r="S331" s="151" t="str">
        <f aca="false">IF(ISNUMBER(B331),B331*(1+1/'13_Mapa_Liq'!$B$16-'13_Mapa_Liq'!$B$6),"")</f>
        <v/>
      </c>
      <c r="T331" s="151" t="n">
        <f aca="false">IF(ISNUMBER(B331),IF(L331&lt;S331,J331*'13_Mapa_Liq'!$C$16,0),0)</f>
        <v>0</v>
      </c>
      <c r="U331" s="151" t="str">
        <f aca="false">IF(ISNUMBER(B331),B331*(1-1/'13_Mapa_Liq'!$B$17+'13_Mapa_Liq'!$B$6),"")</f>
        <v/>
      </c>
      <c r="V331" s="151" t="n">
        <f aca="false">IF(ISNUMBER(B331),IF(K331&gt;U331,I331*'13_Mapa_Liq'!$C$17,0),0)</f>
        <v>0</v>
      </c>
      <c r="W331" s="151" t="str">
        <f aca="false">IF(ISNUMBER(B331),B331*(1+1/'13_Mapa_Liq'!$B$17-'13_Mapa_Liq'!$B$6),"")</f>
        <v/>
      </c>
      <c r="X331" s="151" t="n">
        <f aca="false">IF(ISNUMBER(B331),IF(L331&lt;W331,J331*'13_Mapa_Liq'!$C$17,0),0)</f>
        <v>0</v>
      </c>
      <c r="Y331" s="151" t="str">
        <f aca="false">IF(ISNUMBER(B331),B331*(1-1/'13_Mapa_Liq'!$B$18+'13_Mapa_Liq'!$B$6),"")</f>
        <v/>
      </c>
      <c r="Z331" s="151" t="n">
        <f aca="false">IF(ISNUMBER(B331),IF(K331&gt;Y331,I331*'13_Mapa_Liq'!$C$18,0),0)</f>
        <v>0</v>
      </c>
      <c r="AA331" s="151" t="str">
        <f aca="false">IF(ISNUMBER(B331),B331*(1+1/'13_Mapa_Liq'!$B$18-'13_Mapa_Liq'!$B$6),"")</f>
        <v/>
      </c>
      <c r="AB331" s="151" t="n">
        <f aca="false">IF(ISNUMBER(B331),IF(L331&lt;AA331,J331*'13_Mapa_Liq'!$C$18,0),0)</f>
        <v>0</v>
      </c>
      <c r="AC331" s="151" t="str">
        <f aca="false">IF(ISNUMBER(B331),B331*(1-1/'13_Mapa_Liq'!$B$19+'13_Mapa_Liq'!$B$6),"")</f>
        <v/>
      </c>
      <c r="AD331" s="151" t="n">
        <f aca="false">IF(ISNUMBER(B331),IF(K331&gt;AC331,I331*'13_Mapa_Liq'!$C$19,0),0)</f>
        <v>0</v>
      </c>
      <c r="AE331" s="151" t="str">
        <f aca="false">IF(ISNUMBER(B331),B331*(1+1/'13_Mapa_Liq'!$B$19-'13_Mapa_Liq'!$B$6),"")</f>
        <v/>
      </c>
      <c r="AF331" s="151" t="n">
        <f aca="false">IF(ISNUMBER(B331),IF(L331&lt;AE331,J331*'13_Mapa_Liq'!$C$19,0),0)</f>
        <v>0</v>
      </c>
      <c r="AG331" s="151"/>
      <c r="AH331" s="151" t="n">
        <f aca="false">IF(ISNUMBER(B331),E331*F331*((K331&lt;=M331)*'13_Mapa_Liq'!$C$15+(K331&lt;=Q331)*'13_Mapa_Liq'!$C$16+(K331&lt;=U331)*'13_Mapa_Liq'!$C$17+(K331&lt;=Y331)*'13_Mapa_Liq'!$C$18+(K331&lt;=AC331)*'13_Mapa_Liq'!$C$19),0)</f>
        <v>0</v>
      </c>
      <c r="AI331" s="151" t="n">
        <f aca="false">IF(ISNUMBER(B331),E331*(1-F331)*((L331&gt;=O331)*'13_Mapa_Liq'!$C$15+(L331&gt;=S331)*'13_Mapa_Liq'!$C$16+(L331&gt;=W331)*'13_Mapa_Liq'!$C$17+(L331&gt;=AA331)*'13_Mapa_Liq'!$C$18+(L331&gt;=AE331)*'13_Mapa_Liq'!$C$19),0)</f>
        <v>0</v>
      </c>
    </row>
    <row r="332" customFormat="false" ht="15" hidden="false" customHeight="false" outlineLevel="0" collapsed="false">
      <c r="A332" s="151" t="str">
        <f aca="false">IF(ISNUMBER('12_Datos_5m'!F332),ROW()-4,"")</f>
        <v/>
      </c>
      <c r="B332" s="151" t="str">
        <f aca="false">IF(ISNUMBER('12_Datos_5m'!F332),'12_Datos_5m'!F332,"")</f>
        <v/>
      </c>
      <c r="C332" s="151" t="str">
        <f aca="false">IF(ISNUMBER('12_Datos_5m'!A332),'12_Datos_5m'!A332,"")</f>
        <v/>
      </c>
      <c r="D332" s="151" t="n">
        <f aca="false">IF(AND(ISNUMBER('12_Datos_5m'!I332),ISNUMBER('12_Datos_5m'!I331)),'12_Datos_5m'!I332-'12_Datos_5m'!I331,0)</f>
        <v>0</v>
      </c>
      <c r="E332" s="151" t="n">
        <f aca="false">MAX(0,D332)</f>
        <v>0</v>
      </c>
      <c r="F332" s="151" t="n">
        <f aca="false">IF(AND(ISNUMBER('12_Datos_5m'!G332),N('12_Datos_5m'!G332)&gt;0),'12_Datos_5m'!H332/'12_Datos_5m'!G332,0.5)</f>
        <v>0.5</v>
      </c>
      <c r="G332" s="151" t="n">
        <f aca="false">IF(ISNUMBER(C332),($C$2-C332)/3600000,0)</f>
        <v>0</v>
      </c>
      <c r="H332" s="151" t="n">
        <f aca="false">EXP(-G332/'13_Mapa_Liq'!$B$7)</f>
        <v>1</v>
      </c>
      <c r="I332" s="151" t="n">
        <f aca="false">E332*F332*H332</f>
        <v>0</v>
      </c>
      <c r="J332" s="151" t="n">
        <f aca="false">E332*(1-F332)*H332</f>
        <v>0</v>
      </c>
      <c r="K332" s="151" t="n">
        <f aca="false">IF(COUNT('12_Datos_5m'!E333:E$504)=0,1000000000000,MIN('12_Datos_5m'!E333:E$504))</f>
        <v>1000000000000</v>
      </c>
      <c r="L332" s="151" t="n">
        <f aca="false">IF(COUNT('12_Datos_5m'!D333:D$504)=0,0,MAX('12_Datos_5m'!D333:D$504))</f>
        <v>0</v>
      </c>
      <c r="M332" s="151" t="str">
        <f aca="false">IF(ISNUMBER(B332),B332*(1-1/'13_Mapa_Liq'!$B$15+'13_Mapa_Liq'!$B$6),"")</f>
        <v/>
      </c>
      <c r="N332" s="151" t="n">
        <f aca="false">IF(ISNUMBER(B332),IF(K332&gt;M332,I332*'13_Mapa_Liq'!$C$15,0),0)</f>
        <v>0</v>
      </c>
      <c r="O332" s="151" t="str">
        <f aca="false">IF(ISNUMBER(B332),B332*(1+1/'13_Mapa_Liq'!$B$15-'13_Mapa_Liq'!$B$6),"")</f>
        <v/>
      </c>
      <c r="P332" s="151" t="n">
        <f aca="false">IF(ISNUMBER(B332),IF(L332&lt;O332,J332*'13_Mapa_Liq'!$C$15,0),0)</f>
        <v>0</v>
      </c>
      <c r="Q332" s="151" t="str">
        <f aca="false">IF(ISNUMBER(B332),B332*(1-1/'13_Mapa_Liq'!$B$16+'13_Mapa_Liq'!$B$6),"")</f>
        <v/>
      </c>
      <c r="R332" s="151" t="n">
        <f aca="false">IF(ISNUMBER(B332),IF(K332&gt;Q332,I332*'13_Mapa_Liq'!$C$16,0),0)</f>
        <v>0</v>
      </c>
      <c r="S332" s="151" t="str">
        <f aca="false">IF(ISNUMBER(B332),B332*(1+1/'13_Mapa_Liq'!$B$16-'13_Mapa_Liq'!$B$6),"")</f>
        <v/>
      </c>
      <c r="T332" s="151" t="n">
        <f aca="false">IF(ISNUMBER(B332),IF(L332&lt;S332,J332*'13_Mapa_Liq'!$C$16,0),0)</f>
        <v>0</v>
      </c>
      <c r="U332" s="151" t="str">
        <f aca="false">IF(ISNUMBER(B332),B332*(1-1/'13_Mapa_Liq'!$B$17+'13_Mapa_Liq'!$B$6),"")</f>
        <v/>
      </c>
      <c r="V332" s="151" t="n">
        <f aca="false">IF(ISNUMBER(B332),IF(K332&gt;U332,I332*'13_Mapa_Liq'!$C$17,0),0)</f>
        <v>0</v>
      </c>
      <c r="W332" s="151" t="str">
        <f aca="false">IF(ISNUMBER(B332),B332*(1+1/'13_Mapa_Liq'!$B$17-'13_Mapa_Liq'!$B$6),"")</f>
        <v/>
      </c>
      <c r="X332" s="151" t="n">
        <f aca="false">IF(ISNUMBER(B332),IF(L332&lt;W332,J332*'13_Mapa_Liq'!$C$17,0),0)</f>
        <v>0</v>
      </c>
      <c r="Y332" s="151" t="str">
        <f aca="false">IF(ISNUMBER(B332),B332*(1-1/'13_Mapa_Liq'!$B$18+'13_Mapa_Liq'!$B$6),"")</f>
        <v/>
      </c>
      <c r="Z332" s="151" t="n">
        <f aca="false">IF(ISNUMBER(B332),IF(K332&gt;Y332,I332*'13_Mapa_Liq'!$C$18,0),0)</f>
        <v>0</v>
      </c>
      <c r="AA332" s="151" t="str">
        <f aca="false">IF(ISNUMBER(B332),B332*(1+1/'13_Mapa_Liq'!$B$18-'13_Mapa_Liq'!$B$6),"")</f>
        <v/>
      </c>
      <c r="AB332" s="151" t="n">
        <f aca="false">IF(ISNUMBER(B332),IF(L332&lt;AA332,J332*'13_Mapa_Liq'!$C$18,0),0)</f>
        <v>0</v>
      </c>
      <c r="AC332" s="151" t="str">
        <f aca="false">IF(ISNUMBER(B332),B332*(1-1/'13_Mapa_Liq'!$B$19+'13_Mapa_Liq'!$B$6),"")</f>
        <v/>
      </c>
      <c r="AD332" s="151" t="n">
        <f aca="false">IF(ISNUMBER(B332),IF(K332&gt;AC332,I332*'13_Mapa_Liq'!$C$19,0),0)</f>
        <v>0</v>
      </c>
      <c r="AE332" s="151" t="str">
        <f aca="false">IF(ISNUMBER(B332),B332*(1+1/'13_Mapa_Liq'!$B$19-'13_Mapa_Liq'!$B$6),"")</f>
        <v/>
      </c>
      <c r="AF332" s="151" t="n">
        <f aca="false">IF(ISNUMBER(B332),IF(L332&lt;AE332,J332*'13_Mapa_Liq'!$C$19,0),0)</f>
        <v>0</v>
      </c>
      <c r="AG332" s="151"/>
      <c r="AH332" s="151" t="n">
        <f aca="false">IF(ISNUMBER(B332),E332*F332*((K332&lt;=M332)*'13_Mapa_Liq'!$C$15+(K332&lt;=Q332)*'13_Mapa_Liq'!$C$16+(K332&lt;=U332)*'13_Mapa_Liq'!$C$17+(K332&lt;=Y332)*'13_Mapa_Liq'!$C$18+(K332&lt;=AC332)*'13_Mapa_Liq'!$C$19),0)</f>
        <v>0</v>
      </c>
      <c r="AI332" s="151" t="n">
        <f aca="false">IF(ISNUMBER(B332),E332*(1-F332)*((L332&gt;=O332)*'13_Mapa_Liq'!$C$15+(L332&gt;=S332)*'13_Mapa_Liq'!$C$16+(L332&gt;=W332)*'13_Mapa_Liq'!$C$17+(L332&gt;=AA332)*'13_Mapa_Liq'!$C$18+(L332&gt;=AE332)*'13_Mapa_Liq'!$C$19),0)</f>
        <v>0</v>
      </c>
    </row>
    <row r="333" customFormat="false" ht="15" hidden="false" customHeight="false" outlineLevel="0" collapsed="false">
      <c r="A333" s="151" t="str">
        <f aca="false">IF(ISNUMBER('12_Datos_5m'!F333),ROW()-4,"")</f>
        <v/>
      </c>
      <c r="B333" s="151" t="str">
        <f aca="false">IF(ISNUMBER('12_Datos_5m'!F333),'12_Datos_5m'!F333,"")</f>
        <v/>
      </c>
      <c r="C333" s="151" t="str">
        <f aca="false">IF(ISNUMBER('12_Datos_5m'!A333),'12_Datos_5m'!A333,"")</f>
        <v/>
      </c>
      <c r="D333" s="151" t="n">
        <f aca="false">IF(AND(ISNUMBER('12_Datos_5m'!I333),ISNUMBER('12_Datos_5m'!I332)),'12_Datos_5m'!I333-'12_Datos_5m'!I332,0)</f>
        <v>0</v>
      </c>
      <c r="E333" s="151" t="n">
        <f aca="false">MAX(0,D333)</f>
        <v>0</v>
      </c>
      <c r="F333" s="151" t="n">
        <f aca="false">IF(AND(ISNUMBER('12_Datos_5m'!G333),N('12_Datos_5m'!G333)&gt;0),'12_Datos_5m'!H333/'12_Datos_5m'!G333,0.5)</f>
        <v>0.5</v>
      </c>
      <c r="G333" s="151" t="n">
        <f aca="false">IF(ISNUMBER(C333),($C$2-C333)/3600000,0)</f>
        <v>0</v>
      </c>
      <c r="H333" s="151" t="n">
        <f aca="false">EXP(-G333/'13_Mapa_Liq'!$B$7)</f>
        <v>1</v>
      </c>
      <c r="I333" s="151" t="n">
        <f aca="false">E333*F333*H333</f>
        <v>0</v>
      </c>
      <c r="J333" s="151" t="n">
        <f aca="false">E333*(1-F333)*H333</f>
        <v>0</v>
      </c>
      <c r="K333" s="151" t="n">
        <f aca="false">IF(COUNT('12_Datos_5m'!E334:E$504)=0,1000000000000,MIN('12_Datos_5m'!E334:E$504))</f>
        <v>1000000000000</v>
      </c>
      <c r="L333" s="151" t="n">
        <f aca="false">IF(COUNT('12_Datos_5m'!D334:D$504)=0,0,MAX('12_Datos_5m'!D334:D$504))</f>
        <v>0</v>
      </c>
      <c r="M333" s="151" t="str">
        <f aca="false">IF(ISNUMBER(B333),B333*(1-1/'13_Mapa_Liq'!$B$15+'13_Mapa_Liq'!$B$6),"")</f>
        <v/>
      </c>
      <c r="N333" s="151" t="n">
        <f aca="false">IF(ISNUMBER(B333),IF(K333&gt;M333,I333*'13_Mapa_Liq'!$C$15,0),0)</f>
        <v>0</v>
      </c>
      <c r="O333" s="151" t="str">
        <f aca="false">IF(ISNUMBER(B333),B333*(1+1/'13_Mapa_Liq'!$B$15-'13_Mapa_Liq'!$B$6),"")</f>
        <v/>
      </c>
      <c r="P333" s="151" t="n">
        <f aca="false">IF(ISNUMBER(B333),IF(L333&lt;O333,J333*'13_Mapa_Liq'!$C$15,0),0)</f>
        <v>0</v>
      </c>
      <c r="Q333" s="151" t="str">
        <f aca="false">IF(ISNUMBER(B333),B333*(1-1/'13_Mapa_Liq'!$B$16+'13_Mapa_Liq'!$B$6),"")</f>
        <v/>
      </c>
      <c r="R333" s="151" t="n">
        <f aca="false">IF(ISNUMBER(B333),IF(K333&gt;Q333,I333*'13_Mapa_Liq'!$C$16,0),0)</f>
        <v>0</v>
      </c>
      <c r="S333" s="151" t="str">
        <f aca="false">IF(ISNUMBER(B333),B333*(1+1/'13_Mapa_Liq'!$B$16-'13_Mapa_Liq'!$B$6),"")</f>
        <v/>
      </c>
      <c r="T333" s="151" t="n">
        <f aca="false">IF(ISNUMBER(B333),IF(L333&lt;S333,J333*'13_Mapa_Liq'!$C$16,0),0)</f>
        <v>0</v>
      </c>
      <c r="U333" s="151" t="str">
        <f aca="false">IF(ISNUMBER(B333),B333*(1-1/'13_Mapa_Liq'!$B$17+'13_Mapa_Liq'!$B$6),"")</f>
        <v/>
      </c>
      <c r="V333" s="151" t="n">
        <f aca="false">IF(ISNUMBER(B333),IF(K333&gt;U333,I333*'13_Mapa_Liq'!$C$17,0),0)</f>
        <v>0</v>
      </c>
      <c r="W333" s="151" t="str">
        <f aca="false">IF(ISNUMBER(B333),B333*(1+1/'13_Mapa_Liq'!$B$17-'13_Mapa_Liq'!$B$6),"")</f>
        <v/>
      </c>
      <c r="X333" s="151" t="n">
        <f aca="false">IF(ISNUMBER(B333),IF(L333&lt;W333,J333*'13_Mapa_Liq'!$C$17,0),0)</f>
        <v>0</v>
      </c>
      <c r="Y333" s="151" t="str">
        <f aca="false">IF(ISNUMBER(B333),B333*(1-1/'13_Mapa_Liq'!$B$18+'13_Mapa_Liq'!$B$6),"")</f>
        <v/>
      </c>
      <c r="Z333" s="151" t="n">
        <f aca="false">IF(ISNUMBER(B333),IF(K333&gt;Y333,I333*'13_Mapa_Liq'!$C$18,0),0)</f>
        <v>0</v>
      </c>
      <c r="AA333" s="151" t="str">
        <f aca="false">IF(ISNUMBER(B333),B333*(1+1/'13_Mapa_Liq'!$B$18-'13_Mapa_Liq'!$B$6),"")</f>
        <v/>
      </c>
      <c r="AB333" s="151" t="n">
        <f aca="false">IF(ISNUMBER(B333),IF(L333&lt;AA333,J333*'13_Mapa_Liq'!$C$18,0),0)</f>
        <v>0</v>
      </c>
      <c r="AC333" s="151" t="str">
        <f aca="false">IF(ISNUMBER(B333),B333*(1-1/'13_Mapa_Liq'!$B$19+'13_Mapa_Liq'!$B$6),"")</f>
        <v/>
      </c>
      <c r="AD333" s="151" t="n">
        <f aca="false">IF(ISNUMBER(B333),IF(K333&gt;AC333,I333*'13_Mapa_Liq'!$C$19,0),0)</f>
        <v>0</v>
      </c>
      <c r="AE333" s="151" t="str">
        <f aca="false">IF(ISNUMBER(B333),B333*(1+1/'13_Mapa_Liq'!$B$19-'13_Mapa_Liq'!$B$6),"")</f>
        <v/>
      </c>
      <c r="AF333" s="151" t="n">
        <f aca="false">IF(ISNUMBER(B333),IF(L333&lt;AE333,J333*'13_Mapa_Liq'!$C$19,0),0)</f>
        <v>0</v>
      </c>
      <c r="AG333" s="151"/>
      <c r="AH333" s="151" t="n">
        <f aca="false">IF(ISNUMBER(B333),E333*F333*((K333&lt;=M333)*'13_Mapa_Liq'!$C$15+(K333&lt;=Q333)*'13_Mapa_Liq'!$C$16+(K333&lt;=U333)*'13_Mapa_Liq'!$C$17+(K333&lt;=Y333)*'13_Mapa_Liq'!$C$18+(K333&lt;=AC333)*'13_Mapa_Liq'!$C$19),0)</f>
        <v>0</v>
      </c>
      <c r="AI333" s="151" t="n">
        <f aca="false">IF(ISNUMBER(B333),E333*(1-F333)*((L333&gt;=O333)*'13_Mapa_Liq'!$C$15+(L333&gt;=S333)*'13_Mapa_Liq'!$C$16+(L333&gt;=W333)*'13_Mapa_Liq'!$C$17+(L333&gt;=AA333)*'13_Mapa_Liq'!$C$18+(L333&gt;=AE333)*'13_Mapa_Liq'!$C$19),0)</f>
        <v>0</v>
      </c>
    </row>
    <row r="334" customFormat="false" ht="15" hidden="false" customHeight="false" outlineLevel="0" collapsed="false">
      <c r="A334" s="151" t="str">
        <f aca="false">IF(ISNUMBER('12_Datos_5m'!F334),ROW()-4,"")</f>
        <v/>
      </c>
      <c r="B334" s="151" t="str">
        <f aca="false">IF(ISNUMBER('12_Datos_5m'!F334),'12_Datos_5m'!F334,"")</f>
        <v/>
      </c>
      <c r="C334" s="151" t="str">
        <f aca="false">IF(ISNUMBER('12_Datos_5m'!A334),'12_Datos_5m'!A334,"")</f>
        <v/>
      </c>
      <c r="D334" s="151" t="n">
        <f aca="false">IF(AND(ISNUMBER('12_Datos_5m'!I334),ISNUMBER('12_Datos_5m'!I333)),'12_Datos_5m'!I334-'12_Datos_5m'!I333,0)</f>
        <v>0</v>
      </c>
      <c r="E334" s="151" t="n">
        <f aca="false">MAX(0,D334)</f>
        <v>0</v>
      </c>
      <c r="F334" s="151" t="n">
        <f aca="false">IF(AND(ISNUMBER('12_Datos_5m'!G334),N('12_Datos_5m'!G334)&gt;0),'12_Datos_5m'!H334/'12_Datos_5m'!G334,0.5)</f>
        <v>0.5</v>
      </c>
      <c r="G334" s="151" t="n">
        <f aca="false">IF(ISNUMBER(C334),($C$2-C334)/3600000,0)</f>
        <v>0</v>
      </c>
      <c r="H334" s="151" t="n">
        <f aca="false">EXP(-G334/'13_Mapa_Liq'!$B$7)</f>
        <v>1</v>
      </c>
      <c r="I334" s="151" t="n">
        <f aca="false">E334*F334*H334</f>
        <v>0</v>
      </c>
      <c r="J334" s="151" t="n">
        <f aca="false">E334*(1-F334)*H334</f>
        <v>0</v>
      </c>
      <c r="K334" s="151" t="n">
        <f aca="false">IF(COUNT('12_Datos_5m'!E335:E$504)=0,1000000000000,MIN('12_Datos_5m'!E335:E$504))</f>
        <v>1000000000000</v>
      </c>
      <c r="L334" s="151" t="n">
        <f aca="false">IF(COUNT('12_Datos_5m'!D335:D$504)=0,0,MAX('12_Datos_5m'!D335:D$504))</f>
        <v>0</v>
      </c>
      <c r="M334" s="151" t="str">
        <f aca="false">IF(ISNUMBER(B334),B334*(1-1/'13_Mapa_Liq'!$B$15+'13_Mapa_Liq'!$B$6),"")</f>
        <v/>
      </c>
      <c r="N334" s="151" t="n">
        <f aca="false">IF(ISNUMBER(B334),IF(K334&gt;M334,I334*'13_Mapa_Liq'!$C$15,0),0)</f>
        <v>0</v>
      </c>
      <c r="O334" s="151" t="str">
        <f aca="false">IF(ISNUMBER(B334),B334*(1+1/'13_Mapa_Liq'!$B$15-'13_Mapa_Liq'!$B$6),"")</f>
        <v/>
      </c>
      <c r="P334" s="151" t="n">
        <f aca="false">IF(ISNUMBER(B334),IF(L334&lt;O334,J334*'13_Mapa_Liq'!$C$15,0),0)</f>
        <v>0</v>
      </c>
      <c r="Q334" s="151" t="str">
        <f aca="false">IF(ISNUMBER(B334),B334*(1-1/'13_Mapa_Liq'!$B$16+'13_Mapa_Liq'!$B$6),"")</f>
        <v/>
      </c>
      <c r="R334" s="151" t="n">
        <f aca="false">IF(ISNUMBER(B334),IF(K334&gt;Q334,I334*'13_Mapa_Liq'!$C$16,0),0)</f>
        <v>0</v>
      </c>
      <c r="S334" s="151" t="str">
        <f aca="false">IF(ISNUMBER(B334),B334*(1+1/'13_Mapa_Liq'!$B$16-'13_Mapa_Liq'!$B$6),"")</f>
        <v/>
      </c>
      <c r="T334" s="151" t="n">
        <f aca="false">IF(ISNUMBER(B334),IF(L334&lt;S334,J334*'13_Mapa_Liq'!$C$16,0),0)</f>
        <v>0</v>
      </c>
      <c r="U334" s="151" t="str">
        <f aca="false">IF(ISNUMBER(B334),B334*(1-1/'13_Mapa_Liq'!$B$17+'13_Mapa_Liq'!$B$6),"")</f>
        <v/>
      </c>
      <c r="V334" s="151" t="n">
        <f aca="false">IF(ISNUMBER(B334),IF(K334&gt;U334,I334*'13_Mapa_Liq'!$C$17,0),0)</f>
        <v>0</v>
      </c>
      <c r="W334" s="151" t="str">
        <f aca="false">IF(ISNUMBER(B334),B334*(1+1/'13_Mapa_Liq'!$B$17-'13_Mapa_Liq'!$B$6),"")</f>
        <v/>
      </c>
      <c r="X334" s="151" t="n">
        <f aca="false">IF(ISNUMBER(B334),IF(L334&lt;W334,J334*'13_Mapa_Liq'!$C$17,0),0)</f>
        <v>0</v>
      </c>
      <c r="Y334" s="151" t="str">
        <f aca="false">IF(ISNUMBER(B334),B334*(1-1/'13_Mapa_Liq'!$B$18+'13_Mapa_Liq'!$B$6),"")</f>
        <v/>
      </c>
      <c r="Z334" s="151" t="n">
        <f aca="false">IF(ISNUMBER(B334),IF(K334&gt;Y334,I334*'13_Mapa_Liq'!$C$18,0),0)</f>
        <v>0</v>
      </c>
      <c r="AA334" s="151" t="str">
        <f aca="false">IF(ISNUMBER(B334),B334*(1+1/'13_Mapa_Liq'!$B$18-'13_Mapa_Liq'!$B$6),"")</f>
        <v/>
      </c>
      <c r="AB334" s="151" t="n">
        <f aca="false">IF(ISNUMBER(B334),IF(L334&lt;AA334,J334*'13_Mapa_Liq'!$C$18,0),0)</f>
        <v>0</v>
      </c>
      <c r="AC334" s="151" t="str">
        <f aca="false">IF(ISNUMBER(B334),B334*(1-1/'13_Mapa_Liq'!$B$19+'13_Mapa_Liq'!$B$6),"")</f>
        <v/>
      </c>
      <c r="AD334" s="151" t="n">
        <f aca="false">IF(ISNUMBER(B334),IF(K334&gt;AC334,I334*'13_Mapa_Liq'!$C$19,0),0)</f>
        <v>0</v>
      </c>
      <c r="AE334" s="151" t="str">
        <f aca="false">IF(ISNUMBER(B334),B334*(1+1/'13_Mapa_Liq'!$B$19-'13_Mapa_Liq'!$B$6),"")</f>
        <v/>
      </c>
      <c r="AF334" s="151" t="n">
        <f aca="false">IF(ISNUMBER(B334),IF(L334&lt;AE334,J334*'13_Mapa_Liq'!$C$19,0),0)</f>
        <v>0</v>
      </c>
      <c r="AG334" s="151"/>
      <c r="AH334" s="151" t="n">
        <f aca="false">IF(ISNUMBER(B334),E334*F334*((K334&lt;=M334)*'13_Mapa_Liq'!$C$15+(K334&lt;=Q334)*'13_Mapa_Liq'!$C$16+(K334&lt;=U334)*'13_Mapa_Liq'!$C$17+(K334&lt;=Y334)*'13_Mapa_Liq'!$C$18+(K334&lt;=AC334)*'13_Mapa_Liq'!$C$19),0)</f>
        <v>0</v>
      </c>
      <c r="AI334" s="151" t="n">
        <f aca="false">IF(ISNUMBER(B334),E334*(1-F334)*((L334&gt;=O334)*'13_Mapa_Liq'!$C$15+(L334&gt;=S334)*'13_Mapa_Liq'!$C$16+(L334&gt;=W334)*'13_Mapa_Liq'!$C$17+(L334&gt;=AA334)*'13_Mapa_Liq'!$C$18+(L334&gt;=AE334)*'13_Mapa_Liq'!$C$19),0)</f>
        <v>0</v>
      </c>
    </row>
    <row r="335" customFormat="false" ht="15" hidden="false" customHeight="false" outlineLevel="0" collapsed="false">
      <c r="A335" s="151" t="str">
        <f aca="false">IF(ISNUMBER('12_Datos_5m'!F335),ROW()-4,"")</f>
        <v/>
      </c>
      <c r="B335" s="151" t="str">
        <f aca="false">IF(ISNUMBER('12_Datos_5m'!F335),'12_Datos_5m'!F335,"")</f>
        <v/>
      </c>
      <c r="C335" s="151" t="str">
        <f aca="false">IF(ISNUMBER('12_Datos_5m'!A335),'12_Datos_5m'!A335,"")</f>
        <v/>
      </c>
      <c r="D335" s="151" t="n">
        <f aca="false">IF(AND(ISNUMBER('12_Datos_5m'!I335),ISNUMBER('12_Datos_5m'!I334)),'12_Datos_5m'!I335-'12_Datos_5m'!I334,0)</f>
        <v>0</v>
      </c>
      <c r="E335" s="151" t="n">
        <f aca="false">MAX(0,D335)</f>
        <v>0</v>
      </c>
      <c r="F335" s="151" t="n">
        <f aca="false">IF(AND(ISNUMBER('12_Datos_5m'!G335),N('12_Datos_5m'!G335)&gt;0),'12_Datos_5m'!H335/'12_Datos_5m'!G335,0.5)</f>
        <v>0.5</v>
      </c>
      <c r="G335" s="151" t="n">
        <f aca="false">IF(ISNUMBER(C335),($C$2-C335)/3600000,0)</f>
        <v>0</v>
      </c>
      <c r="H335" s="151" t="n">
        <f aca="false">EXP(-G335/'13_Mapa_Liq'!$B$7)</f>
        <v>1</v>
      </c>
      <c r="I335" s="151" t="n">
        <f aca="false">E335*F335*H335</f>
        <v>0</v>
      </c>
      <c r="J335" s="151" t="n">
        <f aca="false">E335*(1-F335)*H335</f>
        <v>0</v>
      </c>
      <c r="K335" s="151" t="n">
        <f aca="false">IF(COUNT('12_Datos_5m'!E336:E$504)=0,1000000000000,MIN('12_Datos_5m'!E336:E$504))</f>
        <v>1000000000000</v>
      </c>
      <c r="L335" s="151" t="n">
        <f aca="false">IF(COUNT('12_Datos_5m'!D336:D$504)=0,0,MAX('12_Datos_5m'!D336:D$504))</f>
        <v>0</v>
      </c>
      <c r="M335" s="151" t="str">
        <f aca="false">IF(ISNUMBER(B335),B335*(1-1/'13_Mapa_Liq'!$B$15+'13_Mapa_Liq'!$B$6),"")</f>
        <v/>
      </c>
      <c r="N335" s="151" t="n">
        <f aca="false">IF(ISNUMBER(B335),IF(K335&gt;M335,I335*'13_Mapa_Liq'!$C$15,0),0)</f>
        <v>0</v>
      </c>
      <c r="O335" s="151" t="str">
        <f aca="false">IF(ISNUMBER(B335),B335*(1+1/'13_Mapa_Liq'!$B$15-'13_Mapa_Liq'!$B$6),"")</f>
        <v/>
      </c>
      <c r="P335" s="151" t="n">
        <f aca="false">IF(ISNUMBER(B335),IF(L335&lt;O335,J335*'13_Mapa_Liq'!$C$15,0),0)</f>
        <v>0</v>
      </c>
      <c r="Q335" s="151" t="str">
        <f aca="false">IF(ISNUMBER(B335),B335*(1-1/'13_Mapa_Liq'!$B$16+'13_Mapa_Liq'!$B$6),"")</f>
        <v/>
      </c>
      <c r="R335" s="151" t="n">
        <f aca="false">IF(ISNUMBER(B335),IF(K335&gt;Q335,I335*'13_Mapa_Liq'!$C$16,0),0)</f>
        <v>0</v>
      </c>
      <c r="S335" s="151" t="str">
        <f aca="false">IF(ISNUMBER(B335),B335*(1+1/'13_Mapa_Liq'!$B$16-'13_Mapa_Liq'!$B$6),"")</f>
        <v/>
      </c>
      <c r="T335" s="151" t="n">
        <f aca="false">IF(ISNUMBER(B335),IF(L335&lt;S335,J335*'13_Mapa_Liq'!$C$16,0),0)</f>
        <v>0</v>
      </c>
      <c r="U335" s="151" t="str">
        <f aca="false">IF(ISNUMBER(B335),B335*(1-1/'13_Mapa_Liq'!$B$17+'13_Mapa_Liq'!$B$6),"")</f>
        <v/>
      </c>
      <c r="V335" s="151" t="n">
        <f aca="false">IF(ISNUMBER(B335),IF(K335&gt;U335,I335*'13_Mapa_Liq'!$C$17,0),0)</f>
        <v>0</v>
      </c>
      <c r="W335" s="151" t="str">
        <f aca="false">IF(ISNUMBER(B335),B335*(1+1/'13_Mapa_Liq'!$B$17-'13_Mapa_Liq'!$B$6),"")</f>
        <v/>
      </c>
      <c r="X335" s="151" t="n">
        <f aca="false">IF(ISNUMBER(B335),IF(L335&lt;W335,J335*'13_Mapa_Liq'!$C$17,0),0)</f>
        <v>0</v>
      </c>
      <c r="Y335" s="151" t="str">
        <f aca="false">IF(ISNUMBER(B335),B335*(1-1/'13_Mapa_Liq'!$B$18+'13_Mapa_Liq'!$B$6),"")</f>
        <v/>
      </c>
      <c r="Z335" s="151" t="n">
        <f aca="false">IF(ISNUMBER(B335),IF(K335&gt;Y335,I335*'13_Mapa_Liq'!$C$18,0),0)</f>
        <v>0</v>
      </c>
      <c r="AA335" s="151" t="str">
        <f aca="false">IF(ISNUMBER(B335),B335*(1+1/'13_Mapa_Liq'!$B$18-'13_Mapa_Liq'!$B$6),"")</f>
        <v/>
      </c>
      <c r="AB335" s="151" t="n">
        <f aca="false">IF(ISNUMBER(B335),IF(L335&lt;AA335,J335*'13_Mapa_Liq'!$C$18,0),0)</f>
        <v>0</v>
      </c>
      <c r="AC335" s="151" t="str">
        <f aca="false">IF(ISNUMBER(B335),B335*(1-1/'13_Mapa_Liq'!$B$19+'13_Mapa_Liq'!$B$6),"")</f>
        <v/>
      </c>
      <c r="AD335" s="151" t="n">
        <f aca="false">IF(ISNUMBER(B335),IF(K335&gt;AC335,I335*'13_Mapa_Liq'!$C$19,0),0)</f>
        <v>0</v>
      </c>
      <c r="AE335" s="151" t="str">
        <f aca="false">IF(ISNUMBER(B335),B335*(1+1/'13_Mapa_Liq'!$B$19-'13_Mapa_Liq'!$B$6),"")</f>
        <v/>
      </c>
      <c r="AF335" s="151" t="n">
        <f aca="false">IF(ISNUMBER(B335),IF(L335&lt;AE335,J335*'13_Mapa_Liq'!$C$19,0),0)</f>
        <v>0</v>
      </c>
      <c r="AG335" s="151"/>
      <c r="AH335" s="151" t="n">
        <f aca="false">IF(ISNUMBER(B335),E335*F335*((K335&lt;=M335)*'13_Mapa_Liq'!$C$15+(K335&lt;=Q335)*'13_Mapa_Liq'!$C$16+(K335&lt;=U335)*'13_Mapa_Liq'!$C$17+(K335&lt;=Y335)*'13_Mapa_Liq'!$C$18+(K335&lt;=AC335)*'13_Mapa_Liq'!$C$19),0)</f>
        <v>0</v>
      </c>
      <c r="AI335" s="151" t="n">
        <f aca="false">IF(ISNUMBER(B335),E335*(1-F335)*((L335&gt;=O335)*'13_Mapa_Liq'!$C$15+(L335&gt;=S335)*'13_Mapa_Liq'!$C$16+(L335&gt;=W335)*'13_Mapa_Liq'!$C$17+(L335&gt;=AA335)*'13_Mapa_Liq'!$C$18+(L335&gt;=AE335)*'13_Mapa_Liq'!$C$19),0)</f>
        <v>0</v>
      </c>
    </row>
    <row r="336" customFormat="false" ht="15" hidden="false" customHeight="false" outlineLevel="0" collapsed="false">
      <c r="A336" s="151" t="str">
        <f aca="false">IF(ISNUMBER('12_Datos_5m'!F336),ROW()-4,"")</f>
        <v/>
      </c>
      <c r="B336" s="151" t="str">
        <f aca="false">IF(ISNUMBER('12_Datos_5m'!F336),'12_Datos_5m'!F336,"")</f>
        <v/>
      </c>
      <c r="C336" s="151" t="str">
        <f aca="false">IF(ISNUMBER('12_Datos_5m'!A336),'12_Datos_5m'!A336,"")</f>
        <v/>
      </c>
      <c r="D336" s="151" t="n">
        <f aca="false">IF(AND(ISNUMBER('12_Datos_5m'!I336),ISNUMBER('12_Datos_5m'!I335)),'12_Datos_5m'!I336-'12_Datos_5m'!I335,0)</f>
        <v>0</v>
      </c>
      <c r="E336" s="151" t="n">
        <f aca="false">MAX(0,D336)</f>
        <v>0</v>
      </c>
      <c r="F336" s="151" t="n">
        <f aca="false">IF(AND(ISNUMBER('12_Datos_5m'!G336),N('12_Datos_5m'!G336)&gt;0),'12_Datos_5m'!H336/'12_Datos_5m'!G336,0.5)</f>
        <v>0.5</v>
      </c>
      <c r="G336" s="151" t="n">
        <f aca="false">IF(ISNUMBER(C336),($C$2-C336)/3600000,0)</f>
        <v>0</v>
      </c>
      <c r="H336" s="151" t="n">
        <f aca="false">EXP(-G336/'13_Mapa_Liq'!$B$7)</f>
        <v>1</v>
      </c>
      <c r="I336" s="151" t="n">
        <f aca="false">E336*F336*H336</f>
        <v>0</v>
      </c>
      <c r="J336" s="151" t="n">
        <f aca="false">E336*(1-F336)*H336</f>
        <v>0</v>
      </c>
      <c r="K336" s="151" t="n">
        <f aca="false">IF(COUNT('12_Datos_5m'!E337:E$504)=0,1000000000000,MIN('12_Datos_5m'!E337:E$504))</f>
        <v>1000000000000</v>
      </c>
      <c r="L336" s="151" t="n">
        <f aca="false">IF(COUNT('12_Datos_5m'!D337:D$504)=0,0,MAX('12_Datos_5m'!D337:D$504))</f>
        <v>0</v>
      </c>
      <c r="M336" s="151" t="str">
        <f aca="false">IF(ISNUMBER(B336),B336*(1-1/'13_Mapa_Liq'!$B$15+'13_Mapa_Liq'!$B$6),"")</f>
        <v/>
      </c>
      <c r="N336" s="151" t="n">
        <f aca="false">IF(ISNUMBER(B336),IF(K336&gt;M336,I336*'13_Mapa_Liq'!$C$15,0),0)</f>
        <v>0</v>
      </c>
      <c r="O336" s="151" t="str">
        <f aca="false">IF(ISNUMBER(B336),B336*(1+1/'13_Mapa_Liq'!$B$15-'13_Mapa_Liq'!$B$6),"")</f>
        <v/>
      </c>
      <c r="P336" s="151" t="n">
        <f aca="false">IF(ISNUMBER(B336),IF(L336&lt;O336,J336*'13_Mapa_Liq'!$C$15,0),0)</f>
        <v>0</v>
      </c>
      <c r="Q336" s="151" t="str">
        <f aca="false">IF(ISNUMBER(B336),B336*(1-1/'13_Mapa_Liq'!$B$16+'13_Mapa_Liq'!$B$6),"")</f>
        <v/>
      </c>
      <c r="R336" s="151" t="n">
        <f aca="false">IF(ISNUMBER(B336),IF(K336&gt;Q336,I336*'13_Mapa_Liq'!$C$16,0),0)</f>
        <v>0</v>
      </c>
      <c r="S336" s="151" t="str">
        <f aca="false">IF(ISNUMBER(B336),B336*(1+1/'13_Mapa_Liq'!$B$16-'13_Mapa_Liq'!$B$6),"")</f>
        <v/>
      </c>
      <c r="T336" s="151" t="n">
        <f aca="false">IF(ISNUMBER(B336),IF(L336&lt;S336,J336*'13_Mapa_Liq'!$C$16,0),0)</f>
        <v>0</v>
      </c>
      <c r="U336" s="151" t="str">
        <f aca="false">IF(ISNUMBER(B336),B336*(1-1/'13_Mapa_Liq'!$B$17+'13_Mapa_Liq'!$B$6),"")</f>
        <v/>
      </c>
      <c r="V336" s="151" t="n">
        <f aca="false">IF(ISNUMBER(B336),IF(K336&gt;U336,I336*'13_Mapa_Liq'!$C$17,0),0)</f>
        <v>0</v>
      </c>
      <c r="W336" s="151" t="str">
        <f aca="false">IF(ISNUMBER(B336),B336*(1+1/'13_Mapa_Liq'!$B$17-'13_Mapa_Liq'!$B$6),"")</f>
        <v/>
      </c>
      <c r="X336" s="151" t="n">
        <f aca="false">IF(ISNUMBER(B336),IF(L336&lt;W336,J336*'13_Mapa_Liq'!$C$17,0),0)</f>
        <v>0</v>
      </c>
      <c r="Y336" s="151" t="str">
        <f aca="false">IF(ISNUMBER(B336),B336*(1-1/'13_Mapa_Liq'!$B$18+'13_Mapa_Liq'!$B$6),"")</f>
        <v/>
      </c>
      <c r="Z336" s="151" t="n">
        <f aca="false">IF(ISNUMBER(B336),IF(K336&gt;Y336,I336*'13_Mapa_Liq'!$C$18,0),0)</f>
        <v>0</v>
      </c>
      <c r="AA336" s="151" t="str">
        <f aca="false">IF(ISNUMBER(B336),B336*(1+1/'13_Mapa_Liq'!$B$18-'13_Mapa_Liq'!$B$6),"")</f>
        <v/>
      </c>
      <c r="AB336" s="151" t="n">
        <f aca="false">IF(ISNUMBER(B336),IF(L336&lt;AA336,J336*'13_Mapa_Liq'!$C$18,0),0)</f>
        <v>0</v>
      </c>
      <c r="AC336" s="151" t="str">
        <f aca="false">IF(ISNUMBER(B336),B336*(1-1/'13_Mapa_Liq'!$B$19+'13_Mapa_Liq'!$B$6),"")</f>
        <v/>
      </c>
      <c r="AD336" s="151" t="n">
        <f aca="false">IF(ISNUMBER(B336),IF(K336&gt;AC336,I336*'13_Mapa_Liq'!$C$19,0),0)</f>
        <v>0</v>
      </c>
      <c r="AE336" s="151" t="str">
        <f aca="false">IF(ISNUMBER(B336),B336*(1+1/'13_Mapa_Liq'!$B$19-'13_Mapa_Liq'!$B$6),"")</f>
        <v/>
      </c>
      <c r="AF336" s="151" t="n">
        <f aca="false">IF(ISNUMBER(B336),IF(L336&lt;AE336,J336*'13_Mapa_Liq'!$C$19,0),0)</f>
        <v>0</v>
      </c>
      <c r="AG336" s="151"/>
      <c r="AH336" s="151" t="n">
        <f aca="false">IF(ISNUMBER(B336),E336*F336*((K336&lt;=M336)*'13_Mapa_Liq'!$C$15+(K336&lt;=Q336)*'13_Mapa_Liq'!$C$16+(K336&lt;=U336)*'13_Mapa_Liq'!$C$17+(K336&lt;=Y336)*'13_Mapa_Liq'!$C$18+(K336&lt;=AC336)*'13_Mapa_Liq'!$C$19),0)</f>
        <v>0</v>
      </c>
      <c r="AI336" s="151" t="n">
        <f aca="false">IF(ISNUMBER(B336),E336*(1-F336)*((L336&gt;=O336)*'13_Mapa_Liq'!$C$15+(L336&gt;=S336)*'13_Mapa_Liq'!$C$16+(L336&gt;=W336)*'13_Mapa_Liq'!$C$17+(L336&gt;=AA336)*'13_Mapa_Liq'!$C$18+(L336&gt;=AE336)*'13_Mapa_Liq'!$C$19),0)</f>
        <v>0</v>
      </c>
    </row>
    <row r="337" customFormat="false" ht="15" hidden="false" customHeight="false" outlineLevel="0" collapsed="false">
      <c r="A337" s="151" t="str">
        <f aca="false">IF(ISNUMBER('12_Datos_5m'!F337),ROW()-4,"")</f>
        <v/>
      </c>
      <c r="B337" s="151" t="str">
        <f aca="false">IF(ISNUMBER('12_Datos_5m'!F337),'12_Datos_5m'!F337,"")</f>
        <v/>
      </c>
      <c r="C337" s="151" t="str">
        <f aca="false">IF(ISNUMBER('12_Datos_5m'!A337),'12_Datos_5m'!A337,"")</f>
        <v/>
      </c>
      <c r="D337" s="151" t="n">
        <f aca="false">IF(AND(ISNUMBER('12_Datos_5m'!I337),ISNUMBER('12_Datos_5m'!I336)),'12_Datos_5m'!I337-'12_Datos_5m'!I336,0)</f>
        <v>0</v>
      </c>
      <c r="E337" s="151" t="n">
        <f aca="false">MAX(0,D337)</f>
        <v>0</v>
      </c>
      <c r="F337" s="151" t="n">
        <f aca="false">IF(AND(ISNUMBER('12_Datos_5m'!G337),N('12_Datos_5m'!G337)&gt;0),'12_Datos_5m'!H337/'12_Datos_5m'!G337,0.5)</f>
        <v>0.5</v>
      </c>
      <c r="G337" s="151" t="n">
        <f aca="false">IF(ISNUMBER(C337),($C$2-C337)/3600000,0)</f>
        <v>0</v>
      </c>
      <c r="H337" s="151" t="n">
        <f aca="false">EXP(-G337/'13_Mapa_Liq'!$B$7)</f>
        <v>1</v>
      </c>
      <c r="I337" s="151" t="n">
        <f aca="false">E337*F337*H337</f>
        <v>0</v>
      </c>
      <c r="J337" s="151" t="n">
        <f aca="false">E337*(1-F337)*H337</f>
        <v>0</v>
      </c>
      <c r="K337" s="151" t="n">
        <f aca="false">IF(COUNT('12_Datos_5m'!E338:E$504)=0,1000000000000,MIN('12_Datos_5m'!E338:E$504))</f>
        <v>1000000000000</v>
      </c>
      <c r="L337" s="151" t="n">
        <f aca="false">IF(COUNT('12_Datos_5m'!D338:D$504)=0,0,MAX('12_Datos_5m'!D338:D$504))</f>
        <v>0</v>
      </c>
      <c r="M337" s="151" t="str">
        <f aca="false">IF(ISNUMBER(B337),B337*(1-1/'13_Mapa_Liq'!$B$15+'13_Mapa_Liq'!$B$6),"")</f>
        <v/>
      </c>
      <c r="N337" s="151" t="n">
        <f aca="false">IF(ISNUMBER(B337),IF(K337&gt;M337,I337*'13_Mapa_Liq'!$C$15,0),0)</f>
        <v>0</v>
      </c>
      <c r="O337" s="151" t="str">
        <f aca="false">IF(ISNUMBER(B337),B337*(1+1/'13_Mapa_Liq'!$B$15-'13_Mapa_Liq'!$B$6),"")</f>
        <v/>
      </c>
      <c r="P337" s="151" t="n">
        <f aca="false">IF(ISNUMBER(B337),IF(L337&lt;O337,J337*'13_Mapa_Liq'!$C$15,0),0)</f>
        <v>0</v>
      </c>
      <c r="Q337" s="151" t="str">
        <f aca="false">IF(ISNUMBER(B337),B337*(1-1/'13_Mapa_Liq'!$B$16+'13_Mapa_Liq'!$B$6),"")</f>
        <v/>
      </c>
      <c r="R337" s="151" t="n">
        <f aca="false">IF(ISNUMBER(B337),IF(K337&gt;Q337,I337*'13_Mapa_Liq'!$C$16,0),0)</f>
        <v>0</v>
      </c>
      <c r="S337" s="151" t="str">
        <f aca="false">IF(ISNUMBER(B337),B337*(1+1/'13_Mapa_Liq'!$B$16-'13_Mapa_Liq'!$B$6),"")</f>
        <v/>
      </c>
      <c r="T337" s="151" t="n">
        <f aca="false">IF(ISNUMBER(B337),IF(L337&lt;S337,J337*'13_Mapa_Liq'!$C$16,0),0)</f>
        <v>0</v>
      </c>
      <c r="U337" s="151" t="str">
        <f aca="false">IF(ISNUMBER(B337),B337*(1-1/'13_Mapa_Liq'!$B$17+'13_Mapa_Liq'!$B$6),"")</f>
        <v/>
      </c>
      <c r="V337" s="151" t="n">
        <f aca="false">IF(ISNUMBER(B337),IF(K337&gt;U337,I337*'13_Mapa_Liq'!$C$17,0),0)</f>
        <v>0</v>
      </c>
      <c r="W337" s="151" t="str">
        <f aca="false">IF(ISNUMBER(B337),B337*(1+1/'13_Mapa_Liq'!$B$17-'13_Mapa_Liq'!$B$6),"")</f>
        <v/>
      </c>
      <c r="X337" s="151" t="n">
        <f aca="false">IF(ISNUMBER(B337),IF(L337&lt;W337,J337*'13_Mapa_Liq'!$C$17,0),0)</f>
        <v>0</v>
      </c>
      <c r="Y337" s="151" t="str">
        <f aca="false">IF(ISNUMBER(B337),B337*(1-1/'13_Mapa_Liq'!$B$18+'13_Mapa_Liq'!$B$6),"")</f>
        <v/>
      </c>
      <c r="Z337" s="151" t="n">
        <f aca="false">IF(ISNUMBER(B337),IF(K337&gt;Y337,I337*'13_Mapa_Liq'!$C$18,0),0)</f>
        <v>0</v>
      </c>
      <c r="AA337" s="151" t="str">
        <f aca="false">IF(ISNUMBER(B337),B337*(1+1/'13_Mapa_Liq'!$B$18-'13_Mapa_Liq'!$B$6),"")</f>
        <v/>
      </c>
      <c r="AB337" s="151" t="n">
        <f aca="false">IF(ISNUMBER(B337),IF(L337&lt;AA337,J337*'13_Mapa_Liq'!$C$18,0),0)</f>
        <v>0</v>
      </c>
      <c r="AC337" s="151" t="str">
        <f aca="false">IF(ISNUMBER(B337),B337*(1-1/'13_Mapa_Liq'!$B$19+'13_Mapa_Liq'!$B$6),"")</f>
        <v/>
      </c>
      <c r="AD337" s="151" t="n">
        <f aca="false">IF(ISNUMBER(B337),IF(K337&gt;AC337,I337*'13_Mapa_Liq'!$C$19,0),0)</f>
        <v>0</v>
      </c>
      <c r="AE337" s="151" t="str">
        <f aca="false">IF(ISNUMBER(B337),B337*(1+1/'13_Mapa_Liq'!$B$19-'13_Mapa_Liq'!$B$6),"")</f>
        <v/>
      </c>
      <c r="AF337" s="151" t="n">
        <f aca="false">IF(ISNUMBER(B337),IF(L337&lt;AE337,J337*'13_Mapa_Liq'!$C$19,0),0)</f>
        <v>0</v>
      </c>
      <c r="AG337" s="151"/>
      <c r="AH337" s="151" t="n">
        <f aca="false">IF(ISNUMBER(B337),E337*F337*((K337&lt;=M337)*'13_Mapa_Liq'!$C$15+(K337&lt;=Q337)*'13_Mapa_Liq'!$C$16+(K337&lt;=U337)*'13_Mapa_Liq'!$C$17+(K337&lt;=Y337)*'13_Mapa_Liq'!$C$18+(K337&lt;=AC337)*'13_Mapa_Liq'!$C$19),0)</f>
        <v>0</v>
      </c>
      <c r="AI337" s="151" t="n">
        <f aca="false">IF(ISNUMBER(B337),E337*(1-F337)*((L337&gt;=O337)*'13_Mapa_Liq'!$C$15+(L337&gt;=S337)*'13_Mapa_Liq'!$C$16+(L337&gt;=W337)*'13_Mapa_Liq'!$C$17+(L337&gt;=AA337)*'13_Mapa_Liq'!$C$18+(L337&gt;=AE337)*'13_Mapa_Liq'!$C$19),0)</f>
        <v>0</v>
      </c>
    </row>
    <row r="338" customFormat="false" ht="15" hidden="false" customHeight="false" outlineLevel="0" collapsed="false">
      <c r="A338" s="151" t="str">
        <f aca="false">IF(ISNUMBER('12_Datos_5m'!F338),ROW()-4,"")</f>
        <v/>
      </c>
      <c r="B338" s="151" t="str">
        <f aca="false">IF(ISNUMBER('12_Datos_5m'!F338),'12_Datos_5m'!F338,"")</f>
        <v/>
      </c>
      <c r="C338" s="151" t="str">
        <f aca="false">IF(ISNUMBER('12_Datos_5m'!A338),'12_Datos_5m'!A338,"")</f>
        <v/>
      </c>
      <c r="D338" s="151" t="n">
        <f aca="false">IF(AND(ISNUMBER('12_Datos_5m'!I338),ISNUMBER('12_Datos_5m'!I337)),'12_Datos_5m'!I338-'12_Datos_5m'!I337,0)</f>
        <v>0</v>
      </c>
      <c r="E338" s="151" t="n">
        <f aca="false">MAX(0,D338)</f>
        <v>0</v>
      </c>
      <c r="F338" s="151" t="n">
        <f aca="false">IF(AND(ISNUMBER('12_Datos_5m'!G338),N('12_Datos_5m'!G338)&gt;0),'12_Datos_5m'!H338/'12_Datos_5m'!G338,0.5)</f>
        <v>0.5</v>
      </c>
      <c r="G338" s="151" t="n">
        <f aca="false">IF(ISNUMBER(C338),($C$2-C338)/3600000,0)</f>
        <v>0</v>
      </c>
      <c r="H338" s="151" t="n">
        <f aca="false">EXP(-G338/'13_Mapa_Liq'!$B$7)</f>
        <v>1</v>
      </c>
      <c r="I338" s="151" t="n">
        <f aca="false">E338*F338*H338</f>
        <v>0</v>
      </c>
      <c r="J338" s="151" t="n">
        <f aca="false">E338*(1-F338)*H338</f>
        <v>0</v>
      </c>
      <c r="K338" s="151" t="n">
        <f aca="false">IF(COUNT('12_Datos_5m'!E339:E$504)=0,1000000000000,MIN('12_Datos_5m'!E339:E$504))</f>
        <v>1000000000000</v>
      </c>
      <c r="L338" s="151" t="n">
        <f aca="false">IF(COUNT('12_Datos_5m'!D339:D$504)=0,0,MAX('12_Datos_5m'!D339:D$504))</f>
        <v>0</v>
      </c>
      <c r="M338" s="151" t="str">
        <f aca="false">IF(ISNUMBER(B338),B338*(1-1/'13_Mapa_Liq'!$B$15+'13_Mapa_Liq'!$B$6),"")</f>
        <v/>
      </c>
      <c r="N338" s="151" t="n">
        <f aca="false">IF(ISNUMBER(B338),IF(K338&gt;M338,I338*'13_Mapa_Liq'!$C$15,0),0)</f>
        <v>0</v>
      </c>
      <c r="O338" s="151" t="str">
        <f aca="false">IF(ISNUMBER(B338),B338*(1+1/'13_Mapa_Liq'!$B$15-'13_Mapa_Liq'!$B$6),"")</f>
        <v/>
      </c>
      <c r="P338" s="151" t="n">
        <f aca="false">IF(ISNUMBER(B338),IF(L338&lt;O338,J338*'13_Mapa_Liq'!$C$15,0),0)</f>
        <v>0</v>
      </c>
      <c r="Q338" s="151" t="str">
        <f aca="false">IF(ISNUMBER(B338),B338*(1-1/'13_Mapa_Liq'!$B$16+'13_Mapa_Liq'!$B$6),"")</f>
        <v/>
      </c>
      <c r="R338" s="151" t="n">
        <f aca="false">IF(ISNUMBER(B338),IF(K338&gt;Q338,I338*'13_Mapa_Liq'!$C$16,0),0)</f>
        <v>0</v>
      </c>
      <c r="S338" s="151" t="str">
        <f aca="false">IF(ISNUMBER(B338),B338*(1+1/'13_Mapa_Liq'!$B$16-'13_Mapa_Liq'!$B$6),"")</f>
        <v/>
      </c>
      <c r="T338" s="151" t="n">
        <f aca="false">IF(ISNUMBER(B338),IF(L338&lt;S338,J338*'13_Mapa_Liq'!$C$16,0),0)</f>
        <v>0</v>
      </c>
      <c r="U338" s="151" t="str">
        <f aca="false">IF(ISNUMBER(B338),B338*(1-1/'13_Mapa_Liq'!$B$17+'13_Mapa_Liq'!$B$6),"")</f>
        <v/>
      </c>
      <c r="V338" s="151" t="n">
        <f aca="false">IF(ISNUMBER(B338),IF(K338&gt;U338,I338*'13_Mapa_Liq'!$C$17,0),0)</f>
        <v>0</v>
      </c>
      <c r="W338" s="151" t="str">
        <f aca="false">IF(ISNUMBER(B338),B338*(1+1/'13_Mapa_Liq'!$B$17-'13_Mapa_Liq'!$B$6),"")</f>
        <v/>
      </c>
      <c r="X338" s="151" t="n">
        <f aca="false">IF(ISNUMBER(B338),IF(L338&lt;W338,J338*'13_Mapa_Liq'!$C$17,0),0)</f>
        <v>0</v>
      </c>
      <c r="Y338" s="151" t="str">
        <f aca="false">IF(ISNUMBER(B338),B338*(1-1/'13_Mapa_Liq'!$B$18+'13_Mapa_Liq'!$B$6),"")</f>
        <v/>
      </c>
      <c r="Z338" s="151" t="n">
        <f aca="false">IF(ISNUMBER(B338),IF(K338&gt;Y338,I338*'13_Mapa_Liq'!$C$18,0),0)</f>
        <v>0</v>
      </c>
      <c r="AA338" s="151" t="str">
        <f aca="false">IF(ISNUMBER(B338),B338*(1+1/'13_Mapa_Liq'!$B$18-'13_Mapa_Liq'!$B$6),"")</f>
        <v/>
      </c>
      <c r="AB338" s="151" t="n">
        <f aca="false">IF(ISNUMBER(B338),IF(L338&lt;AA338,J338*'13_Mapa_Liq'!$C$18,0),0)</f>
        <v>0</v>
      </c>
      <c r="AC338" s="151" t="str">
        <f aca="false">IF(ISNUMBER(B338),B338*(1-1/'13_Mapa_Liq'!$B$19+'13_Mapa_Liq'!$B$6),"")</f>
        <v/>
      </c>
      <c r="AD338" s="151" t="n">
        <f aca="false">IF(ISNUMBER(B338),IF(K338&gt;AC338,I338*'13_Mapa_Liq'!$C$19,0),0)</f>
        <v>0</v>
      </c>
      <c r="AE338" s="151" t="str">
        <f aca="false">IF(ISNUMBER(B338),B338*(1+1/'13_Mapa_Liq'!$B$19-'13_Mapa_Liq'!$B$6),"")</f>
        <v/>
      </c>
      <c r="AF338" s="151" t="n">
        <f aca="false">IF(ISNUMBER(B338),IF(L338&lt;AE338,J338*'13_Mapa_Liq'!$C$19,0),0)</f>
        <v>0</v>
      </c>
      <c r="AG338" s="151"/>
      <c r="AH338" s="151" t="n">
        <f aca="false">IF(ISNUMBER(B338),E338*F338*((K338&lt;=M338)*'13_Mapa_Liq'!$C$15+(K338&lt;=Q338)*'13_Mapa_Liq'!$C$16+(K338&lt;=U338)*'13_Mapa_Liq'!$C$17+(K338&lt;=Y338)*'13_Mapa_Liq'!$C$18+(K338&lt;=AC338)*'13_Mapa_Liq'!$C$19),0)</f>
        <v>0</v>
      </c>
      <c r="AI338" s="151" t="n">
        <f aca="false">IF(ISNUMBER(B338),E338*(1-F338)*((L338&gt;=O338)*'13_Mapa_Liq'!$C$15+(L338&gt;=S338)*'13_Mapa_Liq'!$C$16+(L338&gt;=W338)*'13_Mapa_Liq'!$C$17+(L338&gt;=AA338)*'13_Mapa_Liq'!$C$18+(L338&gt;=AE338)*'13_Mapa_Liq'!$C$19),0)</f>
        <v>0</v>
      </c>
    </row>
    <row r="339" customFormat="false" ht="15" hidden="false" customHeight="false" outlineLevel="0" collapsed="false">
      <c r="A339" s="151" t="str">
        <f aca="false">IF(ISNUMBER('12_Datos_5m'!F339),ROW()-4,"")</f>
        <v/>
      </c>
      <c r="B339" s="151" t="str">
        <f aca="false">IF(ISNUMBER('12_Datos_5m'!F339),'12_Datos_5m'!F339,"")</f>
        <v/>
      </c>
      <c r="C339" s="151" t="str">
        <f aca="false">IF(ISNUMBER('12_Datos_5m'!A339),'12_Datos_5m'!A339,"")</f>
        <v/>
      </c>
      <c r="D339" s="151" t="n">
        <f aca="false">IF(AND(ISNUMBER('12_Datos_5m'!I339),ISNUMBER('12_Datos_5m'!I338)),'12_Datos_5m'!I339-'12_Datos_5m'!I338,0)</f>
        <v>0</v>
      </c>
      <c r="E339" s="151" t="n">
        <f aca="false">MAX(0,D339)</f>
        <v>0</v>
      </c>
      <c r="F339" s="151" t="n">
        <f aca="false">IF(AND(ISNUMBER('12_Datos_5m'!G339),N('12_Datos_5m'!G339)&gt;0),'12_Datos_5m'!H339/'12_Datos_5m'!G339,0.5)</f>
        <v>0.5</v>
      </c>
      <c r="G339" s="151" t="n">
        <f aca="false">IF(ISNUMBER(C339),($C$2-C339)/3600000,0)</f>
        <v>0</v>
      </c>
      <c r="H339" s="151" t="n">
        <f aca="false">EXP(-G339/'13_Mapa_Liq'!$B$7)</f>
        <v>1</v>
      </c>
      <c r="I339" s="151" t="n">
        <f aca="false">E339*F339*H339</f>
        <v>0</v>
      </c>
      <c r="J339" s="151" t="n">
        <f aca="false">E339*(1-F339)*H339</f>
        <v>0</v>
      </c>
      <c r="K339" s="151" t="n">
        <f aca="false">IF(COUNT('12_Datos_5m'!E340:E$504)=0,1000000000000,MIN('12_Datos_5m'!E340:E$504))</f>
        <v>1000000000000</v>
      </c>
      <c r="L339" s="151" t="n">
        <f aca="false">IF(COUNT('12_Datos_5m'!D340:D$504)=0,0,MAX('12_Datos_5m'!D340:D$504))</f>
        <v>0</v>
      </c>
      <c r="M339" s="151" t="str">
        <f aca="false">IF(ISNUMBER(B339),B339*(1-1/'13_Mapa_Liq'!$B$15+'13_Mapa_Liq'!$B$6),"")</f>
        <v/>
      </c>
      <c r="N339" s="151" t="n">
        <f aca="false">IF(ISNUMBER(B339),IF(K339&gt;M339,I339*'13_Mapa_Liq'!$C$15,0),0)</f>
        <v>0</v>
      </c>
      <c r="O339" s="151" t="str">
        <f aca="false">IF(ISNUMBER(B339),B339*(1+1/'13_Mapa_Liq'!$B$15-'13_Mapa_Liq'!$B$6),"")</f>
        <v/>
      </c>
      <c r="P339" s="151" t="n">
        <f aca="false">IF(ISNUMBER(B339),IF(L339&lt;O339,J339*'13_Mapa_Liq'!$C$15,0),0)</f>
        <v>0</v>
      </c>
      <c r="Q339" s="151" t="str">
        <f aca="false">IF(ISNUMBER(B339),B339*(1-1/'13_Mapa_Liq'!$B$16+'13_Mapa_Liq'!$B$6),"")</f>
        <v/>
      </c>
      <c r="R339" s="151" t="n">
        <f aca="false">IF(ISNUMBER(B339),IF(K339&gt;Q339,I339*'13_Mapa_Liq'!$C$16,0),0)</f>
        <v>0</v>
      </c>
      <c r="S339" s="151" t="str">
        <f aca="false">IF(ISNUMBER(B339),B339*(1+1/'13_Mapa_Liq'!$B$16-'13_Mapa_Liq'!$B$6),"")</f>
        <v/>
      </c>
      <c r="T339" s="151" t="n">
        <f aca="false">IF(ISNUMBER(B339),IF(L339&lt;S339,J339*'13_Mapa_Liq'!$C$16,0),0)</f>
        <v>0</v>
      </c>
      <c r="U339" s="151" t="str">
        <f aca="false">IF(ISNUMBER(B339),B339*(1-1/'13_Mapa_Liq'!$B$17+'13_Mapa_Liq'!$B$6),"")</f>
        <v/>
      </c>
      <c r="V339" s="151" t="n">
        <f aca="false">IF(ISNUMBER(B339),IF(K339&gt;U339,I339*'13_Mapa_Liq'!$C$17,0),0)</f>
        <v>0</v>
      </c>
      <c r="W339" s="151" t="str">
        <f aca="false">IF(ISNUMBER(B339),B339*(1+1/'13_Mapa_Liq'!$B$17-'13_Mapa_Liq'!$B$6),"")</f>
        <v/>
      </c>
      <c r="X339" s="151" t="n">
        <f aca="false">IF(ISNUMBER(B339),IF(L339&lt;W339,J339*'13_Mapa_Liq'!$C$17,0),0)</f>
        <v>0</v>
      </c>
      <c r="Y339" s="151" t="str">
        <f aca="false">IF(ISNUMBER(B339),B339*(1-1/'13_Mapa_Liq'!$B$18+'13_Mapa_Liq'!$B$6),"")</f>
        <v/>
      </c>
      <c r="Z339" s="151" t="n">
        <f aca="false">IF(ISNUMBER(B339),IF(K339&gt;Y339,I339*'13_Mapa_Liq'!$C$18,0),0)</f>
        <v>0</v>
      </c>
      <c r="AA339" s="151" t="str">
        <f aca="false">IF(ISNUMBER(B339),B339*(1+1/'13_Mapa_Liq'!$B$18-'13_Mapa_Liq'!$B$6),"")</f>
        <v/>
      </c>
      <c r="AB339" s="151" t="n">
        <f aca="false">IF(ISNUMBER(B339),IF(L339&lt;AA339,J339*'13_Mapa_Liq'!$C$18,0),0)</f>
        <v>0</v>
      </c>
      <c r="AC339" s="151" t="str">
        <f aca="false">IF(ISNUMBER(B339),B339*(1-1/'13_Mapa_Liq'!$B$19+'13_Mapa_Liq'!$B$6),"")</f>
        <v/>
      </c>
      <c r="AD339" s="151" t="n">
        <f aca="false">IF(ISNUMBER(B339),IF(K339&gt;AC339,I339*'13_Mapa_Liq'!$C$19,0),0)</f>
        <v>0</v>
      </c>
      <c r="AE339" s="151" t="str">
        <f aca="false">IF(ISNUMBER(B339),B339*(1+1/'13_Mapa_Liq'!$B$19-'13_Mapa_Liq'!$B$6),"")</f>
        <v/>
      </c>
      <c r="AF339" s="151" t="n">
        <f aca="false">IF(ISNUMBER(B339),IF(L339&lt;AE339,J339*'13_Mapa_Liq'!$C$19,0),0)</f>
        <v>0</v>
      </c>
      <c r="AG339" s="151"/>
      <c r="AH339" s="151" t="n">
        <f aca="false">IF(ISNUMBER(B339),E339*F339*((K339&lt;=M339)*'13_Mapa_Liq'!$C$15+(K339&lt;=Q339)*'13_Mapa_Liq'!$C$16+(K339&lt;=U339)*'13_Mapa_Liq'!$C$17+(K339&lt;=Y339)*'13_Mapa_Liq'!$C$18+(K339&lt;=AC339)*'13_Mapa_Liq'!$C$19),0)</f>
        <v>0</v>
      </c>
      <c r="AI339" s="151" t="n">
        <f aca="false">IF(ISNUMBER(B339),E339*(1-F339)*((L339&gt;=O339)*'13_Mapa_Liq'!$C$15+(L339&gt;=S339)*'13_Mapa_Liq'!$C$16+(L339&gt;=W339)*'13_Mapa_Liq'!$C$17+(L339&gt;=AA339)*'13_Mapa_Liq'!$C$18+(L339&gt;=AE339)*'13_Mapa_Liq'!$C$19),0)</f>
        <v>0</v>
      </c>
    </row>
    <row r="340" customFormat="false" ht="15" hidden="false" customHeight="false" outlineLevel="0" collapsed="false">
      <c r="A340" s="151" t="str">
        <f aca="false">IF(ISNUMBER('12_Datos_5m'!F340),ROW()-4,"")</f>
        <v/>
      </c>
      <c r="B340" s="151" t="str">
        <f aca="false">IF(ISNUMBER('12_Datos_5m'!F340),'12_Datos_5m'!F340,"")</f>
        <v/>
      </c>
      <c r="C340" s="151" t="str">
        <f aca="false">IF(ISNUMBER('12_Datos_5m'!A340),'12_Datos_5m'!A340,"")</f>
        <v/>
      </c>
      <c r="D340" s="151" t="n">
        <f aca="false">IF(AND(ISNUMBER('12_Datos_5m'!I340),ISNUMBER('12_Datos_5m'!I339)),'12_Datos_5m'!I340-'12_Datos_5m'!I339,0)</f>
        <v>0</v>
      </c>
      <c r="E340" s="151" t="n">
        <f aca="false">MAX(0,D340)</f>
        <v>0</v>
      </c>
      <c r="F340" s="151" t="n">
        <f aca="false">IF(AND(ISNUMBER('12_Datos_5m'!G340),N('12_Datos_5m'!G340)&gt;0),'12_Datos_5m'!H340/'12_Datos_5m'!G340,0.5)</f>
        <v>0.5</v>
      </c>
      <c r="G340" s="151" t="n">
        <f aca="false">IF(ISNUMBER(C340),($C$2-C340)/3600000,0)</f>
        <v>0</v>
      </c>
      <c r="H340" s="151" t="n">
        <f aca="false">EXP(-G340/'13_Mapa_Liq'!$B$7)</f>
        <v>1</v>
      </c>
      <c r="I340" s="151" t="n">
        <f aca="false">E340*F340*H340</f>
        <v>0</v>
      </c>
      <c r="J340" s="151" t="n">
        <f aca="false">E340*(1-F340)*H340</f>
        <v>0</v>
      </c>
      <c r="K340" s="151" t="n">
        <f aca="false">IF(COUNT('12_Datos_5m'!E341:E$504)=0,1000000000000,MIN('12_Datos_5m'!E341:E$504))</f>
        <v>1000000000000</v>
      </c>
      <c r="L340" s="151" t="n">
        <f aca="false">IF(COUNT('12_Datos_5m'!D341:D$504)=0,0,MAX('12_Datos_5m'!D341:D$504))</f>
        <v>0</v>
      </c>
      <c r="M340" s="151" t="str">
        <f aca="false">IF(ISNUMBER(B340),B340*(1-1/'13_Mapa_Liq'!$B$15+'13_Mapa_Liq'!$B$6),"")</f>
        <v/>
      </c>
      <c r="N340" s="151" t="n">
        <f aca="false">IF(ISNUMBER(B340),IF(K340&gt;M340,I340*'13_Mapa_Liq'!$C$15,0),0)</f>
        <v>0</v>
      </c>
      <c r="O340" s="151" t="str">
        <f aca="false">IF(ISNUMBER(B340),B340*(1+1/'13_Mapa_Liq'!$B$15-'13_Mapa_Liq'!$B$6),"")</f>
        <v/>
      </c>
      <c r="P340" s="151" t="n">
        <f aca="false">IF(ISNUMBER(B340),IF(L340&lt;O340,J340*'13_Mapa_Liq'!$C$15,0),0)</f>
        <v>0</v>
      </c>
      <c r="Q340" s="151" t="str">
        <f aca="false">IF(ISNUMBER(B340),B340*(1-1/'13_Mapa_Liq'!$B$16+'13_Mapa_Liq'!$B$6),"")</f>
        <v/>
      </c>
      <c r="R340" s="151" t="n">
        <f aca="false">IF(ISNUMBER(B340),IF(K340&gt;Q340,I340*'13_Mapa_Liq'!$C$16,0),0)</f>
        <v>0</v>
      </c>
      <c r="S340" s="151" t="str">
        <f aca="false">IF(ISNUMBER(B340),B340*(1+1/'13_Mapa_Liq'!$B$16-'13_Mapa_Liq'!$B$6),"")</f>
        <v/>
      </c>
      <c r="T340" s="151" t="n">
        <f aca="false">IF(ISNUMBER(B340),IF(L340&lt;S340,J340*'13_Mapa_Liq'!$C$16,0),0)</f>
        <v>0</v>
      </c>
      <c r="U340" s="151" t="str">
        <f aca="false">IF(ISNUMBER(B340),B340*(1-1/'13_Mapa_Liq'!$B$17+'13_Mapa_Liq'!$B$6),"")</f>
        <v/>
      </c>
      <c r="V340" s="151" t="n">
        <f aca="false">IF(ISNUMBER(B340),IF(K340&gt;U340,I340*'13_Mapa_Liq'!$C$17,0),0)</f>
        <v>0</v>
      </c>
      <c r="W340" s="151" t="str">
        <f aca="false">IF(ISNUMBER(B340),B340*(1+1/'13_Mapa_Liq'!$B$17-'13_Mapa_Liq'!$B$6),"")</f>
        <v/>
      </c>
      <c r="X340" s="151" t="n">
        <f aca="false">IF(ISNUMBER(B340),IF(L340&lt;W340,J340*'13_Mapa_Liq'!$C$17,0),0)</f>
        <v>0</v>
      </c>
      <c r="Y340" s="151" t="str">
        <f aca="false">IF(ISNUMBER(B340),B340*(1-1/'13_Mapa_Liq'!$B$18+'13_Mapa_Liq'!$B$6),"")</f>
        <v/>
      </c>
      <c r="Z340" s="151" t="n">
        <f aca="false">IF(ISNUMBER(B340),IF(K340&gt;Y340,I340*'13_Mapa_Liq'!$C$18,0),0)</f>
        <v>0</v>
      </c>
      <c r="AA340" s="151" t="str">
        <f aca="false">IF(ISNUMBER(B340),B340*(1+1/'13_Mapa_Liq'!$B$18-'13_Mapa_Liq'!$B$6),"")</f>
        <v/>
      </c>
      <c r="AB340" s="151" t="n">
        <f aca="false">IF(ISNUMBER(B340),IF(L340&lt;AA340,J340*'13_Mapa_Liq'!$C$18,0),0)</f>
        <v>0</v>
      </c>
      <c r="AC340" s="151" t="str">
        <f aca="false">IF(ISNUMBER(B340),B340*(1-1/'13_Mapa_Liq'!$B$19+'13_Mapa_Liq'!$B$6),"")</f>
        <v/>
      </c>
      <c r="AD340" s="151" t="n">
        <f aca="false">IF(ISNUMBER(B340),IF(K340&gt;AC340,I340*'13_Mapa_Liq'!$C$19,0),0)</f>
        <v>0</v>
      </c>
      <c r="AE340" s="151" t="str">
        <f aca="false">IF(ISNUMBER(B340),B340*(1+1/'13_Mapa_Liq'!$B$19-'13_Mapa_Liq'!$B$6),"")</f>
        <v/>
      </c>
      <c r="AF340" s="151" t="n">
        <f aca="false">IF(ISNUMBER(B340),IF(L340&lt;AE340,J340*'13_Mapa_Liq'!$C$19,0),0)</f>
        <v>0</v>
      </c>
      <c r="AG340" s="151"/>
      <c r="AH340" s="151" t="n">
        <f aca="false">IF(ISNUMBER(B340),E340*F340*((K340&lt;=M340)*'13_Mapa_Liq'!$C$15+(K340&lt;=Q340)*'13_Mapa_Liq'!$C$16+(K340&lt;=U340)*'13_Mapa_Liq'!$C$17+(K340&lt;=Y340)*'13_Mapa_Liq'!$C$18+(K340&lt;=AC340)*'13_Mapa_Liq'!$C$19),0)</f>
        <v>0</v>
      </c>
      <c r="AI340" s="151" t="n">
        <f aca="false">IF(ISNUMBER(B340),E340*(1-F340)*((L340&gt;=O340)*'13_Mapa_Liq'!$C$15+(L340&gt;=S340)*'13_Mapa_Liq'!$C$16+(L340&gt;=W340)*'13_Mapa_Liq'!$C$17+(L340&gt;=AA340)*'13_Mapa_Liq'!$C$18+(L340&gt;=AE340)*'13_Mapa_Liq'!$C$19),0)</f>
        <v>0</v>
      </c>
    </row>
    <row r="341" customFormat="false" ht="15" hidden="false" customHeight="false" outlineLevel="0" collapsed="false">
      <c r="A341" s="151" t="str">
        <f aca="false">IF(ISNUMBER('12_Datos_5m'!F341),ROW()-4,"")</f>
        <v/>
      </c>
      <c r="B341" s="151" t="str">
        <f aca="false">IF(ISNUMBER('12_Datos_5m'!F341),'12_Datos_5m'!F341,"")</f>
        <v/>
      </c>
      <c r="C341" s="151" t="str">
        <f aca="false">IF(ISNUMBER('12_Datos_5m'!A341),'12_Datos_5m'!A341,"")</f>
        <v/>
      </c>
      <c r="D341" s="151" t="n">
        <f aca="false">IF(AND(ISNUMBER('12_Datos_5m'!I341),ISNUMBER('12_Datos_5m'!I340)),'12_Datos_5m'!I341-'12_Datos_5m'!I340,0)</f>
        <v>0</v>
      </c>
      <c r="E341" s="151" t="n">
        <f aca="false">MAX(0,D341)</f>
        <v>0</v>
      </c>
      <c r="F341" s="151" t="n">
        <f aca="false">IF(AND(ISNUMBER('12_Datos_5m'!G341),N('12_Datos_5m'!G341)&gt;0),'12_Datos_5m'!H341/'12_Datos_5m'!G341,0.5)</f>
        <v>0.5</v>
      </c>
      <c r="G341" s="151" t="n">
        <f aca="false">IF(ISNUMBER(C341),($C$2-C341)/3600000,0)</f>
        <v>0</v>
      </c>
      <c r="H341" s="151" t="n">
        <f aca="false">EXP(-G341/'13_Mapa_Liq'!$B$7)</f>
        <v>1</v>
      </c>
      <c r="I341" s="151" t="n">
        <f aca="false">E341*F341*H341</f>
        <v>0</v>
      </c>
      <c r="J341" s="151" t="n">
        <f aca="false">E341*(1-F341)*H341</f>
        <v>0</v>
      </c>
      <c r="K341" s="151" t="n">
        <f aca="false">IF(COUNT('12_Datos_5m'!E342:E$504)=0,1000000000000,MIN('12_Datos_5m'!E342:E$504))</f>
        <v>1000000000000</v>
      </c>
      <c r="L341" s="151" t="n">
        <f aca="false">IF(COUNT('12_Datos_5m'!D342:D$504)=0,0,MAX('12_Datos_5m'!D342:D$504))</f>
        <v>0</v>
      </c>
      <c r="M341" s="151" t="str">
        <f aca="false">IF(ISNUMBER(B341),B341*(1-1/'13_Mapa_Liq'!$B$15+'13_Mapa_Liq'!$B$6),"")</f>
        <v/>
      </c>
      <c r="N341" s="151" t="n">
        <f aca="false">IF(ISNUMBER(B341),IF(K341&gt;M341,I341*'13_Mapa_Liq'!$C$15,0),0)</f>
        <v>0</v>
      </c>
      <c r="O341" s="151" t="str">
        <f aca="false">IF(ISNUMBER(B341),B341*(1+1/'13_Mapa_Liq'!$B$15-'13_Mapa_Liq'!$B$6),"")</f>
        <v/>
      </c>
      <c r="P341" s="151" t="n">
        <f aca="false">IF(ISNUMBER(B341),IF(L341&lt;O341,J341*'13_Mapa_Liq'!$C$15,0),0)</f>
        <v>0</v>
      </c>
      <c r="Q341" s="151" t="str">
        <f aca="false">IF(ISNUMBER(B341),B341*(1-1/'13_Mapa_Liq'!$B$16+'13_Mapa_Liq'!$B$6),"")</f>
        <v/>
      </c>
      <c r="R341" s="151" t="n">
        <f aca="false">IF(ISNUMBER(B341),IF(K341&gt;Q341,I341*'13_Mapa_Liq'!$C$16,0),0)</f>
        <v>0</v>
      </c>
      <c r="S341" s="151" t="str">
        <f aca="false">IF(ISNUMBER(B341),B341*(1+1/'13_Mapa_Liq'!$B$16-'13_Mapa_Liq'!$B$6),"")</f>
        <v/>
      </c>
      <c r="T341" s="151" t="n">
        <f aca="false">IF(ISNUMBER(B341),IF(L341&lt;S341,J341*'13_Mapa_Liq'!$C$16,0),0)</f>
        <v>0</v>
      </c>
      <c r="U341" s="151" t="str">
        <f aca="false">IF(ISNUMBER(B341),B341*(1-1/'13_Mapa_Liq'!$B$17+'13_Mapa_Liq'!$B$6),"")</f>
        <v/>
      </c>
      <c r="V341" s="151" t="n">
        <f aca="false">IF(ISNUMBER(B341),IF(K341&gt;U341,I341*'13_Mapa_Liq'!$C$17,0),0)</f>
        <v>0</v>
      </c>
      <c r="W341" s="151" t="str">
        <f aca="false">IF(ISNUMBER(B341),B341*(1+1/'13_Mapa_Liq'!$B$17-'13_Mapa_Liq'!$B$6),"")</f>
        <v/>
      </c>
      <c r="X341" s="151" t="n">
        <f aca="false">IF(ISNUMBER(B341),IF(L341&lt;W341,J341*'13_Mapa_Liq'!$C$17,0),0)</f>
        <v>0</v>
      </c>
      <c r="Y341" s="151" t="str">
        <f aca="false">IF(ISNUMBER(B341),B341*(1-1/'13_Mapa_Liq'!$B$18+'13_Mapa_Liq'!$B$6),"")</f>
        <v/>
      </c>
      <c r="Z341" s="151" t="n">
        <f aca="false">IF(ISNUMBER(B341),IF(K341&gt;Y341,I341*'13_Mapa_Liq'!$C$18,0),0)</f>
        <v>0</v>
      </c>
      <c r="AA341" s="151" t="str">
        <f aca="false">IF(ISNUMBER(B341),B341*(1+1/'13_Mapa_Liq'!$B$18-'13_Mapa_Liq'!$B$6),"")</f>
        <v/>
      </c>
      <c r="AB341" s="151" t="n">
        <f aca="false">IF(ISNUMBER(B341),IF(L341&lt;AA341,J341*'13_Mapa_Liq'!$C$18,0),0)</f>
        <v>0</v>
      </c>
      <c r="AC341" s="151" t="str">
        <f aca="false">IF(ISNUMBER(B341),B341*(1-1/'13_Mapa_Liq'!$B$19+'13_Mapa_Liq'!$B$6),"")</f>
        <v/>
      </c>
      <c r="AD341" s="151" t="n">
        <f aca="false">IF(ISNUMBER(B341),IF(K341&gt;AC341,I341*'13_Mapa_Liq'!$C$19,0),0)</f>
        <v>0</v>
      </c>
      <c r="AE341" s="151" t="str">
        <f aca="false">IF(ISNUMBER(B341),B341*(1+1/'13_Mapa_Liq'!$B$19-'13_Mapa_Liq'!$B$6),"")</f>
        <v/>
      </c>
      <c r="AF341" s="151" t="n">
        <f aca="false">IF(ISNUMBER(B341),IF(L341&lt;AE341,J341*'13_Mapa_Liq'!$C$19,0),0)</f>
        <v>0</v>
      </c>
      <c r="AG341" s="151"/>
      <c r="AH341" s="151" t="n">
        <f aca="false">IF(ISNUMBER(B341),E341*F341*((K341&lt;=M341)*'13_Mapa_Liq'!$C$15+(K341&lt;=Q341)*'13_Mapa_Liq'!$C$16+(K341&lt;=U341)*'13_Mapa_Liq'!$C$17+(K341&lt;=Y341)*'13_Mapa_Liq'!$C$18+(K341&lt;=AC341)*'13_Mapa_Liq'!$C$19),0)</f>
        <v>0</v>
      </c>
      <c r="AI341" s="151" t="n">
        <f aca="false">IF(ISNUMBER(B341),E341*(1-F341)*((L341&gt;=O341)*'13_Mapa_Liq'!$C$15+(L341&gt;=S341)*'13_Mapa_Liq'!$C$16+(L341&gt;=W341)*'13_Mapa_Liq'!$C$17+(L341&gt;=AA341)*'13_Mapa_Liq'!$C$18+(L341&gt;=AE341)*'13_Mapa_Liq'!$C$19),0)</f>
        <v>0</v>
      </c>
    </row>
    <row r="342" customFormat="false" ht="15" hidden="false" customHeight="false" outlineLevel="0" collapsed="false">
      <c r="A342" s="151" t="str">
        <f aca="false">IF(ISNUMBER('12_Datos_5m'!F342),ROW()-4,"")</f>
        <v/>
      </c>
      <c r="B342" s="151" t="str">
        <f aca="false">IF(ISNUMBER('12_Datos_5m'!F342),'12_Datos_5m'!F342,"")</f>
        <v/>
      </c>
      <c r="C342" s="151" t="str">
        <f aca="false">IF(ISNUMBER('12_Datos_5m'!A342),'12_Datos_5m'!A342,"")</f>
        <v/>
      </c>
      <c r="D342" s="151" t="n">
        <f aca="false">IF(AND(ISNUMBER('12_Datos_5m'!I342),ISNUMBER('12_Datos_5m'!I341)),'12_Datos_5m'!I342-'12_Datos_5m'!I341,0)</f>
        <v>0</v>
      </c>
      <c r="E342" s="151" t="n">
        <f aca="false">MAX(0,D342)</f>
        <v>0</v>
      </c>
      <c r="F342" s="151" t="n">
        <f aca="false">IF(AND(ISNUMBER('12_Datos_5m'!G342),N('12_Datos_5m'!G342)&gt;0),'12_Datos_5m'!H342/'12_Datos_5m'!G342,0.5)</f>
        <v>0.5</v>
      </c>
      <c r="G342" s="151" t="n">
        <f aca="false">IF(ISNUMBER(C342),($C$2-C342)/3600000,0)</f>
        <v>0</v>
      </c>
      <c r="H342" s="151" t="n">
        <f aca="false">EXP(-G342/'13_Mapa_Liq'!$B$7)</f>
        <v>1</v>
      </c>
      <c r="I342" s="151" t="n">
        <f aca="false">E342*F342*H342</f>
        <v>0</v>
      </c>
      <c r="J342" s="151" t="n">
        <f aca="false">E342*(1-F342)*H342</f>
        <v>0</v>
      </c>
      <c r="K342" s="151" t="n">
        <f aca="false">IF(COUNT('12_Datos_5m'!E343:E$504)=0,1000000000000,MIN('12_Datos_5m'!E343:E$504))</f>
        <v>1000000000000</v>
      </c>
      <c r="L342" s="151" t="n">
        <f aca="false">IF(COUNT('12_Datos_5m'!D343:D$504)=0,0,MAX('12_Datos_5m'!D343:D$504))</f>
        <v>0</v>
      </c>
      <c r="M342" s="151" t="str">
        <f aca="false">IF(ISNUMBER(B342),B342*(1-1/'13_Mapa_Liq'!$B$15+'13_Mapa_Liq'!$B$6),"")</f>
        <v/>
      </c>
      <c r="N342" s="151" t="n">
        <f aca="false">IF(ISNUMBER(B342),IF(K342&gt;M342,I342*'13_Mapa_Liq'!$C$15,0),0)</f>
        <v>0</v>
      </c>
      <c r="O342" s="151" t="str">
        <f aca="false">IF(ISNUMBER(B342),B342*(1+1/'13_Mapa_Liq'!$B$15-'13_Mapa_Liq'!$B$6),"")</f>
        <v/>
      </c>
      <c r="P342" s="151" t="n">
        <f aca="false">IF(ISNUMBER(B342),IF(L342&lt;O342,J342*'13_Mapa_Liq'!$C$15,0),0)</f>
        <v>0</v>
      </c>
      <c r="Q342" s="151" t="str">
        <f aca="false">IF(ISNUMBER(B342),B342*(1-1/'13_Mapa_Liq'!$B$16+'13_Mapa_Liq'!$B$6),"")</f>
        <v/>
      </c>
      <c r="R342" s="151" t="n">
        <f aca="false">IF(ISNUMBER(B342),IF(K342&gt;Q342,I342*'13_Mapa_Liq'!$C$16,0),0)</f>
        <v>0</v>
      </c>
      <c r="S342" s="151" t="str">
        <f aca="false">IF(ISNUMBER(B342),B342*(1+1/'13_Mapa_Liq'!$B$16-'13_Mapa_Liq'!$B$6),"")</f>
        <v/>
      </c>
      <c r="T342" s="151" t="n">
        <f aca="false">IF(ISNUMBER(B342),IF(L342&lt;S342,J342*'13_Mapa_Liq'!$C$16,0),0)</f>
        <v>0</v>
      </c>
      <c r="U342" s="151" t="str">
        <f aca="false">IF(ISNUMBER(B342),B342*(1-1/'13_Mapa_Liq'!$B$17+'13_Mapa_Liq'!$B$6),"")</f>
        <v/>
      </c>
      <c r="V342" s="151" t="n">
        <f aca="false">IF(ISNUMBER(B342),IF(K342&gt;U342,I342*'13_Mapa_Liq'!$C$17,0),0)</f>
        <v>0</v>
      </c>
      <c r="W342" s="151" t="str">
        <f aca="false">IF(ISNUMBER(B342),B342*(1+1/'13_Mapa_Liq'!$B$17-'13_Mapa_Liq'!$B$6),"")</f>
        <v/>
      </c>
      <c r="X342" s="151" t="n">
        <f aca="false">IF(ISNUMBER(B342),IF(L342&lt;W342,J342*'13_Mapa_Liq'!$C$17,0),0)</f>
        <v>0</v>
      </c>
      <c r="Y342" s="151" t="str">
        <f aca="false">IF(ISNUMBER(B342),B342*(1-1/'13_Mapa_Liq'!$B$18+'13_Mapa_Liq'!$B$6),"")</f>
        <v/>
      </c>
      <c r="Z342" s="151" t="n">
        <f aca="false">IF(ISNUMBER(B342),IF(K342&gt;Y342,I342*'13_Mapa_Liq'!$C$18,0),0)</f>
        <v>0</v>
      </c>
      <c r="AA342" s="151" t="str">
        <f aca="false">IF(ISNUMBER(B342),B342*(1+1/'13_Mapa_Liq'!$B$18-'13_Mapa_Liq'!$B$6),"")</f>
        <v/>
      </c>
      <c r="AB342" s="151" t="n">
        <f aca="false">IF(ISNUMBER(B342),IF(L342&lt;AA342,J342*'13_Mapa_Liq'!$C$18,0),0)</f>
        <v>0</v>
      </c>
      <c r="AC342" s="151" t="str">
        <f aca="false">IF(ISNUMBER(B342),B342*(1-1/'13_Mapa_Liq'!$B$19+'13_Mapa_Liq'!$B$6),"")</f>
        <v/>
      </c>
      <c r="AD342" s="151" t="n">
        <f aca="false">IF(ISNUMBER(B342),IF(K342&gt;AC342,I342*'13_Mapa_Liq'!$C$19,0),0)</f>
        <v>0</v>
      </c>
      <c r="AE342" s="151" t="str">
        <f aca="false">IF(ISNUMBER(B342),B342*(1+1/'13_Mapa_Liq'!$B$19-'13_Mapa_Liq'!$B$6),"")</f>
        <v/>
      </c>
      <c r="AF342" s="151" t="n">
        <f aca="false">IF(ISNUMBER(B342),IF(L342&lt;AE342,J342*'13_Mapa_Liq'!$C$19,0),0)</f>
        <v>0</v>
      </c>
      <c r="AG342" s="151"/>
      <c r="AH342" s="151" t="n">
        <f aca="false">IF(ISNUMBER(B342),E342*F342*((K342&lt;=M342)*'13_Mapa_Liq'!$C$15+(K342&lt;=Q342)*'13_Mapa_Liq'!$C$16+(K342&lt;=U342)*'13_Mapa_Liq'!$C$17+(K342&lt;=Y342)*'13_Mapa_Liq'!$C$18+(K342&lt;=AC342)*'13_Mapa_Liq'!$C$19),0)</f>
        <v>0</v>
      </c>
      <c r="AI342" s="151" t="n">
        <f aca="false">IF(ISNUMBER(B342),E342*(1-F342)*((L342&gt;=O342)*'13_Mapa_Liq'!$C$15+(L342&gt;=S342)*'13_Mapa_Liq'!$C$16+(L342&gt;=W342)*'13_Mapa_Liq'!$C$17+(L342&gt;=AA342)*'13_Mapa_Liq'!$C$18+(L342&gt;=AE342)*'13_Mapa_Liq'!$C$19),0)</f>
        <v>0</v>
      </c>
    </row>
    <row r="343" customFormat="false" ht="15" hidden="false" customHeight="false" outlineLevel="0" collapsed="false">
      <c r="A343" s="151" t="str">
        <f aca="false">IF(ISNUMBER('12_Datos_5m'!F343),ROW()-4,"")</f>
        <v/>
      </c>
      <c r="B343" s="151" t="str">
        <f aca="false">IF(ISNUMBER('12_Datos_5m'!F343),'12_Datos_5m'!F343,"")</f>
        <v/>
      </c>
      <c r="C343" s="151" t="str">
        <f aca="false">IF(ISNUMBER('12_Datos_5m'!A343),'12_Datos_5m'!A343,"")</f>
        <v/>
      </c>
      <c r="D343" s="151" t="n">
        <f aca="false">IF(AND(ISNUMBER('12_Datos_5m'!I343),ISNUMBER('12_Datos_5m'!I342)),'12_Datos_5m'!I343-'12_Datos_5m'!I342,0)</f>
        <v>0</v>
      </c>
      <c r="E343" s="151" t="n">
        <f aca="false">MAX(0,D343)</f>
        <v>0</v>
      </c>
      <c r="F343" s="151" t="n">
        <f aca="false">IF(AND(ISNUMBER('12_Datos_5m'!G343),N('12_Datos_5m'!G343)&gt;0),'12_Datos_5m'!H343/'12_Datos_5m'!G343,0.5)</f>
        <v>0.5</v>
      </c>
      <c r="G343" s="151" t="n">
        <f aca="false">IF(ISNUMBER(C343),($C$2-C343)/3600000,0)</f>
        <v>0</v>
      </c>
      <c r="H343" s="151" t="n">
        <f aca="false">EXP(-G343/'13_Mapa_Liq'!$B$7)</f>
        <v>1</v>
      </c>
      <c r="I343" s="151" t="n">
        <f aca="false">E343*F343*H343</f>
        <v>0</v>
      </c>
      <c r="J343" s="151" t="n">
        <f aca="false">E343*(1-F343)*H343</f>
        <v>0</v>
      </c>
      <c r="K343" s="151" t="n">
        <f aca="false">IF(COUNT('12_Datos_5m'!E344:E$504)=0,1000000000000,MIN('12_Datos_5m'!E344:E$504))</f>
        <v>1000000000000</v>
      </c>
      <c r="L343" s="151" t="n">
        <f aca="false">IF(COUNT('12_Datos_5m'!D344:D$504)=0,0,MAX('12_Datos_5m'!D344:D$504))</f>
        <v>0</v>
      </c>
      <c r="M343" s="151" t="str">
        <f aca="false">IF(ISNUMBER(B343),B343*(1-1/'13_Mapa_Liq'!$B$15+'13_Mapa_Liq'!$B$6),"")</f>
        <v/>
      </c>
      <c r="N343" s="151" t="n">
        <f aca="false">IF(ISNUMBER(B343),IF(K343&gt;M343,I343*'13_Mapa_Liq'!$C$15,0),0)</f>
        <v>0</v>
      </c>
      <c r="O343" s="151" t="str">
        <f aca="false">IF(ISNUMBER(B343),B343*(1+1/'13_Mapa_Liq'!$B$15-'13_Mapa_Liq'!$B$6),"")</f>
        <v/>
      </c>
      <c r="P343" s="151" t="n">
        <f aca="false">IF(ISNUMBER(B343),IF(L343&lt;O343,J343*'13_Mapa_Liq'!$C$15,0),0)</f>
        <v>0</v>
      </c>
      <c r="Q343" s="151" t="str">
        <f aca="false">IF(ISNUMBER(B343),B343*(1-1/'13_Mapa_Liq'!$B$16+'13_Mapa_Liq'!$B$6),"")</f>
        <v/>
      </c>
      <c r="R343" s="151" t="n">
        <f aca="false">IF(ISNUMBER(B343),IF(K343&gt;Q343,I343*'13_Mapa_Liq'!$C$16,0),0)</f>
        <v>0</v>
      </c>
      <c r="S343" s="151" t="str">
        <f aca="false">IF(ISNUMBER(B343),B343*(1+1/'13_Mapa_Liq'!$B$16-'13_Mapa_Liq'!$B$6),"")</f>
        <v/>
      </c>
      <c r="T343" s="151" t="n">
        <f aca="false">IF(ISNUMBER(B343),IF(L343&lt;S343,J343*'13_Mapa_Liq'!$C$16,0),0)</f>
        <v>0</v>
      </c>
      <c r="U343" s="151" t="str">
        <f aca="false">IF(ISNUMBER(B343),B343*(1-1/'13_Mapa_Liq'!$B$17+'13_Mapa_Liq'!$B$6),"")</f>
        <v/>
      </c>
      <c r="V343" s="151" t="n">
        <f aca="false">IF(ISNUMBER(B343),IF(K343&gt;U343,I343*'13_Mapa_Liq'!$C$17,0),0)</f>
        <v>0</v>
      </c>
      <c r="W343" s="151" t="str">
        <f aca="false">IF(ISNUMBER(B343),B343*(1+1/'13_Mapa_Liq'!$B$17-'13_Mapa_Liq'!$B$6),"")</f>
        <v/>
      </c>
      <c r="X343" s="151" t="n">
        <f aca="false">IF(ISNUMBER(B343),IF(L343&lt;W343,J343*'13_Mapa_Liq'!$C$17,0),0)</f>
        <v>0</v>
      </c>
      <c r="Y343" s="151" t="str">
        <f aca="false">IF(ISNUMBER(B343),B343*(1-1/'13_Mapa_Liq'!$B$18+'13_Mapa_Liq'!$B$6),"")</f>
        <v/>
      </c>
      <c r="Z343" s="151" t="n">
        <f aca="false">IF(ISNUMBER(B343),IF(K343&gt;Y343,I343*'13_Mapa_Liq'!$C$18,0),0)</f>
        <v>0</v>
      </c>
      <c r="AA343" s="151" t="str">
        <f aca="false">IF(ISNUMBER(B343),B343*(1+1/'13_Mapa_Liq'!$B$18-'13_Mapa_Liq'!$B$6),"")</f>
        <v/>
      </c>
      <c r="AB343" s="151" t="n">
        <f aca="false">IF(ISNUMBER(B343),IF(L343&lt;AA343,J343*'13_Mapa_Liq'!$C$18,0),0)</f>
        <v>0</v>
      </c>
      <c r="AC343" s="151" t="str">
        <f aca="false">IF(ISNUMBER(B343),B343*(1-1/'13_Mapa_Liq'!$B$19+'13_Mapa_Liq'!$B$6),"")</f>
        <v/>
      </c>
      <c r="AD343" s="151" t="n">
        <f aca="false">IF(ISNUMBER(B343),IF(K343&gt;AC343,I343*'13_Mapa_Liq'!$C$19,0),0)</f>
        <v>0</v>
      </c>
      <c r="AE343" s="151" t="str">
        <f aca="false">IF(ISNUMBER(B343),B343*(1+1/'13_Mapa_Liq'!$B$19-'13_Mapa_Liq'!$B$6),"")</f>
        <v/>
      </c>
      <c r="AF343" s="151" t="n">
        <f aca="false">IF(ISNUMBER(B343),IF(L343&lt;AE343,J343*'13_Mapa_Liq'!$C$19,0),0)</f>
        <v>0</v>
      </c>
      <c r="AG343" s="151"/>
      <c r="AH343" s="151" t="n">
        <f aca="false">IF(ISNUMBER(B343),E343*F343*((K343&lt;=M343)*'13_Mapa_Liq'!$C$15+(K343&lt;=Q343)*'13_Mapa_Liq'!$C$16+(K343&lt;=U343)*'13_Mapa_Liq'!$C$17+(K343&lt;=Y343)*'13_Mapa_Liq'!$C$18+(K343&lt;=AC343)*'13_Mapa_Liq'!$C$19),0)</f>
        <v>0</v>
      </c>
      <c r="AI343" s="151" t="n">
        <f aca="false">IF(ISNUMBER(B343),E343*(1-F343)*((L343&gt;=O343)*'13_Mapa_Liq'!$C$15+(L343&gt;=S343)*'13_Mapa_Liq'!$C$16+(L343&gt;=W343)*'13_Mapa_Liq'!$C$17+(L343&gt;=AA343)*'13_Mapa_Liq'!$C$18+(L343&gt;=AE343)*'13_Mapa_Liq'!$C$19),0)</f>
        <v>0</v>
      </c>
    </row>
    <row r="344" customFormat="false" ht="15" hidden="false" customHeight="false" outlineLevel="0" collapsed="false">
      <c r="A344" s="151" t="str">
        <f aca="false">IF(ISNUMBER('12_Datos_5m'!F344),ROW()-4,"")</f>
        <v/>
      </c>
      <c r="B344" s="151" t="str">
        <f aca="false">IF(ISNUMBER('12_Datos_5m'!F344),'12_Datos_5m'!F344,"")</f>
        <v/>
      </c>
      <c r="C344" s="151" t="str">
        <f aca="false">IF(ISNUMBER('12_Datos_5m'!A344),'12_Datos_5m'!A344,"")</f>
        <v/>
      </c>
      <c r="D344" s="151" t="n">
        <f aca="false">IF(AND(ISNUMBER('12_Datos_5m'!I344),ISNUMBER('12_Datos_5m'!I343)),'12_Datos_5m'!I344-'12_Datos_5m'!I343,0)</f>
        <v>0</v>
      </c>
      <c r="E344" s="151" t="n">
        <f aca="false">MAX(0,D344)</f>
        <v>0</v>
      </c>
      <c r="F344" s="151" t="n">
        <f aca="false">IF(AND(ISNUMBER('12_Datos_5m'!G344),N('12_Datos_5m'!G344)&gt;0),'12_Datos_5m'!H344/'12_Datos_5m'!G344,0.5)</f>
        <v>0.5</v>
      </c>
      <c r="G344" s="151" t="n">
        <f aca="false">IF(ISNUMBER(C344),($C$2-C344)/3600000,0)</f>
        <v>0</v>
      </c>
      <c r="H344" s="151" t="n">
        <f aca="false">EXP(-G344/'13_Mapa_Liq'!$B$7)</f>
        <v>1</v>
      </c>
      <c r="I344" s="151" t="n">
        <f aca="false">E344*F344*H344</f>
        <v>0</v>
      </c>
      <c r="J344" s="151" t="n">
        <f aca="false">E344*(1-F344)*H344</f>
        <v>0</v>
      </c>
      <c r="K344" s="151" t="n">
        <f aca="false">IF(COUNT('12_Datos_5m'!E345:E$504)=0,1000000000000,MIN('12_Datos_5m'!E345:E$504))</f>
        <v>1000000000000</v>
      </c>
      <c r="L344" s="151" t="n">
        <f aca="false">IF(COUNT('12_Datos_5m'!D345:D$504)=0,0,MAX('12_Datos_5m'!D345:D$504))</f>
        <v>0</v>
      </c>
      <c r="M344" s="151" t="str">
        <f aca="false">IF(ISNUMBER(B344),B344*(1-1/'13_Mapa_Liq'!$B$15+'13_Mapa_Liq'!$B$6),"")</f>
        <v/>
      </c>
      <c r="N344" s="151" t="n">
        <f aca="false">IF(ISNUMBER(B344),IF(K344&gt;M344,I344*'13_Mapa_Liq'!$C$15,0),0)</f>
        <v>0</v>
      </c>
      <c r="O344" s="151" t="str">
        <f aca="false">IF(ISNUMBER(B344),B344*(1+1/'13_Mapa_Liq'!$B$15-'13_Mapa_Liq'!$B$6),"")</f>
        <v/>
      </c>
      <c r="P344" s="151" t="n">
        <f aca="false">IF(ISNUMBER(B344),IF(L344&lt;O344,J344*'13_Mapa_Liq'!$C$15,0),0)</f>
        <v>0</v>
      </c>
      <c r="Q344" s="151" t="str">
        <f aca="false">IF(ISNUMBER(B344),B344*(1-1/'13_Mapa_Liq'!$B$16+'13_Mapa_Liq'!$B$6),"")</f>
        <v/>
      </c>
      <c r="R344" s="151" t="n">
        <f aca="false">IF(ISNUMBER(B344),IF(K344&gt;Q344,I344*'13_Mapa_Liq'!$C$16,0),0)</f>
        <v>0</v>
      </c>
      <c r="S344" s="151" t="str">
        <f aca="false">IF(ISNUMBER(B344),B344*(1+1/'13_Mapa_Liq'!$B$16-'13_Mapa_Liq'!$B$6),"")</f>
        <v/>
      </c>
      <c r="T344" s="151" t="n">
        <f aca="false">IF(ISNUMBER(B344),IF(L344&lt;S344,J344*'13_Mapa_Liq'!$C$16,0),0)</f>
        <v>0</v>
      </c>
      <c r="U344" s="151" t="str">
        <f aca="false">IF(ISNUMBER(B344),B344*(1-1/'13_Mapa_Liq'!$B$17+'13_Mapa_Liq'!$B$6),"")</f>
        <v/>
      </c>
      <c r="V344" s="151" t="n">
        <f aca="false">IF(ISNUMBER(B344),IF(K344&gt;U344,I344*'13_Mapa_Liq'!$C$17,0),0)</f>
        <v>0</v>
      </c>
      <c r="W344" s="151" t="str">
        <f aca="false">IF(ISNUMBER(B344),B344*(1+1/'13_Mapa_Liq'!$B$17-'13_Mapa_Liq'!$B$6),"")</f>
        <v/>
      </c>
      <c r="X344" s="151" t="n">
        <f aca="false">IF(ISNUMBER(B344),IF(L344&lt;W344,J344*'13_Mapa_Liq'!$C$17,0),0)</f>
        <v>0</v>
      </c>
      <c r="Y344" s="151" t="str">
        <f aca="false">IF(ISNUMBER(B344),B344*(1-1/'13_Mapa_Liq'!$B$18+'13_Mapa_Liq'!$B$6),"")</f>
        <v/>
      </c>
      <c r="Z344" s="151" t="n">
        <f aca="false">IF(ISNUMBER(B344),IF(K344&gt;Y344,I344*'13_Mapa_Liq'!$C$18,0),0)</f>
        <v>0</v>
      </c>
      <c r="AA344" s="151" t="str">
        <f aca="false">IF(ISNUMBER(B344),B344*(1+1/'13_Mapa_Liq'!$B$18-'13_Mapa_Liq'!$B$6),"")</f>
        <v/>
      </c>
      <c r="AB344" s="151" t="n">
        <f aca="false">IF(ISNUMBER(B344),IF(L344&lt;AA344,J344*'13_Mapa_Liq'!$C$18,0),0)</f>
        <v>0</v>
      </c>
      <c r="AC344" s="151" t="str">
        <f aca="false">IF(ISNUMBER(B344),B344*(1-1/'13_Mapa_Liq'!$B$19+'13_Mapa_Liq'!$B$6),"")</f>
        <v/>
      </c>
      <c r="AD344" s="151" t="n">
        <f aca="false">IF(ISNUMBER(B344),IF(K344&gt;AC344,I344*'13_Mapa_Liq'!$C$19,0),0)</f>
        <v>0</v>
      </c>
      <c r="AE344" s="151" t="str">
        <f aca="false">IF(ISNUMBER(B344),B344*(1+1/'13_Mapa_Liq'!$B$19-'13_Mapa_Liq'!$B$6),"")</f>
        <v/>
      </c>
      <c r="AF344" s="151" t="n">
        <f aca="false">IF(ISNUMBER(B344),IF(L344&lt;AE344,J344*'13_Mapa_Liq'!$C$19,0),0)</f>
        <v>0</v>
      </c>
      <c r="AG344" s="151"/>
      <c r="AH344" s="151" t="n">
        <f aca="false">IF(ISNUMBER(B344),E344*F344*((K344&lt;=M344)*'13_Mapa_Liq'!$C$15+(K344&lt;=Q344)*'13_Mapa_Liq'!$C$16+(K344&lt;=U344)*'13_Mapa_Liq'!$C$17+(K344&lt;=Y344)*'13_Mapa_Liq'!$C$18+(K344&lt;=AC344)*'13_Mapa_Liq'!$C$19),0)</f>
        <v>0</v>
      </c>
      <c r="AI344" s="151" t="n">
        <f aca="false">IF(ISNUMBER(B344),E344*(1-F344)*((L344&gt;=O344)*'13_Mapa_Liq'!$C$15+(L344&gt;=S344)*'13_Mapa_Liq'!$C$16+(L344&gt;=W344)*'13_Mapa_Liq'!$C$17+(L344&gt;=AA344)*'13_Mapa_Liq'!$C$18+(L344&gt;=AE344)*'13_Mapa_Liq'!$C$19),0)</f>
        <v>0</v>
      </c>
    </row>
    <row r="345" customFormat="false" ht="15" hidden="false" customHeight="false" outlineLevel="0" collapsed="false">
      <c r="A345" s="151" t="str">
        <f aca="false">IF(ISNUMBER('12_Datos_5m'!F345),ROW()-4,"")</f>
        <v/>
      </c>
      <c r="B345" s="151" t="str">
        <f aca="false">IF(ISNUMBER('12_Datos_5m'!F345),'12_Datos_5m'!F345,"")</f>
        <v/>
      </c>
      <c r="C345" s="151" t="str">
        <f aca="false">IF(ISNUMBER('12_Datos_5m'!A345),'12_Datos_5m'!A345,"")</f>
        <v/>
      </c>
      <c r="D345" s="151" t="n">
        <f aca="false">IF(AND(ISNUMBER('12_Datos_5m'!I345),ISNUMBER('12_Datos_5m'!I344)),'12_Datos_5m'!I345-'12_Datos_5m'!I344,0)</f>
        <v>0</v>
      </c>
      <c r="E345" s="151" t="n">
        <f aca="false">MAX(0,D345)</f>
        <v>0</v>
      </c>
      <c r="F345" s="151" t="n">
        <f aca="false">IF(AND(ISNUMBER('12_Datos_5m'!G345),N('12_Datos_5m'!G345)&gt;0),'12_Datos_5m'!H345/'12_Datos_5m'!G345,0.5)</f>
        <v>0.5</v>
      </c>
      <c r="G345" s="151" t="n">
        <f aca="false">IF(ISNUMBER(C345),($C$2-C345)/3600000,0)</f>
        <v>0</v>
      </c>
      <c r="H345" s="151" t="n">
        <f aca="false">EXP(-G345/'13_Mapa_Liq'!$B$7)</f>
        <v>1</v>
      </c>
      <c r="I345" s="151" t="n">
        <f aca="false">E345*F345*H345</f>
        <v>0</v>
      </c>
      <c r="J345" s="151" t="n">
        <f aca="false">E345*(1-F345)*H345</f>
        <v>0</v>
      </c>
      <c r="K345" s="151" t="n">
        <f aca="false">IF(COUNT('12_Datos_5m'!E346:E$504)=0,1000000000000,MIN('12_Datos_5m'!E346:E$504))</f>
        <v>1000000000000</v>
      </c>
      <c r="L345" s="151" t="n">
        <f aca="false">IF(COUNT('12_Datos_5m'!D346:D$504)=0,0,MAX('12_Datos_5m'!D346:D$504))</f>
        <v>0</v>
      </c>
      <c r="M345" s="151" t="str">
        <f aca="false">IF(ISNUMBER(B345),B345*(1-1/'13_Mapa_Liq'!$B$15+'13_Mapa_Liq'!$B$6),"")</f>
        <v/>
      </c>
      <c r="N345" s="151" t="n">
        <f aca="false">IF(ISNUMBER(B345),IF(K345&gt;M345,I345*'13_Mapa_Liq'!$C$15,0),0)</f>
        <v>0</v>
      </c>
      <c r="O345" s="151" t="str">
        <f aca="false">IF(ISNUMBER(B345),B345*(1+1/'13_Mapa_Liq'!$B$15-'13_Mapa_Liq'!$B$6),"")</f>
        <v/>
      </c>
      <c r="P345" s="151" t="n">
        <f aca="false">IF(ISNUMBER(B345),IF(L345&lt;O345,J345*'13_Mapa_Liq'!$C$15,0),0)</f>
        <v>0</v>
      </c>
      <c r="Q345" s="151" t="str">
        <f aca="false">IF(ISNUMBER(B345),B345*(1-1/'13_Mapa_Liq'!$B$16+'13_Mapa_Liq'!$B$6),"")</f>
        <v/>
      </c>
      <c r="R345" s="151" t="n">
        <f aca="false">IF(ISNUMBER(B345),IF(K345&gt;Q345,I345*'13_Mapa_Liq'!$C$16,0),0)</f>
        <v>0</v>
      </c>
      <c r="S345" s="151" t="str">
        <f aca="false">IF(ISNUMBER(B345),B345*(1+1/'13_Mapa_Liq'!$B$16-'13_Mapa_Liq'!$B$6),"")</f>
        <v/>
      </c>
      <c r="T345" s="151" t="n">
        <f aca="false">IF(ISNUMBER(B345),IF(L345&lt;S345,J345*'13_Mapa_Liq'!$C$16,0),0)</f>
        <v>0</v>
      </c>
      <c r="U345" s="151" t="str">
        <f aca="false">IF(ISNUMBER(B345),B345*(1-1/'13_Mapa_Liq'!$B$17+'13_Mapa_Liq'!$B$6),"")</f>
        <v/>
      </c>
      <c r="V345" s="151" t="n">
        <f aca="false">IF(ISNUMBER(B345),IF(K345&gt;U345,I345*'13_Mapa_Liq'!$C$17,0),0)</f>
        <v>0</v>
      </c>
      <c r="W345" s="151" t="str">
        <f aca="false">IF(ISNUMBER(B345),B345*(1+1/'13_Mapa_Liq'!$B$17-'13_Mapa_Liq'!$B$6),"")</f>
        <v/>
      </c>
      <c r="X345" s="151" t="n">
        <f aca="false">IF(ISNUMBER(B345),IF(L345&lt;W345,J345*'13_Mapa_Liq'!$C$17,0),0)</f>
        <v>0</v>
      </c>
      <c r="Y345" s="151" t="str">
        <f aca="false">IF(ISNUMBER(B345),B345*(1-1/'13_Mapa_Liq'!$B$18+'13_Mapa_Liq'!$B$6),"")</f>
        <v/>
      </c>
      <c r="Z345" s="151" t="n">
        <f aca="false">IF(ISNUMBER(B345),IF(K345&gt;Y345,I345*'13_Mapa_Liq'!$C$18,0),0)</f>
        <v>0</v>
      </c>
      <c r="AA345" s="151" t="str">
        <f aca="false">IF(ISNUMBER(B345),B345*(1+1/'13_Mapa_Liq'!$B$18-'13_Mapa_Liq'!$B$6),"")</f>
        <v/>
      </c>
      <c r="AB345" s="151" t="n">
        <f aca="false">IF(ISNUMBER(B345),IF(L345&lt;AA345,J345*'13_Mapa_Liq'!$C$18,0),0)</f>
        <v>0</v>
      </c>
      <c r="AC345" s="151" t="str">
        <f aca="false">IF(ISNUMBER(B345),B345*(1-1/'13_Mapa_Liq'!$B$19+'13_Mapa_Liq'!$B$6),"")</f>
        <v/>
      </c>
      <c r="AD345" s="151" t="n">
        <f aca="false">IF(ISNUMBER(B345),IF(K345&gt;AC345,I345*'13_Mapa_Liq'!$C$19,0),0)</f>
        <v>0</v>
      </c>
      <c r="AE345" s="151" t="str">
        <f aca="false">IF(ISNUMBER(B345),B345*(1+1/'13_Mapa_Liq'!$B$19-'13_Mapa_Liq'!$B$6),"")</f>
        <v/>
      </c>
      <c r="AF345" s="151" t="n">
        <f aca="false">IF(ISNUMBER(B345),IF(L345&lt;AE345,J345*'13_Mapa_Liq'!$C$19,0),0)</f>
        <v>0</v>
      </c>
      <c r="AG345" s="151"/>
      <c r="AH345" s="151" t="n">
        <f aca="false">IF(ISNUMBER(B345),E345*F345*((K345&lt;=M345)*'13_Mapa_Liq'!$C$15+(K345&lt;=Q345)*'13_Mapa_Liq'!$C$16+(K345&lt;=U345)*'13_Mapa_Liq'!$C$17+(K345&lt;=Y345)*'13_Mapa_Liq'!$C$18+(K345&lt;=AC345)*'13_Mapa_Liq'!$C$19),0)</f>
        <v>0</v>
      </c>
      <c r="AI345" s="151" t="n">
        <f aca="false">IF(ISNUMBER(B345),E345*(1-F345)*((L345&gt;=O345)*'13_Mapa_Liq'!$C$15+(L345&gt;=S345)*'13_Mapa_Liq'!$C$16+(L345&gt;=W345)*'13_Mapa_Liq'!$C$17+(L345&gt;=AA345)*'13_Mapa_Liq'!$C$18+(L345&gt;=AE345)*'13_Mapa_Liq'!$C$19),0)</f>
        <v>0</v>
      </c>
    </row>
    <row r="346" customFormat="false" ht="15" hidden="false" customHeight="false" outlineLevel="0" collapsed="false">
      <c r="A346" s="151" t="str">
        <f aca="false">IF(ISNUMBER('12_Datos_5m'!F346),ROW()-4,"")</f>
        <v/>
      </c>
      <c r="B346" s="151" t="str">
        <f aca="false">IF(ISNUMBER('12_Datos_5m'!F346),'12_Datos_5m'!F346,"")</f>
        <v/>
      </c>
      <c r="C346" s="151" t="str">
        <f aca="false">IF(ISNUMBER('12_Datos_5m'!A346),'12_Datos_5m'!A346,"")</f>
        <v/>
      </c>
      <c r="D346" s="151" t="n">
        <f aca="false">IF(AND(ISNUMBER('12_Datos_5m'!I346),ISNUMBER('12_Datos_5m'!I345)),'12_Datos_5m'!I346-'12_Datos_5m'!I345,0)</f>
        <v>0</v>
      </c>
      <c r="E346" s="151" t="n">
        <f aca="false">MAX(0,D346)</f>
        <v>0</v>
      </c>
      <c r="F346" s="151" t="n">
        <f aca="false">IF(AND(ISNUMBER('12_Datos_5m'!G346),N('12_Datos_5m'!G346)&gt;0),'12_Datos_5m'!H346/'12_Datos_5m'!G346,0.5)</f>
        <v>0.5</v>
      </c>
      <c r="G346" s="151" t="n">
        <f aca="false">IF(ISNUMBER(C346),($C$2-C346)/3600000,0)</f>
        <v>0</v>
      </c>
      <c r="H346" s="151" t="n">
        <f aca="false">EXP(-G346/'13_Mapa_Liq'!$B$7)</f>
        <v>1</v>
      </c>
      <c r="I346" s="151" t="n">
        <f aca="false">E346*F346*H346</f>
        <v>0</v>
      </c>
      <c r="J346" s="151" t="n">
        <f aca="false">E346*(1-F346)*H346</f>
        <v>0</v>
      </c>
      <c r="K346" s="151" t="n">
        <f aca="false">IF(COUNT('12_Datos_5m'!E347:E$504)=0,1000000000000,MIN('12_Datos_5m'!E347:E$504))</f>
        <v>1000000000000</v>
      </c>
      <c r="L346" s="151" t="n">
        <f aca="false">IF(COUNT('12_Datos_5m'!D347:D$504)=0,0,MAX('12_Datos_5m'!D347:D$504))</f>
        <v>0</v>
      </c>
      <c r="M346" s="151" t="str">
        <f aca="false">IF(ISNUMBER(B346),B346*(1-1/'13_Mapa_Liq'!$B$15+'13_Mapa_Liq'!$B$6),"")</f>
        <v/>
      </c>
      <c r="N346" s="151" t="n">
        <f aca="false">IF(ISNUMBER(B346),IF(K346&gt;M346,I346*'13_Mapa_Liq'!$C$15,0),0)</f>
        <v>0</v>
      </c>
      <c r="O346" s="151" t="str">
        <f aca="false">IF(ISNUMBER(B346),B346*(1+1/'13_Mapa_Liq'!$B$15-'13_Mapa_Liq'!$B$6),"")</f>
        <v/>
      </c>
      <c r="P346" s="151" t="n">
        <f aca="false">IF(ISNUMBER(B346),IF(L346&lt;O346,J346*'13_Mapa_Liq'!$C$15,0),0)</f>
        <v>0</v>
      </c>
      <c r="Q346" s="151" t="str">
        <f aca="false">IF(ISNUMBER(B346),B346*(1-1/'13_Mapa_Liq'!$B$16+'13_Mapa_Liq'!$B$6),"")</f>
        <v/>
      </c>
      <c r="R346" s="151" t="n">
        <f aca="false">IF(ISNUMBER(B346),IF(K346&gt;Q346,I346*'13_Mapa_Liq'!$C$16,0),0)</f>
        <v>0</v>
      </c>
      <c r="S346" s="151" t="str">
        <f aca="false">IF(ISNUMBER(B346),B346*(1+1/'13_Mapa_Liq'!$B$16-'13_Mapa_Liq'!$B$6),"")</f>
        <v/>
      </c>
      <c r="T346" s="151" t="n">
        <f aca="false">IF(ISNUMBER(B346),IF(L346&lt;S346,J346*'13_Mapa_Liq'!$C$16,0),0)</f>
        <v>0</v>
      </c>
      <c r="U346" s="151" t="str">
        <f aca="false">IF(ISNUMBER(B346),B346*(1-1/'13_Mapa_Liq'!$B$17+'13_Mapa_Liq'!$B$6),"")</f>
        <v/>
      </c>
      <c r="V346" s="151" t="n">
        <f aca="false">IF(ISNUMBER(B346),IF(K346&gt;U346,I346*'13_Mapa_Liq'!$C$17,0),0)</f>
        <v>0</v>
      </c>
      <c r="W346" s="151" t="str">
        <f aca="false">IF(ISNUMBER(B346),B346*(1+1/'13_Mapa_Liq'!$B$17-'13_Mapa_Liq'!$B$6),"")</f>
        <v/>
      </c>
      <c r="X346" s="151" t="n">
        <f aca="false">IF(ISNUMBER(B346),IF(L346&lt;W346,J346*'13_Mapa_Liq'!$C$17,0),0)</f>
        <v>0</v>
      </c>
      <c r="Y346" s="151" t="str">
        <f aca="false">IF(ISNUMBER(B346),B346*(1-1/'13_Mapa_Liq'!$B$18+'13_Mapa_Liq'!$B$6),"")</f>
        <v/>
      </c>
      <c r="Z346" s="151" t="n">
        <f aca="false">IF(ISNUMBER(B346),IF(K346&gt;Y346,I346*'13_Mapa_Liq'!$C$18,0),0)</f>
        <v>0</v>
      </c>
      <c r="AA346" s="151" t="str">
        <f aca="false">IF(ISNUMBER(B346),B346*(1+1/'13_Mapa_Liq'!$B$18-'13_Mapa_Liq'!$B$6),"")</f>
        <v/>
      </c>
      <c r="AB346" s="151" t="n">
        <f aca="false">IF(ISNUMBER(B346),IF(L346&lt;AA346,J346*'13_Mapa_Liq'!$C$18,0),0)</f>
        <v>0</v>
      </c>
      <c r="AC346" s="151" t="str">
        <f aca="false">IF(ISNUMBER(B346),B346*(1-1/'13_Mapa_Liq'!$B$19+'13_Mapa_Liq'!$B$6),"")</f>
        <v/>
      </c>
      <c r="AD346" s="151" t="n">
        <f aca="false">IF(ISNUMBER(B346),IF(K346&gt;AC346,I346*'13_Mapa_Liq'!$C$19,0),0)</f>
        <v>0</v>
      </c>
      <c r="AE346" s="151" t="str">
        <f aca="false">IF(ISNUMBER(B346),B346*(1+1/'13_Mapa_Liq'!$B$19-'13_Mapa_Liq'!$B$6),"")</f>
        <v/>
      </c>
      <c r="AF346" s="151" t="n">
        <f aca="false">IF(ISNUMBER(B346),IF(L346&lt;AE346,J346*'13_Mapa_Liq'!$C$19,0),0)</f>
        <v>0</v>
      </c>
      <c r="AG346" s="151"/>
      <c r="AH346" s="151" t="n">
        <f aca="false">IF(ISNUMBER(B346),E346*F346*((K346&lt;=M346)*'13_Mapa_Liq'!$C$15+(K346&lt;=Q346)*'13_Mapa_Liq'!$C$16+(K346&lt;=U346)*'13_Mapa_Liq'!$C$17+(K346&lt;=Y346)*'13_Mapa_Liq'!$C$18+(K346&lt;=AC346)*'13_Mapa_Liq'!$C$19),0)</f>
        <v>0</v>
      </c>
      <c r="AI346" s="151" t="n">
        <f aca="false">IF(ISNUMBER(B346),E346*(1-F346)*((L346&gt;=O346)*'13_Mapa_Liq'!$C$15+(L346&gt;=S346)*'13_Mapa_Liq'!$C$16+(L346&gt;=W346)*'13_Mapa_Liq'!$C$17+(L346&gt;=AA346)*'13_Mapa_Liq'!$C$18+(L346&gt;=AE346)*'13_Mapa_Liq'!$C$19),0)</f>
        <v>0</v>
      </c>
    </row>
    <row r="347" customFormat="false" ht="15" hidden="false" customHeight="false" outlineLevel="0" collapsed="false">
      <c r="A347" s="151" t="str">
        <f aca="false">IF(ISNUMBER('12_Datos_5m'!F347),ROW()-4,"")</f>
        <v/>
      </c>
      <c r="B347" s="151" t="str">
        <f aca="false">IF(ISNUMBER('12_Datos_5m'!F347),'12_Datos_5m'!F347,"")</f>
        <v/>
      </c>
      <c r="C347" s="151" t="str">
        <f aca="false">IF(ISNUMBER('12_Datos_5m'!A347),'12_Datos_5m'!A347,"")</f>
        <v/>
      </c>
      <c r="D347" s="151" t="n">
        <f aca="false">IF(AND(ISNUMBER('12_Datos_5m'!I347),ISNUMBER('12_Datos_5m'!I346)),'12_Datos_5m'!I347-'12_Datos_5m'!I346,0)</f>
        <v>0</v>
      </c>
      <c r="E347" s="151" t="n">
        <f aca="false">MAX(0,D347)</f>
        <v>0</v>
      </c>
      <c r="F347" s="151" t="n">
        <f aca="false">IF(AND(ISNUMBER('12_Datos_5m'!G347),N('12_Datos_5m'!G347)&gt;0),'12_Datos_5m'!H347/'12_Datos_5m'!G347,0.5)</f>
        <v>0.5</v>
      </c>
      <c r="G347" s="151" t="n">
        <f aca="false">IF(ISNUMBER(C347),($C$2-C347)/3600000,0)</f>
        <v>0</v>
      </c>
      <c r="H347" s="151" t="n">
        <f aca="false">EXP(-G347/'13_Mapa_Liq'!$B$7)</f>
        <v>1</v>
      </c>
      <c r="I347" s="151" t="n">
        <f aca="false">E347*F347*H347</f>
        <v>0</v>
      </c>
      <c r="J347" s="151" t="n">
        <f aca="false">E347*(1-F347)*H347</f>
        <v>0</v>
      </c>
      <c r="K347" s="151" t="n">
        <f aca="false">IF(COUNT('12_Datos_5m'!E348:E$504)=0,1000000000000,MIN('12_Datos_5m'!E348:E$504))</f>
        <v>1000000000000</v>
      </c>
      <c r="L347" s="151" t="n">
        <f aca="false">IF(COUNT('12_Datos_5m'!D348:D$504)=0,0,MAX('12_Datos_5m'!D348:D$504))</f>
        <v>0</v>
      </c>
      <c r="M347" s="151" t="str">
        <f aca="false">IF(ISNUMBER(B347),B347*(1-1/'13_Mapa_Liq'!$B$15+'13_Mapa_Liq'!$B$6),"")</f>
        <v/>
      </c>
      <c r="N347" s="151" t="n">
        <f aca="false">IF(ISNUMBER(B347),IF(K347&gt;M347,I347*'13_Mapa_Liq'!$C$15,0),0)</f>
        <v>0</v>
      </c>
      <c r="O347" s="151" t="str">
        <f aca="false">IF(ISNUMBER(B347),B347*(1+1/'13_Mapa_Liq'!$B$15-'13_Mapa_Liq'!$B$6),"")</f>
        <v/>
      </c>
      <c r="P347" s="151" t="n">
        <f aca="false">IF(ISNUMBER(B347),IF(L347&lt;O347,J347*'13_Mapa_Liq'!$C$15,0),0)</f>
        <v>0</v>
      </c>
      <c r="Q347" s="151" t="str">
        <f aca="false">IF(ISNUMBER(B347),B347*(1-1/'13_Mapa_Liq'!$B$16+'13_Mapa_Liq'!$B$6),"")</f>
        <v/>
      </c>
      <c r="R347" s="151" t="n">
        <f aca="false">IF(ISNUMBER(B347),IF(K347&gt;Q347,I347*'13_Mapa_Liq'!$C$16,0),0)</f>
        <v>0</v>
      </c>
      <c r="S347" s="151" t="str">
        <f aca="false">IF(ISNUMBER(B347),B347*(1+1/'13_Mapa_Liq'!$B$16-'13_Mapa_Liq'!$B$6),"")</f>
        <v/>
      </c>
      <c r="T347" s="151" t="n">
        <f aca="false">IF(ISNUMBER(B347),IF(L347&lt;S347,J347*'13_Mapa_Liq'!$C$16,0),0)</f>
        <v>0</v>
      </c>
      <c r="U347" s="151" t="str">
        <f aca="false">IF(ISNUMBER(B347),B347*(1-1/'13_Mapa_Liq'!$B$17+'13_Mapa_Liq'!$B$6),"")</f>
        <v/>
      </c>
      <c r="V347" s="151" t="n">
        <f aca="false">IF(ISNUMBER(B347),IF(K347&gt;U347,I347*'13_Mapa_Liq'!$C$17,0),0)</f>
        <v>0</v>
      </c>
      <c r="W347" s="151" t="str">
        <f aca="false">IF(ISNUMBER(B347),B347*(1+1/'13_Mapa_Liq'!$B$17-'13_Mapa_Liq'!$B$6),"")</f>
        <v/>
      </c>
      <c r="X347" s="151" t="n">
        <f aca="false">IF(ISNUMBER(B347),IF(L347&lt;W347,J347*'13_Mapa_Liq'!$C$17,0),0)</f>
        <v>0</v>
      </c>
      <c r="Y347" s="151" t="str">
        <f aca="false">IF(ISNUMBER(B347),B347*(1-1/'13_Mapa_Liq'!$B$18+'13_Mapa_Liq'!$B$6),"")</f>
        <v/>
      </c>
      <c r="Z347" s="151" t="n">
        <f aca="false">IF(ISNUMBER(B347),IF(K347&gt;Y347,I347*'13_Mapa_Liq'!$C$18,0),0)</f>
        <v>0</v>
      </c>
      <c r="AA347" s="151" t="str">
        <f aca="false">IF(ISNUMBER(B347),B347*(1+1/'13_Mapa_Liq'!$B$18-'13_Mapa_Liq'!$B$6),"")</f>
        <v/>
      </c>
      <c r="AB347" s="151" t="n">
        <f aca="false">IF(ISNUMBER(B347),IF(L347&lt;AA347,J347*'13_Mapa_Liq'!$C$18,0),0)</f>
        <v>0</v>
      </c>
      <c r="AC347" s="151" t="str">
        <f aca="false">IF(ISNUMBER(B347),B347*(1-1/'13_Mapa_Liq'!$B$19+'13_Mapa_Liq'!$B$6),"")</f>
        <v/>
      </c>
      <c r="AD347" s="151" t="n">
        <f aca="false">IF(ISNUMBER(B347),IF(K347&gt;AC347,I347*'13_Mapa_Liq'!$C$19,0),0)</f>
        <v>0</v>
      </c>
      <c r="AE347" s="151" t="str">
        <f aca="false">IF(ISNUMBER(B347),B347*(1+1/'13_Mapa_Liq'!$B$19-'13_Mapa_Liq'!$B$6),"")</f>
        <v/>
      </c>
      <c r="AF347" s="151" t="n">
        <f aca="false">IF(ISNUMBER(B347),IF(L347&lt;AE347,J347*'13_Mapa_Liq'!$C$19,0),0)</f>
        <v>0</v>
      </c>
      <c r="AG347" s="151"/>
      <c r="AH347" s="151" t="n">
        <f aca="false">IF(ISNUMBER(B347),E347*F347*((K347&lt;=M347)*'13_Mapa_Liq'!$C$15+(K347&lt;=Q347)*'13_Mapa_Liq'!$C$16+(K347&lt;=U347)*'13_Mapa_Liq'!$C$17+(K347&lt;=Y347)*'13_Mapa_Liq'!$C$18+(K347&lt;=AC347)*'13_Mapa_Liq'!$C$19),0)</f>
        <v>0</v>
      </c>
      <c r="AI347" s="151" t="n">
        <f aca="false">IF(ISNUMBER(B347),E347*(1-F347)*((L347&gt;=O347)*'13_Mapa_Liq'!$C$15+(L347&gt;=S347)*'13_Mapa_Liq'!$C$16+(L347&gt;=W347)*'13_Mapa_Liq'!$C$17+(L347&gt;=AA347)*'13_Mapa_Liq'!$C$18+(L347&gt;=AE347)*'13_Mapa_Liq'!$C$19),0)</f>
        <v>0</v>
      </c>
    </row>
    <row r="348" customFormat="false" ht="15" hidden="false" customHeight="false" outlineLevel="0" collapsed="false">
      <c r="A348" s="151" t="str">
        <f aca="false">IF(ISNUMBER('12_Datos_5m'!F348),ROW()-4,"")</f>
        <v/>
      </c>
      <c r="B348" s="151" t="str">
        <f aca="false">IF(ISNUMBER('12_Datos_5m'!F348),'12_Datos_5m'!F348,"")</f>
        <v/>
      </c>
      <c r="C348" s="151" t="str">
        <f aca="false">IF(ISNUMBER('12_Datos_5m'!A348),'12_Datos_5m'!A348,"")</f>
        <v/>
      </c>
      <c r="D348" s="151" t="n">
        <f aca="false">IF(AND(ISNUMBER('12_Datos_5m'!I348),ISNUMBER('12_Datos_5m'!I347)),'12_Datos_5m'!I348-'12_Datos_5m'!I347,0)</f>
        <v>0</v>
      </c>
      <c r="E348" s="151" t="n">
        <f aca="false">MAX(0,D348)</f>
        <v>0</v>
      </c>
      <c r="F348" s="151" t="n">
        <f aca="false">IF(AND(ISNUMBER('12_Datos_5m'!G348),N('12_Datos_5m'!G348)&gt;0),'12_Datos_5m'!H348/'12_Datos_5m'!G348,0.5)</f>
        <v>0.5</v>
      </c>
      <c r="G348" s="151" t="n">
        <f aca="false">IF(ISNUMBER(C348),($C$2-C348)/3600000,0)</f>
        <v>0</v>
      </c>
      <c r="H348" s="151" t="n">
        <f aca="false">EXP(-G348/'13_Mapa_Liq'!$B$7)</f>
        <v>1</v>
      </c>
      <c r="I348" s="151" t="n">
        <f aca="false">E348*F348*H348</f>
        <v>0</v>
      </c>
      <c r="J348" s="151" t="n">
        <f aca="false">E348*(1-F348)*H348</f>
        <v>0</v>
      </c>
      <c r="K348" s="151" t="n">
        <f aca="false">IF(COUNT('12_Datos_5m'!E349:E$504)=0,1000000000000,MIN('12_Datos_5m'!E349:E$504))</f>
        <v>1000000000000</v>
      </c>
      <c r="L348" s="151" t="n">
        <f aca="false">IF(COUNT('12_Datos_5m'!D349:D$504)=0,0,MAX('12_Datos_5m'!D349:D$504))</f>
        <v>0</v>
      </c>
      <c r="M348" s="151" t="str">
        <f aca="false">IF(ISNUMBER(B348),B348*(1-1/'13_Mapa_Liq'!$B$15+'13_Mapa_Liq'!$B$6),"")</f>
        <v/>
      </c>
      <c r="N348" s="151" t="n">
        <f aca="false">IF(ISNUMBER(B348),IF(K348&gt;M348,I348*'13_Mapa_Liq'!$C$15,0),0)</f>
        <v>0</v>
      </c>
      <c r="O348" s="151" t="str">
        <f aca="false">IF(ISNUMBER(B348),B348*(1+1/'13_Mapa_Liq'!$B$15-'13_Mapa_Liq'!$B$6),"")</f>
        <v/>
      </c>
      <c r="P348" s="151" t="n">
        <f aca="false">IF(ISNUMBER(B348),IF(L348&lt;O348,J348*'13_Mapa_Liq'!$C$15,0),0)</f>
        <v>0</v>
      </c>
      <c r="Q348" s="151" t="str">
        <f aca="false">IF(ISNUMBER(B348),B348*(1-1/'13_Mapa_Liq'!$B$16+'13_Mapa_Liq'!$B$6),"")</f>
        <v/>
      </c>
      <c r="R348" s="151" t="n">
        <f aca="false">IF(ISNUMBER(B348),IF(K348&gt;Q348,I348*'13_Mapa_Liq'!$C$16,0),0)</f>
        <v>0</v>
      </c>
      <c r="S348" s="151" t="str">
        <f aca="false">IF(ISNUMBER(B348),B348*(1+1/'13_Mapa_Liq'!$B$16-'13_Mapa_Liq'!$B$6),"")</f>
        <v/>
      </c>
      <c r="T348" s="151" t="n">
        <f aca="false">IF(ISNUMBER(B348),IF(L348&lt;S348,J348*'13_Mapa_Liq'!$C$16,0),0)</f>
        <v>0</v>
      </c>
      <c r="U348" s="151" t="str">
        <f aca="false">IF(ISNUMBER(B348),B348*(1-1/'13_Mapa_Liq'!$B$17+'13_Mapa_Liq'!$B$6),"")</f>
        <v/>
      </c>
      <c r="V348" s="151" t="n">
        <f aca="false">IF(ISNUMBER(B348),IF(K348&gt;U348,I348*'13_Mapa_Liq'!$C$17,0),0)</f>
        <v>0</v>
      </c>
      <c r="W348" s="151" t="str">
        <f aca="false">IF(ISNUMBER(B348),B348*(1+1/'13_Mapa_Liq'!$B$17-'13_Mapa_Liq'!$B$6),"")</f>
        <v/>
      </c>
      <c r="X348" s="151" t="n">
        <f aca="false">IF(ISNUMBER(B348),IF(L348&lt;W348,J348*'13_Mapa_Liq'!$C$17,0),0)</f>
        <v>0</v>
      </c>
      <c r="Y348" s="151" t="str">
        <f aca="false">IF(ISNUMBER(B348),B348*(1-1/'13_Mapa_Liq'!$B$18+'13_Mapa_Liq'!$B$6),"")</f>
        <v/>
      </c>
      <c r="Z348" s="151" t="n">
        <f aca="false">IF(ISNUMBER(B348),IF(K348&gt;Y348,I348*'13_Mapa_Liq'!$C$18,0),0)</f>
        <v>0</v>
      </c>
      <c r="AA348" s="151" t="str">
        <f aca="false">IF(ISNUMBER(B348),B348*(1+1/'13_Mapa_Liq'!$B$18-'13_Mapa_Liq'!$B$6),"")</f>
        <v/>
      </c>
      <c r="AB348" s="151" t="n">
        <f aca="false">IF(ISNUMBER(B348),IF(L348&lt;AA348,J348*'13_Mapa_Liq'!$C$18,0),0)</f>
        <v>0</v>
      </c>
      <c r="AC348" s="151" t="str">
        <f aca="false">IF(ISNUMBER(B348),B348*(1-1/'13_Mapa_Liq'!$B$19+'13_Mapa_Liq'!$B$6),"")</f>
        <v/>
      </c>
      <c r="AD348" s="151" t="n">
        <f aca="false">IF(ISNUMBER(B348),IF(K348&gt;AC348,I348*'13_Mapa_Liq'!$C$19,0),0)</f>
        <v>0</v>
      </c>
      <c r="AE348" s="151" t="str">
        <f aca="false">IF(ISNUMBER(B348),B348*(1+1/'13_Mapa_Liq'!$B$19-'13_Mapa_Liq'!$B$6),"")</f>
        <v/>
      </c>
      <c r="AF348" s="151" t="n">
        <f aca="false">IF(ISNUMBER(B348),IF(L348&lt;AE348,J348*'13_Mapa_Liq'!$C$19,0),0)</f>
        <v>0</v>
      </c>
      <c r="AG348" s="151"/>
      <c r="AH348" s="151" t="n">
        <f aca="false">IF(ISNUMBER(B348),E348*F348*((K348&lt;=M348)*'13_Mapa_Liq'!$C$15+(K348&lt;=Q348)*'13_Mapa_Liq'!$C$16+(K348&lt;=U348)*'13_Mapa_Liq'!$C$17+(K348&lt;=Y348)*'13_Mapa_Liq'!$C$18+(K348&lt;=AC348)*'13_Mapa_Liq'!$C$19),0)</f>
        <v>0</v>
      </c>
      <c r="AI348" s="151" t="n">
        <f aca="false">IF(ISNUMBER(B348),E348*(1-F348)*((L348&gt;=O348)*'13_Mapa_Liq'!$C$15+(L348&gt;=S348)*'13_Mapa_Liq'!$C$16+(L348&gt;=W348)*'13_Mapa_Liq'!$C$17+(L348&gt;=AA348)*'13_Mapa_Liq'!$C$18+(L348&gt;=AE348)*'13_Mapa_Liq'!$C$19),0)</f>
        <v>0</v>
      </c>
    </row>
    <row r="349" customFormat="false" ht="15" hidden="false" customHeight="false" outlineLevel="0" collapsed="false">
      <c r="A349" s="151" t="str">
        <f aca="false">IF(ISNUMBER('12_Datos_5m'!F349),ROW()-4,"")</f>
        <v/>
      </c>
      <c r="B349" s="151" t="str">
        <f aca="false">IF(ISNUMBER('12_Datos_5m'!F349),'12_Datos_5m'!F349,"")</f>
        <v/>
      </c>
      <c r="C349" s="151" t="str">
        <f aca="false">IF(ISNUMBER('12_Datos_5m'!A349),'12_Datos_5m'!A349,"")</f>
        <v/>
      </c>
      <c r="D349" s="151" t="n">
        <f aca="false">IF(AND(ISNUMBER('12_Datos_5m'!I349),ISNUMBER('12_Datos_5m'!I348)),'12_Datos_5m'!I349-'12_Datos_5m'!I348,0)</f>
        <v>0</v>
      </c>
      <c r="E349" s="151" t="n">
        <f aca="false">MAX(0,D349)</f>
        <v>0</v>
      </c>
      <c r="F349" s="151" t="n">
        <f aca="false">IF(AND(ISNUMBER('12_Datos_5m'!G349),N('12_Datos_5m'!G349)&gt;0),'12_Datos_5m'!H349/'12_Datos_5m'!G349,0.5)</f>
        <v>0.5</v>
      </c>
      <c r="G349" s="151" t="n">
        <f aca="false">IF(ISNUMBER(C349),($C$2-C349)/3600000,0)</f>
        <v>0</v>
      </c>
      <c r="H349" s="151" t="n">
        <f aca="false">EXP(-G349/'13_Mapa_Liq'!$B$7)</f>
        <v>1</v>
      </c>
      <c r="I349" s="151" t="n">
        <f aca="false">E349*F349*H349</f>
        <v>0</v>
      </c>
      <c r="J349" s="151" t="n">
        <f aca="false">E349*(1-F349)*H349</f>
        <v>0</v>
      </c>
      <c r="K349" s="151" t="n">
        <f aca="false">IF(COUNT('12_Datos_5m'!E350:E$504)=0,1000000000000,MIN('12_Datos_5m'!E350:E$504))</f>
        <v>1000000000000</v>
      </c>
      <c r="L349" s="151" t="n">
        <f aca="false">IF(COUNT('12_Datos_5m'!D350:D$504)=0,0,MAX('12_Datos_5m'!D350:D$504))</f>
        <v>0</v>
      </c>
      <c r="M349" s="151" t="str">
        <f aca="false">IF(ISNUMBER(B349),B349*(1-1/'13_Mapa_Liq'!$B$15+'13_Mapa_Liq'!$B$6),"")</f>
        <v/>
      </c>
      <c r="N349" s="151" t="n">
        <f aca="false">IF(ISNUMBER(B349),IF(K349&gt;M349,I349*'13_Mapa_Liq'!$C$15,0),0)</f>
        <v>0</v>
      </c>
      <c r="O349" s="151" t="str">
        <f aca="false">IF(ISNUMBER(B349),B349*(1+1/'13_Mapa_Liq'!$B$15-'13_Mapa_Liq'!$B$6),"")</f>
        <v/>
      </c>
      <c r="P349" s="151" t="n">
        <f aca="false">IF(ISNUMBER(B349),IF(L349&lt;O349,J349*'13_Mapa_Liq'!$C$15,0),0)</f>
        <v>0</v>
      </c>
      <c r="Q349" s="151" t="str">
        <f aca="false">IF(ISNUMBER(B349),B349*(1-1/'13_Mapa_Liq'!$B$16+'13_Mapa_Liq'!$B$6),"")</f>
        <v/>
      </c>
      <c r="R349" s="151" t="n">
        <f aca="false">IF(ISNUMBER(B349),IF(K349&gt;Q349,I349*'13_Mapa_Liq'!$C$16,0),0)</f>
        <v>0</v>
      </c>
      <c r="S349" s="151" t="str">
        <f aca="false">IF(ISNUMBER(B349),B349*(1+1/'13_Mapa_Liq'!$B$16-'13_Mapa_Liq'!$B$6),"")</f>
        <v/>
      </c>
      <c r="T349" s="151" t="n">
        <f aca="false">IF(ISNUMBER(B349),IF(L349&lt;S349,J349*'13_Mapa_Liq'!$C$16,0),0)</f>
        <v>0</v>
      </c>
      <c r="U349" s="151" t="str">
        <f aca="false">IF(ISNUMBER(B349),B349*(1-1/'13_Mapa_Liq'!$B$17+'13_Mapa_Liq'!$B$6),"")</f>
        <v/>
      </c>
      <c r="V349" s="151" t="n">
        <f aca="false">IF(ISNUMBER(B349),IF(K349&gt;U349,I349*'13_Mapa_Liq'!$C$17,0),0)</f>
        <v>0</v>
      </c>
      <c r="W349" s="151" t="str">
        <f aca="false">IF(ISNUMBER(B349),B349*(1+1/'13_Mapa_Liq'!$B$17-'13_Mapa_Liq'!$B$6),"")</f>
        <v/>
      </c>
      <c r="X349" s="151" t="n">
        <f aca="false">IF(ISNUMBER(B349),IF(L349&lt;W349,J349*'13_Mapa_Liq'!$C$17,0),0)</f>
        <v>0</v>
      </c>
      <c r="Y349" s="151" t="str">
        <f aca="false">IF(ISNUMBER(B349),B349*(1-1/'13_Mapa_Liq'!$B$18+'13_Mapa_Liq'!$B$6),"")</f>
        <v/>
      </c>
      <c r="Z349" s="151" t="n">
        <f aca="false">IF(ISNUMBER(B349),IF(K349&gt;Y349,I349*'13_Mapa_Liq'!$C$18,0),0)</f>
        <v>0</v>
      </c>
      <c r="AA349" s="151" t="str">
        <f aca="false">IF(ISNUMBER(B349),B349*(1+1/'13_Mapa_Liq'!$B$18-'13_Mapa_Liq'!$B$6),"")</f>
        <v/>
      </c>
      <c r="AB349" s="151" t="n">
        <f aca="false">IF(ISNUMBER(B349),IF(L349&lt;AA349,J349*'13_Mapa_Liq'!$C$18,0),0)</f>
        <v>0</v>
      </c>
      <c r="AC349" s="151" t="str">
        <f aca="false">IF(ISNUMBER(B349),B349*(1-1/'13_Mapa_Liq'!$B$19+'13_Mapa_Liq'!$B$6),"")</f>
        <v/>
      </c>
      <c r="AD349" s="151" t="n">
        <f aca="false">IF(ISNUMBER(B349),IF(K349&gt;AC349,I349*'13_Mapa_Liq'!$C$19,0),0)</f>
        <v>0</v>
      </c>
      <c r="AE349" s="151" t="str">
        <f aca="false">IF(ISNUMBER(B349),B349*(1+1/'13_Mapa_Liq'!$B$19-'13_Mapa_Liq'!$B$6),"")</f>
        <v/>
      </c>
      <c r="AF349" s="151" t="n">
        <f aca="false">IF(ISNUMBER(B349),IF(L349&lt;AE349,J349*'13_Mapa_Liq'!$C$19,0),0)</f>
        <v>0</v>
      </c>
      <c r="AG349" s="151"/>
      <c r="AH349" s="151" t="n">
        <f aca="false">IF(ISNUMBER(B349),E349*F349*((K349&lt;=M349)*'13_Mapa_Liq'!$C$15+(K349&lt;=Q349)*'13_Mapa_Liq'!$C$16+(K349&lt;=U349)*'13_Mapa_Liq'!$C$17+(K349&lt;=Y349)*'13_Mapa_Liq'!$C$18+(K349&lt;=AC349)*'13_Mapa_Liq'!$C$19),0)</f>
        <v>0</v>
      </c>
      <c r="AI349" s="151" t="n">
        <f aca="false">IF(ISNUMBER(B349),E349*(1-F349)*((L349&gt;=O349)*'13_Mapa_Liq'!$C$15+(L349&gt;=S349)*'13_Mapa_Liq'!$C$16+(L349&gt;=W349)*'13_Mapa_Liq'!$C$17+(L349&gt;=AA349)*'13_Mapa_Liq'!$C$18+(L349&gt;=AE349)*'13_Mapa_Liq'!$C$19),0)</f>
        <v>0</v>
      </c>
    </row>
    <row r="350" customFormat="false" ht="15" hidden="false" customHeight="false" outlineLevel="0" collapsed="false">
      <c r="A350" s="151" t="str">
        <f aca="false">IF(ISNUMBER('12_Datos_5m'!F350),ROW()-4,"")</f>
        <v/>
      </c>
      <c r="B350" s="151" t="str">
        <f aca="false">IF(ISNUMBER('12_Datos_5m'!F350),'12_Datos_5m'!F350,"")</f>
        <v/>
      </c>
      <c r="C350" s="151" t="str">
        <f aca="false">IF(ISNUMBER('12_Datos_5m'!A350),'12_Datos_5m'!A350,"")</f>
        <v/>
      </c>
      <c r="D350" s="151" t="n">
        <f aca="false">IF(AND(ISNUMBER('12_Datos_5m'!I350),ISNUMBER('12_Datos_5m'!I349)),'12_Datos_5m'!I350-'12_Datos_5m'!I349,0)</f>
        <v>0</v>
      </c>
      <c r="E350" s="151" t="n">
        <f aca="false">MAX(0,D350)</f>
        <v>0</v>
      </c>
      <c r="F350" s="151" t="n">
        <f aca="false">IF(AND(ISNUMBER('12_Datos_5m'!G350),N('12_Datos_5m'!G350)&gt;0),'12_Datos_5m'!H350/'12_Datos_5m'!G350,0.5)</f>
        <v>0.5</v>
      </c>
      <c r="G350" s="151" t="n">
        <f aca="false">IF(ISNUMBER(C350),($C$2-C350)/3600000,0)</f>
        <v>0</v>
      </c>
      <c r="H350" s="151" t="n">
        <f aca="false">EXP(-G350/'13_Mapa_Liq'!$B$7)</f>
        <v>1</v>
      </c>
      <c r="I350" s="151" t="n">
        <f aca="false">E350*F350*H350</f>
        <v>0</v>
      </c>
      <c r="J350" s="151" t="n">
        <f aca="false">E350*(1-F350)*H350</f>
        <v>0</v>
      </c>
      <c r="K350" s="151" t="n">
        <f aca="false">IF(COUNT('12_Datos_5m'!E351:E$504)=0,1000000000000,MIN('12_Datos_5m'!E351:E$504))</f>
        <v>1000000000000</v>
      </c>
      <c r="L350" s="151" t="n">
        <f aca="false">IF(COUNT('12_Datos_5m'!D351:D$504)=0,0,MAX('12_Datos_5m'!D351:D$504))</f>
        <v>0</v>
      </c>
      <c r="M350" s="151" t="str">
        <f aca="false">IF(ISNUMBER(B350),B350*(1-1/'13_Mapa_Liq'!$B$15+'13_Mapa_Liq'!$B$6),"")</f>
        <v/>
      </c>
      <c r="N350" s="151" t="n">
        <f aca="false">IF(ISNUMBER(B350),IF(K350&gt;M350,I350*'13_Mapa_Liq'!$C$15,0),0)</f>
        <v>0</v>
      </c>
      <c r="O350" s="151" t="str">
        <f aca="false">IF(ISNUMBER(B350),B350*(1+1/'13_Mapa_Liq'!$B$15-'13_Mapa_Liq'!$B$6),"")</f>
        <v/>
      </c>
      <c r="P350" s="151" t="n">
        <f aca="false">IF(ISNUMBER(B350),IF(L350&lt;O350,J350*'13_Mapa_Liq'!$C$15,0),0)</f>
        <v>0</v>
      </c>
      <c r="Q350" s="151" t="str">
        <f aca="false">IF(ISNUMBER(B350),B350*(1-1/'13_Mapa_Liq'!$B$16+'13_Mapa_Liq'!$B$6),"")</f>
        <v/>
      </c>
      <c r="R350" s="151" t="n">
        <f aca="false">IF(ISNUMBER(B350),IF(K350&gt;Q350,I350*'13_Mapa_Liq'!$C$16,0),0)</f>
        <v>0</v>
      </c>
      <c r="S350" s="151" t="str">
        <f aca="false">IF(ISNUMBER(B350),B350*(1+1/'13_Mapa_Liq'!$B$16-'13_Mapa_Liq'!$B$6),"")</f>
        <v/>
      </c>
      <c r="T350" s="151" t="n">
        <f aca="false">IF(ISNUMBER(B350),IF(L350&lt;S350,J350*'13_Mapa_Liq'!$C$16,0),0)</f>
        <v>0</v>
      </c>
      <c r="U350" s="151" t="str">
        <f aca="false">IF(ISNUMBER(B350),B350*(1-1/'13_Mapa_Liq'!$B$17+'13_Mapa_Liq'!$B$6),"")</f>
        <v/>
      </c>
      <c r="V350" s="151" t="n">
        <f aca="false">IF(ISNUMBER(B350),IF(K350&gt;U350,I350*'13_Mapa_Liq'!$C$17,0),0)</f>
        <v>0</v>
      </c>
      <c r="W350" s="151" t="str">
        <f aca="false">IF(ISNUMBER(B350),B350*(1+1/'13_Mapa_Liq'!$B$17-'13_Mapa_Liq'!$B$6),"")</f>
        <v/>
      </c>
      <c r="X350" s="151" t="n">
        <f aca="false">IF(ISNUMBER(B350),IF(L350&lt;W350,J350*'13_Mapa_Liq'!$C$17,0),0)</f>
        <v>0</v>
      </c>
      <c r="Y350" s="151" t="str">
        <f aca="false">IF(ISNUMBER(B350),B350*(1-1/'13_Mapa_Liq'!$B$18+'13_Mapa_Liq'!$B$6),"")</f>
        <v/>
      </c>
      <c r="Z350" s="151" t="n">
        <f aca="false">IF(ISNUMBER(B350),IF(K350&gt;Y350,I350*'13_Mapa_Liq'!$C$18,0),0)</f>
        <v>0</v>
      </c>
      <c r="AA350" s="151" t="str">
        <f aca="false">IF(ISNUMBER(B350),B350*(1+1/'13_Mapa_Liq'!$B$18-'13_Mapa_Liq'!$B$6),"")</f>
        <v/>
      </c>
      <c r="AB350" s="151" t="n">
        <f aca="false">IF(ISNUMBER(B350),IF(L350&lt;AA350,J350*'13_Mapa_Liq'!$C$18,0),0)</f>
        <v>0</v>
      </c>
      <c r="AC350" s="151" t="str">
        <f aca="false">IF(ISNUMBER(B350),B350*(1-1/'13_Mapa_Liq'!$B$19+'13_Mapa_Liq'!$B$6),"")</f>
        <v/>
      </c>
      <c r="AD350" s="151" t="n">
        <f aca="false">IF(ISNUMBER(B350),IF(K350&gt;AC350,I350*'13_Mapa_Liq'!$C$19,0),0)</f>
        <v>0</v>
      </c>
      <c r="AE350" s="151" t="str">
        <f aca="false">IF(ISNUMBER(B350),B350*(1+1/'13_Mapa_Liq'!$B$19-'13_Mapa_Liq'!$B$6),"")</f>
        <v/>
      </c>
      <c r="AF350" s="151" t="n">
        <f aca="false">IF(ISNUMBER(B350),IF(L350&lt;AE350,J350*'13_Mapa_Liq'!$C$19,0),0)</f>
        <v>0</v>
      </c>
      <c r="AG350" s="151"/>
      <c r="AH350" s="151" t="n">
        <f aca="false">IF(ISNUMBER(B350),E350*F350*((K350&lt;=M350)*'13_Mapa_Liq'!$C$15+(K350&lt;=Q350)*'13_Mapa_Liq'!$C$16+(K350&lt;=U350)*'13_Mapa_Liq'!$C$17+(K350&lt;=Y350)*'13_Mapa_Liq'!$C$18+(K350&lt;=AC350)*'13_Mapa_Liq'!$C$19),0)</f>
        <v>0</v>
      </c>
      <c r="AI350" s="151" t="n">
        <f aca="false">IF(ISNUMBER(B350),E350*(1-F350)*((L350&gt;=O350)*'13_Mapa_Liq'!$C$15+(L350&gt;=S350)*'13_Mapa_Liq'!$C$16+(L350&gt;=W350)*'13_Mapa_Liq'!$C$17+(L350&gt;=AA350)*'13_Mapa_Liq'!$C$18+(L350&gt;=AE350)*'13_Mapa_Liq'!$C$19),0)</f>
        <v>0</v>
      </c>
    </row>
    <row r="351" customFormat="false" ht="15" hidden="false" customHeight="false" outlineLevel="0" collapsed="false">
      <c r="A351" s="151" t="str">
        <f aca="false">IF(ISNUMBER('12_Datos_5m'!F351),ROW()-4,"")</f>
        <v/>
      </c>
      <c r="B351" s="151" t="str">
        <f aca="false">IF(ISNUMBER('12_Datos_5m'!F351),'12_Datos_5m'!F351,"")</f>
        <v/>
      </c>
      <c r="C351" s="151" t="str">
        <f aca="false">IF(ISNUMBER('12_Datos_5m'!A351),'12_Datos_5m'!A351,"")</f>
        <v/>
      </c>
      <c r="D351" s="151" t="n">
        <f aca="false">IF(AND(ISNUMBER('12_Datos_5m'!I351),ISNUMBER('12_Datos_5m'!I350)),'12_Datos_5m'!I351-'12_Datos_5m'!I350,0)</f>
        <v>0</v>
      </c>
      <c r="E351" s="151" t="n">
        <f aca="false">MAX(0,D351)</f>
        <v>0</v>
      </c>
      <c r="F351" s="151" t="n">
        <f aca="false">IF(AND(ISNUMBER('12_Datos_5m'!G351),N('12_Datos_5m'!G351)&gt;0),'12_Datos_5m'!H351/'12_Datos_5m'!G351,0.5)</f>
        <v>0.5</v>
      </c>
      <c r="G351" s="151" t="n">
        <f aca="false">IF(ISNUMBER(C351),($C$2-C351)/3600000,0)</f>
        <v>0</v>
      </c>
      <c r="H351" s="151" t="n">
        <f aca="false">EXP(-G351/'13_Mapa_Liq'!$B$7)</f>
        <v>1</v>
      </c>
      <c r="I351" s="151" t="n">
        <f aca="false">E351*F351*H351</f>
        <v>0</v>
      </c>
      <c r="J351" s="151" t="n">
        <f aca="false">E351*(1-F351)*H351</f>
        <v>0</v>
      </c>
      <c r="K351" s="151" t="n">
        <f aca="false">IF(COUNT('12_Datos_5m'!E352:E$504)=0,1000000000000,MIN('12_Datos_5m'!E352:E$504))</f>
        <v>1000000000000</v>
      </c>
      <c r="L351" s="151" t="n">
        <f aca="false">IF(COUNT('12_Datos_5m'!D352:D$504)=0,0,MAX('12_Datos_5m'!D352:D$504))</f>
        <v>0</v>
      </c>
      <c r="M351" s="151" t="str">
        <f aca="false">IF(ISNUMBER(B351),B351*(1-1/'13_Mapa_Liq'!$B$15+'13_Mapa_Liq'!$B$6),"")</f>
        <v/>
      </c>
      <c r="N351" s="151" t="n">
        <f aca="false">IF(ISNUMBER(B351),IF(K351&gt;M351,I351*'13_Mapa_Liq'!$C$15,0),0)</f>
        <v>0</v>
      </c>
      <c r="O351" s="151" t="str">
        <f aca="false">IF(ISNUMBER(B351),B351*(1+1/'13_Mapa_Liq'!$B$15-'13_Mapa_Liq'!$B$6),"")</f>
        <v/>
      </c>
      <c r="P351" s="151" t="n">
        <f aca="false">IF(ISNUMBER(B351),IF(L351&lt;O351,J351*'13_Mapa_Liq'!$C$15,0),0)</f>
        <v>0</v>
      </c>
      <c r="Q351" s="151" t="str">
        <f aca="false">IF(ISNUMBER(B351),B351*(1-1/'13_Mapa_Liq'!$B$16+'13_Mapa_Liq'!$B$6),"")</f>
        <v/>
      </c>
      <c r="R351" s="151" t="n">
        <f aca="false">IF(ISNUMBER(B351),IF(K351&gt;Q351,I351*'13_Mapa_Liq'!$C$16,0),0)</f>
        <v>0</v>
      </c>
      <c r="S351" s="151" t="str">
        <f aca="false">IF(ISNUMBER(B351),B351*(1+1/'13_Mapa_Liq'!$B$16-'13_Mapa_Liq'!$B$6),"")</f>
        <v/>
      </c>
      <c r="T351" s="151" t="n">
        <f aca="false">IF(ISNUMBER(B351),IF(L351&lt;S351,J351*'13_Mapa_Liq'!$C$16,0),0)</f>
        <v>0</v>
      </c>
      <c r="U351" s="151" t="str">
        <f aca="false">IF(ISNUMBER(B351),B351*(1-1/'13_Mapa_Liq'!$B$17+'13_Mapa_Liq'!$B$6),"")</f>
        <v/>
      </c>
      <c r="V351" s="151" t="n">
        <f aca="false">IF(ISNUMBER(B351),IF(K351&gt;U351,I351*'13_Mapa_Liq'!$C$17,0),0)</f>
        <v>0</v>
      </c>
      <c r="W351" s="151" t="str">
        <f aca="false">IF(ISNUMBER(B351),B351*(1+1/'13_Mapa_Liq'!$B$17-'13_Mapa_Liq'!$B$6),"")</f>
        <v/>
      </c>
      <c r="X351" s="151" t="n">
        <f aca="false">IF(ISNUMBER(B351),IF(L351&lt;W351,J351*'13_Mapa_Liq'!$C$17,0),0)</f>
        <v>0</v>
      </c>
      <c r="Y351" s="151" t="str">
        <f aca="false">IF(ISNUMBER(B351),B351*(1-1/'13_Mapa_Liq'!$B$18+'13_Mapa_Liq'!$B$6),"")</f>
        <v/>
      </c>
      <c r="Z351" s="151" t="n">
        <f aca="false">IF(ISNUMBER(B351),IF(K351&gt;Y351,I351*'13_Mapa_Liq'!$C$18,0),0)</f>
        <v>0</v>
      </c>
      <c r="AA351" s="151" t="str">
        <f aca="false">IF(ISNUMBER(B351),B351*(1+1/'13_Mapa_Liq'!$B$18-'13_Mapa_Liq'!$B$6),"")</f>
        <v/>
      </c>
      <c r="AB351" s="151" t="n">
        <f aca="false">IF(ISNUMBER(B351),IF(L351&lt;AA351,J351*'13_Mapa_Liq'!$C$18,0),0)</f>
        <v>0</v>
      </c>
      <c r="AC351" s="151" t="str">
        <f aca="false">IF(ISNUMBER(B351),B351*(1-1/'13_Mapa_Liq'!$B$19+'13_Mapa_Liq'!$B$6),"")</f>
        <v/>
      </c>
      <c r="AD351" s="151" t="n">
        <f aca="false">IF(ISNUMBER(B351),IF(K351&gt;AC351,I351*'13_Mapa_Liq'!$C$19,0),0)</f>
        <v>0</v>
      </c>
      <c r="AE351" s="151" t="str">
        <f aca="false">IF(ISNUMBER(B351),B351*(1+1/'13_Mapa_Liq'!$B$19-'13_Mapa_Liq'!$B$6),"")</f>
        <v/>
      </c>
      <c r="AF351" s="151" t="n">
        <f aca="false">IF(ISNUMBER(B351),IF(L351&lt;AE351,J351*'13_Mapa_Liq'!$C$19,0),0)</f>
        <v>0</v>
      </c>
      <c r="AG351" s="151"/>
      <c r="AH351" s="151" t="n">
        <f aca="false">IF(ISNUMBER(B351),E351*F351*((K351&lt;=M351)*'13_Mapa_Liq'!$C$15+(K351&lt;=Q351)*'13_Mapa_Liq'!$C$16+(K351&lt;=U351)*'13_Mapa_Liq'!$C$17+(K351&lt;=Y351)*'13_Mapa_Liq'!$C$18+(K351&lt;=AC351)*'13_Mapa_Liq'!$C$19),0)</f>
        <v>0</v>
      </c>
      <c r="AI351" s="151" t="n">
        <f aca="false">IF(ISNUMBER(B351),E351*(1-F351)*((L351&gt;=O351)*'13_Mapa_Liq'!$C$15+(L351&gt;=S351)*'13_Mapa_Liq'!$C$16+(L351&gt;=W351)*'13_Mapa_Liq'!$C$17+(L351&gt;=AA351)*'13_Mapa_Liq'!$C$18+(L351&gt;=AE351)*'13_Mapa_Liq'!$C$19),0)</f>
        <v>0</v>
      </c>
    </row>
    <row r="352" customFormat="false" ht="15" hidden="false" customHeight="false" outlineLevel="0" collapsed="false">
      <c r="A352" s="151" t="str">
        <f aca="false">IF(ISNUMBER('12_Datos_5m'!F352),ROW()-4,"")</f>
        <v/>
      </c>
      <c r="B352" s="151" t="str">
        <f aca="false">IF(ISNUMBER('12_Datos_5m'!F352),'12_Datos_5m'!F352,"")</f>
        <v/>
      </c>
      <c r="C352" s="151" t="str">
        <f aca="false">IF(ISNUMBER('12_Datos_5m'!A352),'12_Datos_5m'!A352,"")</f>
        <v/>
      </c>
      <c r="D352" s="151" t="n">
        <f aca="false">IF(AND(ISNUMBER('12_Datos_5m'!I352),ISNUMBER('12_Datos_5m'!I351)),'12_Datos_5m'!I352-'12_Datos_5m'!I351,0)</f>
        <v>0</v>
      </c>
      <c r="E352" s="151" t="n">
        <f aca="false">MAX(0,D352)</f>
        <v>0</v>
      </c>
      <c r="F352" s="151" t="n">
        <f aca="false">IF(AND(ISNUMBER('12_Datos_5m'!G352),N('12_Datos_5m'!G352)&gt;0),'12_Datos_5m'!H352/'12_Datos_5m'!G352,0.5)</f>
        <v>0.5</v>
      </c>
      <c r="G352" s="151" t="n">
        <f aca="false">IF(ISNUMBER(C352),($C$2-C352)/3600000,0)</f>
        <v>0</v>
      </c>
      <c r="H352" s="151" t="n">
        <f aca="false">EXP(-G352/'13_Mapa_Liq'!$B$7)</f>
        <v>1</v>
      </c>
      <c r="I352" s="151" t="n">
        <f aca="false">E352*F352*H352</f>
        <v>0</v>
      </c>
      <c r="J352" s="151" t="n">
        <f aca="false">E352*(1-F352)*H352</f>
        <v>0</v>
      </c>
      <c r="K352" s="151" t="n">
        <f aca="false">IF(COUNT('12_Datos_5m'!E353:E$504)=0,1000000000000,MIN('12_Datos_5m'!E353:E$504))</f>
        <v>1000000000000</v>
      </c>
      <c r="L352" s="151" t="n">
        <f aca="false">IF(COUNT('12_Datos_5m'!D353:D$504)=0,0,MAX('12_Datos_5m'!D353:D$504))</f>
        <v>0</v>
      </c>
      <c r="M352" s="151" t="str">
        <f aca="false">IF(ISNUMBER(B352),B352*(1-1/'13_Mapa_Liq'!$B$15+'13_Mapa_Liq'!$B$6),"")</f>
        <v/>
      </c>
      <c r="N352" s="151" t="n">
        <f aca="false">IF(ISNUMBER(B352),IF(K352&gt;M352,I352*'13_Mapa_Liq'!$C$15,0),0)</f>
        <v>0</v>
      </c>
      <c r="O352" s="151" t="str">
        <f aca="false">IF(ISNUMBER(B352),B352*(1+1/'13_Mapa_Liq'!$B$15-'13_Mapa_Liq'!$B$6),"")</f>
        <v/>
      </c>
      <c r="P352" s="151" t="n">
        <f aca="false">IF(ISNUMBER(B352),IF(L352&lt;O352,J352*'13_Mapa_Liq'!$C$15,0),0)</f>
        <v>0</v>
      </c>
      <c r="Q352" s="151" t="str">
        <f aca="false">IF(ISNUMBER(B352),B352*(1-1/'13_Mapa_Liq'!$B$16+'13_Mapa_Liq'!$B$6),"")</f>
        <v/>
      </c>
      <c r="R352" s="151" t="n">
        <f aca="false">IF(ISNUMBER(B352),IF(K352&gt;Q352,I352*'13_Mapa_Liq'!$C$16,0),0)</f>
        <v>0</v>
      </c>
      <c r="S352" s="151" t="str">
        <f aca="false">IF(ISNUMBER(B352),B352*(1+1/'13_Mapa_Liq'!$B$16-'13_Mapa_Liq'!$B$6),"")</f>
        <v/>
      </c>
      <c r="T352" s="151" t="n">
        <f aca="false">IF(ISNUMBER(B352),IF(L352&lt;S352,J352*'13_Mapa_Liq'!$C$16,0),0)</f>
        <v>0</v>
      </c>
      <c r="U352" s="151" t="str">
        <f aca="false">IF(ISNUMBER(B352),B352*(1-1/'13_Mapa_Liq'!$B$17+'13_Mapa_Liq'!$B$6),"")</f>
        <v/>
      </c>
      <c r="V352" s="151" t="n">
        <f aca="false">IF(ISNUMBER(B352),IF(K352&gt;U352,I352*'13_Mapa_Liq'!$C$17,0),0)</f>
        <v>0</v>
      </c>
      <c r="W352" s="151" t="str">
        <f aca="false">IF(ISNUMBER(B352),B352*(1+1/'13_Mapa_Liq'!$B$17-'13_Mapa_Liq'!$B$6),"")</f>
        <v/>
      </c>
      <c r="X352" s="151" t="n">
        <f aca="false">IF(ISNUMBER(B352),IF(L352&lt;W352,J352*'13_Mapa_Liq'!$C$17,0),0)</f>
        <v>0</v>
      </c>
      <c r="Y352" s="151" t="str">
        <f aca="false">IF(ISNUMBER(B352),B352*(1-1/'13_Mapa_Liq'!$B$18+'13_Mapa_Liq'!$B$6),"")</f>
        <v/>
      </c>
      <c r="Z352" s="151" t="n">
        <f aca="false">IF(ISNUMBER(B352),IF(K352&gt;Y352,I352*'13_Mapa_Liq'!$C$18,0),0)</f>
        <v>0</v>
      </c>
      <c r="AA352" s="151" t="str">
        <f aca="false">IF(ISNUMBER(B352),B352*(1+1/'13_Mapa_Liq'!$B$18-'13_Mapa_Liq'!$B$6),"")</f>
        <v/>
      </c>
      <c r="AB352" s="151" t="n">
        <f aca="false">IF(ISNUMBER(B352),IF(L352&lt;AA352,J352*'13_Mapa_Liq'!$C$18,0),0)</f>
        <v>0</v>
      </c>
      <c r="AC352" s="151" t="str">
        <f aca="false">IF(ISNUMBER(B352),B352*(1-1/'13_Mapa_Liq'!$B$19+'13_Mapa_Liq'!$B$6),"")</f>
        <v/>
      </c>
      <c r="AD352" s="151" t="n">
        <f aca="false">IF(ISNUMBER(B352),IF(K352&gt;AC352,I352*'13_Mapa_Liq'!$C$19,0),0)</f>
        <v>0</v>
      </c>
      <c r="AE352" s="151" t="str">
        <f aca="false">IF(ISNUMBER(B352),B352*(1+1/'13_Mapa_Liq'!$B$19-'13_Mapa_Liq'!$B$6),"")</f>
        <v/>
      </c>
      <c r="AF352" s="151" t="n">
        <f aca="false">IF(ISNUMBER(B352),IF(L352&lt;AE352,J352*'13_Mapa_Liq'!$C$19,0),0)</f>
        <v>0</v>
      </c>
      <c r="AG352" s="151"/>
      <c r="AH352" s="151" t="n">
        <f aca="false">IF(ISNUMBER(B352),E352*F352*((K352&lt;=M352)*'13_Mapa_Liq'!$C$15+(K352&lt;=Q352)*'13_Mapa_Liq'!$C$16+(K352&lt;=U352)*'13_Mapa_Liq'!$C$17+(K352&lt;=Y352)*'13_Mapa_Liq'!$C$18+(K352&lt;=AC352)*'13_Mapa_Liq'!$C$19),0)</f>
        <v>0</v>
      </c>
      <c r="AI352" s="151" t="n">
        <f aca="false">IF(ISNUMBER(B352),E352*(1-F352)*((L352&gt;=O352)*'13_Mapa_Liq'!$C$15+(L352&gt;=S352)*'13_Mapa_Liq'!$C$16+(L352&gt;=W352)*'13_Mapa_Liq'!$C$17+(L352&gt;=AA352)*'13_Mapa_Liq'!$C$18+(L352&gt;=AE352)*'13_Mapa_Liq'!$C$19),0)</f>
        <v>0</v>
      </c>
    </row>
    <row r="353" customFormat="false" ht="15" hidden="false" customHeight="false" outlineLevel="0" collapsed="false">
      <c r="A353" s="151" t="str">
        <f aca="false">IF(ISNUMBER('12_Datos_5m'!F353),ROW()-4,"")</f>
        <v/>
      </c>
      <c r="B353" s="151" t="str">
        <f aca="false">IF(ISNUMBER('12_Datos_5m'!F353),'12_Datos_5m'!F353,"")</f>
        <v/>
      </c>
      <c r="C353" s="151" t="str">
        <f aca="false">IF(ISNUMBER('12_Datos_5m'!A353),'12_Datos_5m'!A353,"")</f>
        <v/>
      </c>
      <c r="D353" s="151" t="n">
        <f aca="false">IF(AND(ISNUMBER('12_Datos_5m'!I353),ISNUMBER('12_Datos_5m'!I352)),'12_Datos_5m'!I353-'12_Datos_5m'!I352,0)</f>
        <v>0</v>
      </c>
      <c r="E353" s="151" t="n">
        <f aca="false">MAX(0,D353)</f>
        <v>0</v>
      </c>
      <c r="F353" s="151" t="n">
        <f aca="false">IF(AND(ISNUMBER('12_Datos_5m'!G353),N('12_Datos_5m'!G353)&gt;0),'12_Datos_5m'!H353/'12_Datos_5m'!G353,0.5)</f>
        <v>0.5</v>
      </c>
      <c r="G353" s="151" t="n">
        <f aca="false">IF(ISNUMBER(C353),($C$2-C353)/3600000,0)</f>
        <v>0</v>
      </c>
      <c r="H353" s="151" t="n">
        <f aca="false">EXP(-G353/'13_Mapa_Liq'!$B$7)</f>
        <v>1</v>
      </c>
      <c r="I353" s="151" t="n">
        <f aca="false">E353*F353*H353</f>
        <v>0</v>
      </c>
      <c r="J353" s="151" t="n">
        <f aca="false">E353*(1-F353)*H353</f>
        <v>0</v>
      </c>
      <c r="K353" s="151" t="n">
        <f aca="false">IF(COUNT('12_Datos_5m'!E354:E$504)=0,1000000000000,MIN('12_Datos_5m'!E354:E$504))</f>
        <v>1000000000000</v>
      </c>
      <c r="L353" s="151" t="n">
        <f aca="false">IF(COUNT('12_Datos_5m'!D354:D$504)=0,0,MAX('12_Datos_5m'!D354:D$504))</f>
        <v>0</v>
      </c>
      <c r="M353" s="151" t="str">
        <f aca="false">IF(ISNUMBER(B353),B353*(1-1/'13_Mapa_Liq'!$B$15+'13_Mapa_Liq'!$B$6),"")</f>
        <v/>
      </c>
      <c r="N353" s="151" t="n">
        <f aca="false">IF(ISNUMBER(B353),IF(K353&gt;M353,I353*'13_Mapa_Liq'!$C$15,0),0)</f>
        <v>0</v>
      </c>
      <c r="O353" s="151" t="str">
        <f aca="false">IF(ISNUMBER(B353),B353*(1+1/'13_Mapa_Liq'!$B$15-'13_Mapa_Liq'!$B$6),"")</f>
        <v/>
      </c>
      <c r="P353" s="151" t="n">
        <f aca="false">IF(ISNUMBER(B353),IF(L353&lt;O353,J353*'13_Mapa_Liq'!$C$15,0),0)</f>
        <v>0</v>
      </c>
      <c r="Q353" s="151" t="str">
        <f aca="false">IF(ISNUMBER(B353),B353*(1-1/'13_Mapa_Liq'!$B$16+'13_Mapa_Liq'!$B$6),"")</f>
        <v/>
      </c>
      <c r="R353" s="151" t="n">
        <f aca="false">IF(ISNUMBER(B353),IF(K353&gt;Q353,I353*'13_Mapa_Liq'!$C$16,0),0)</f>
        <v>0</v>
      </c>
      <c r="S353" s="151" t="str">
        <f aca="false">IF(ISNUMBER(B353),B353*(1+1/'13_Mapa_Liq'!$B$16-'13_Mapa_Liq'!$B$6),"")</f>
        <v/>
      </c>
      <c r="T353" s="151" t="n">
        <f aca="false">IF(ISNUMBER(B353),IF(L353&lt;S353,J353*'13_Mapa_Liq'!$C$16,0),0)</f>
        <v>0</v>
      </c>
      <c r="U353" s="151" t="str">
        <f aca="false">IF(ISNUMBER(B353),B353*(1-1/'13_Mapa_Liq'!$B$17+'13_Mapa_Liq'!$B$6),"")</f>
        <v/>
      </c>
      <c r="V353" s="151" t="n">
        <f aca="false">IF(ISNUMBER(B353),IF(K353&gt;U353,I353*'13_Mapa_Liq'!$C$17,0),0)</f>
        <v>0</v>
      </c>
      <c r="W353" s="151" t="str">
        <f aca="false">IF(ISNUMBER(B353),B353*(1+1/'13_Mapa_Liq'!$B$17-'13_Mapa_Liq'!$B$6),"")</f>
        <v/>
      </c>
      <c r="X353" s="151" t="n">
        <f aca="false">IF(ISNUMBER(B353),IF(L353&lt;W353,J353*'13_Mapa_Liq'!$C$17,0),0)</f>
        <v>0</v>
      </c>
      <c r="Y353" s="151" t="str">
        <f aca="false">IF(ISNUMBER(B353),B353*(1-1/'13_Mapa_Liq'!$B$18+'13_Mapa_Liq'!$B$6),"")</f>
        <v/>
      </c>
      <c r="Z353" s="151" t="n">
        <f aca="false">IF(ISNUMBER(B353),IF(K353&gt;Y353,I353*'13_Mapa_Liq'!$C$18,0),0)</f>
        <v>0</v>
      </c>
      <c r="AA353" s="151" t="str">
        <f aca="false">IF(ISNUMBER(B353),B353*(1+1/'13_Mapa_Liq'!$B$18-'13_Mapa_Liq'!$B$6),"")</f>
        <v/>
      </c>
      <c r="AB353" s="151" t="n">
        <f aca="false">IF(ISNUMBER(B353),IF(L353&lt;AA353,J353*'13_Mapa_Liq'!$C$18,0),0)</f>
        <v>0</v>
      </c>
      <c r="AC353" s="151" t="str">
        <f aca="false">IF(ISNUMBER(B353),B353*(1-1/'13_Mapa_Liq'!$B$19+'13_Mapa_Liq'!$B$6),"")</f>
        <v/>
      </c>
      <c r="AD353" s="151" t="n">
        <f aca="false">IF(ISNUMBER(B353),IF(K353&gt;AC353,I353*'13_Mapa_Liq'!$C$19,0),0)</f>
        <v>0</v>
      </c>
      <c r="AE353" s="151" t="str">
        <f aca="false">IF(ISNUMBER(B353),B353*(1+1/'13_Mapa_Liq'!$B$19-'13_Mapa_Liq'!$B$6),"")</f>
        <v/>
      </c>
      <c r="AF353" s="151" t="n">
        <f aca="false">IF(ISNUMBER(B353),IF(L353&lt;AE353,J353*'13_Mapa_Liq'!$C$19,0),0)</f>
        <v>0</v>
      </c>
      <c r="AG353" s="151"/>
      <c r="AH353" s="151" t="n">
        <f aca="false">IF(ISNUMBER(B353),E353*F353*((K353&lt;=M353)*'13_Mapa_Liq'!$C$15+(K353&lt;=Q353)*'13_Mapa_Liq'!$C$16+(K353&lt;=U353)*'13_Mapa_Liq'!$C$17+(K353&lt;=Y353)*'13_Mapa_Liq'!$C$18+(K353&lt;=AC353)*'13_Mapa_Liq'!$C$19),0)</f>
        <v>0</v>
      </c>
      <c r="AI353" s="151" t="n">
        <f aca="false">IF(ISNUMBER(B353),E353*(1-F353)*((L353&gt;=O353)*'13_Mapa_Liq'!$C$15+(L353&gt;=S353)*'13_Mapa_Liq'!$C$16+(L353&gt;=W353)*'13_Mapa_Liq'!$C$17+(L353&gt;=AA353)*'13_Mapa_Liq'!$C$18+(L353&gt;=AE353)*'13_Mapa_Liq'!$C$19),0)</f>
        <v>0</v>
      </c>
    </row>
    <row r="354" customFormat="false" ht="15" hidden="false" customHeight="false" outlineLevel="0" collapsed="false">
      <c r="A354" s="151" t="str">
        <f aca="false">IF(ISNUMBER('12_Datos_5m'!F354),ROW()-4,"")</f>
        <v/>
      </c>
      <c r="B354" s="151" t="str">
        <f aca="false">IF(ISNUMBER('12_Datos_5m'!F354),'12_Datos_5m'!F354,"")</f>
        <v/>
      </c>
      <c r="C354" s="151" t="str">
        <f aca="false">IF(ISNUMBER('12_Datos_5m'!A354),'12_Datos_5m'!A354,"")</f>
        <v/>
      </c>
      <c r="D354" s="151" t="n">
        <f aca="false">IF(AND(ISNUMBER('12_Datos_5m'!I354),ISNUMBER('12_Datos_5m'!I353)),'12_Datos_5m'!I354-'12_Datos_5m'!I353,0)</f>
        <v>0</v>
      </c>
      <c r="E354" s="151" t="n">
        <f aca="false">MAX(0,D354)</f>
        <v>0</v>
      </c>
      <c r="F354" s="151" t="n">
        <f aca="false">IF(AND(ISNUMBER('12_Datos_5m'!G354),N('12_Datos_5m'!G354)&gt;0),'12_Datos_5m'!H354/'12_Datos_5m'!G354,0.5)</f>
        <v>0.5</v>
      </c>
      <c r="G354" s="151" t="n">
        <f aca="false">IF(ISNUMBER(C354),($C$2-C354)/3600000,0)</f>
        <v>0</v>
      </c>
      <c r="H354" s="151" t="n">
        <f aca="false">EXP(-G354/'13_Mapa_Liq'!$B$7)</f>
        <v>1</v>
      </c>
      <c r="I354" s="151" t="n">
        <f aca="false">E354*F354*H354</f>
        <v>0</v>
      </c>
      <c r="J354" s="151" t="n">
        <f aca="false">E354*(1-F354)*H354</f>
        <v>0</v>
      </c>
      <c r="K354" s="151" t="n">
        <f aca="false">IF(COUNT('12_Datos_5m'!E355:E$504)=0,1000000000000,MIN('12_Datos_5m'!E355:E$504))</f>
        <v>1000000000000</v>
      </c>
      <c r="L354" s="151" t="n">
        <f aca="false">IF(COUNT('12_Datos_5m'!D355:D$504)=0,0,MAX('12_Datos_5m'!D355:D$504))</f>
        <v>0</v>
      </c>
      <c r="M354" s="151" t="str">
        <f aca="false">IF(ISNUMBER(B354),B354*(1-1/'13_Mapa_Liq'!$B$15+'13_Mapa_Liq'!$B$6),"")</f>
        <v/>
      </c>
      <c r="N354" s="151" t="n">
        <f aca="false">IF(ISNUMBER(B354),IF(K354&gt;M354,I354*'13_Mapa_Liq'!$C$15,0),0)</f>
        <v>0</v>
      </c>
      <c r="O354" s="151" t="str">
        <f aca="false">IF(ISNUMBER(B354),B354*(1+1/'13_Mapa_Liq'!$B$15-'13_Mapa_Liq'!$B$6),"")</f>
        <v/>
      </c>
      <c r="P354" s="151" t="n">
        <f aca="false">IF(ISNUMBER(B354),IF(L354&lt;O354,J354*'13_Mapa_Liq'!$C$15,0),0)</f>
        <v>0</v>
      </c>
      <c r="Q354" s="151" t="str">
        <f aca="false">IF(ISNUMBER(B354),B354*(1-1/'13_Mapa_Liq'!$B$16+'13_Mapa_Liq'!$B$6),"")</f>
        <v/>
      </c>
      <c r="R354" s="151" t="n">
        <f aca="false">IF(ISNUMBER(B354),IF(K354&gt;Q354,I354*'13_Mapa_Liq'!$C$16,0),0)</f>
        <v>0</v>
      </c>
      <c r="S354" s="151" t="str">
        <f aca="false">IF(ISNUMBER(B354),B354*(1+1/'13_Mapa_Liq'!$B$16-'13_Mapa_Liq'!$B$6),"")</f>
        <v/>
      </c>
      <c r="T354" s="151" t="n">
        <f aca="false">IF(ISNUMBER(B354),IF(L354&lt;S354,J354*'13_Mapa_Liq'!$C$16,0),0)</f>
        <v>0</v>
      </c>
      <c r="U354" s="151" t="str">
        <f aca="false">IF(ISNUMBER(B354),B354*(1-1/'13_Mapa_Liq'!$B$17+'13_Mapa_Liq'!$B$6),"")</f>
        <v/>
      </c>
      <c r="V354" s="151" t="n">
        <f aca="false">IF(ISNUMBER(B354),IF(K354&gt;U354,I354*'13_Mapa_Liq'!$C$17,0),0)</f>
        <v>0</v>
      </c>
      <c r="W354" s="151" t="str">
        <f aca="false">IF(ISNUMBER(B354),B354*(1+1/'13_Mapa_Liq'!$B$17-'13_Mapa_Liq'!$B$6),"")</f>
        <v/>
      </c>
      <c r="X354" s="151" t="n">
        <f aca="false">IF(ISNUMBER(B354),IF(L354&lt;W354,J354*'13_Mapa_Liq'!$C$17,0),0)</f>
        <v>0</v>
      </c>
      <c r="Y354" s="151" t="str">
        <f aca="false">IF(ISNUMBER(B354),B354*(1-1/'13_Mapa_Liq'!$B$18+'13_Mapa_Liq'!$B$6),"")</f>
        <v/>
      </c>
      <c r="Z354" s="151" t="n">
        <f aca="false">IF(ISNUMBER(B354),IF(K354&gt;Y354,I354*'13_Mapa_Liq'!$C$18,0),0)</f>
        <v>0</v>
      </c>
      <c r="AA354" s="151" t="str">
        <f aca="false">IF(ISNUMBER(B354),B354*(1+1/'13_Mapa_Liq'!$B$18-'13_Mapa_Liq'!$B$6),"")</f>
        <v/>
      </c>
      <c r="AB354" s="151" t="n">
        <f aca="false">IF(ISNUMBER(B354),IF(L354&lt;AA354,J354*'13_Mapa_Liq'!$C$18,0),0)</f>
        <v>0</v>
      </c>
      <c r="AC354" s="151" t="str">
        <f aca="false">IF(ISNUMBER(B354),B354*(1-1/'13_Mapa_Liq'!$B$19+'13_Mapa_Liq'!$B$6),"")</f>
        <v/>
      </c>
      <c r="AD354" s="151" t="n">
        <f aca="false">IF(ISNUMBER(B354),IF(K354&gt;AC354,I354*'13_Mapa_Liq'!$C$19,0),0)</f>
        <v>0</v>
      </c>
      <c r="AE354" s="151" t="str">
        <f aca="false">IF(ISNUMBER(B354),B354*(1+1/'13_Mapa_Liq'!$B$19-'13_Mapa_Liq'!$B$6),"")</f>
        <v/>
      </c>
      <c r="AF354" s="151" t="n">
        <f aca="false">IF(ISNUMBER(B354),IF(L354&lt;AE354,J354*'13_Mapa_Liq'!$C$19,0),0)</f>
        <v>0</v>
      </c>
      <c r="AG354" s="151"/>
      <c r="AH354" s="151" t="n">
        <f aca="false">IF(ISNUMBER(B354),E354*F354*((K354&lt;=M354)*'13_Mapa_Liq'!$C$15+(K354&lt;=Q354)*'13_Mapa_Liq'!$C$16+(K354&lt;=U354)*'13_Mapa_Liq'!$C$17+(K354&lt;=Y354)*'13_Mapa_Liq'!$C$18+(K354&lt;=AC354)*'13_Mapa_Liq'!$C$19),0)</f>
        <v>0</v>
      </c>
      <c r="AI354" s="151" t="n">
        <f aca="false">IF(ISNUMBER(B354),E354*(1-F354)*((L354&gt;=O354)*'13_Mapa_Liq'!$C$15+(L354&gt;=S354)*'13_Mapa_Liq'!$C$16+(L354&gt;=W354)*'13_Mapa_Liq'!$C$17+(L354&gt;=AA354)*'13_Mapa_Liq'!$C$18+(L354&gt;=AE354)*'13_Mapa_Liq'!$C$19),0)</f>
        <v>0</v>
      </c>
    </row>
    <row r="355" customFormat="false" ht="15" hidden="false" customHeight="false" outlineLevel="0" collapsed="false">
      <c r="A355" s="151" t="str">
        <f aca="false">IF(ISNUMBER('12_Datos_5m'!F355),ROW()-4,"")</f>
        <v/>
      </c>
      <c r="B355" s="151" t="str">
        <f aca="false">IF(ISNUMBER('12_Datos_5m'!F355),'12_Datos_5m'!F355,"")</f>
        <v/>
      </c>
      <c r="C355" s="151" t="str">
        <f aca="false">IF(ISNUMBER('12_Datos_5m'!A355),'12_Datos_5m'!A355,"")</f>
        <v/>
      </c>
      <c r="D355" s="151" t="n">
        <f aca="false">IF(AND(ISNUMBER('12_Datos_5m'!I355),ISNUMBER('12_Datos_5m'!I354)),'12_Datos_5m'!I355-'12_Datos_5m'!I354,0)</f>
        <v>0</v>
      </c>
      <c r="E355" s="151" t="n">
        <f aca="false">MAX(0,D355)</f>
        <v>0</v>
      </c>
      <c r="F355" s="151" t="n">
        <f aca="false">IF(AND(ISNUMBER('12_Datos_5m'!G355),N('12_Datos_5m'!G355)&gt;0),'12_Datos_5m'!H355/'12_Datos_5m'!G355,0.5)</f>
        <v>0.5</v>
      </c>
      <c r="G355" s="151" t="n">
        <f aca="false">IF(ISNUMBER(C355),($C$2-C355)/3600000,0)</f>
        <v>0</v>
      </c>
      <c r="H355" s="151" t="n">
        <f aca="false">EXP(-G355/'13_Mapa_Liq'!$B$7)</f>
        <v>1</v>
      </c>
      <c r="I355" s="151" t="n">
        <f aca="false">E355*F355*H355</f>
        <v>0</v>
      </c>
      <c r="J355" s="151" t="n">
        <f aca="false">E355*(1-F355)*H355</f>
        <v>0</v>
      </c>
      <c r="K355" s="151" t="n">
        <f aca="false">IF(COUNT('12_Datos_5m'!E356:E$504)=0,1000000000000,MIN('12_Datos_5m'!E356:E$504))</f>
        <v>1000000000000</v>
      </c>
      <c r="L355" s="151" t="n">
        <f aca="false">IF(COUNT('12_Datos_5m'!D356:D$504)=0,0,MAX('12_Datos_5m'!D356:D$504))</f>
        <v>0</v>
      </c>
      <c r="M355" s="151" t="str">
        <f aca="false">IF(ISNUMBER(B355),B355*(1-1/'13_Mapa_Liq'!$B$15+'13_Mapa_Liq'!$B$6),"")</f>
        <v/>
      </c>
      <c r="N355" s="151" t="n">
        <f aca="false">IF(ISNUMBER(B355),IF(K355&gt;M355,I355*'13_Mapa_Liq'!$C$15,0),0)</f>
        <v>0</v>
      </c>
      <c r="O355" s="151" t="str">
        <f aca="false">IF(ISNUMBER(B355),B355*(1+1/'13_Mapa_Liq'!$B$15-'13_Mapa_Liq'!$B$6),"")</f>
        <v/>
      </c>
      <c r="P355" s="151" t="n">
        <f aca="false">IF(ISNUMBER(B355),IF(L355&lt;O355,J355*'13_Mapa_Liq'!$C$15,0),0)</f>
        <v>0</v>
      </c>
      <c r="Q355" s="151" t="str">
        <f aca="false">IF(ISNUMBER(B355),B355*(1-1/'13_Mapa_Liq'!$B$16+'13_Mapa_Liq'!$B$6),"")</f>
        <v/>
      </c>
      <c r="R355" s="151" t="n">
        <f aca="false">IF(ISNUMBER(B355),IF(K355&gt;Q355,I355*'13_Mapa_Liq'!$C$16,0),0)</f>
        <v>0</v>
      </c>
      <c r="S355" s="151" t="str">
        <f aca="false">IF(ISNUMBER(B355),B355*(1+1/'13_Mapa_Liq'!$B$16-'13_Mapa_Liq'!$B$6),"")</f>
        <v/>
      </c>
      <c r="T355" s="151" t="n">
        <f aca="false">IF(ISNUMBER(B355),IF(L355&lt;S355,J355*'13_Mapa_Liq'!$C$16,0),0)</f>
        <v>0</v>
      </c>
      <c r="U355" s="151" t="str">
        <f aca="false">IF(ISNUMBER(B355),B355*(1-1/'13_Mapa_Liq'!$B$17+'13_Mapa_Liq'!$B$6),"")</f>
        <v/>
      </c>
      <c r="V355" s="151" t="n">
        <f aca="false">IF(ISNUMBER(B355),IF(K355&gt;U355,I355*'13_Mapa_Liq'!$C$17,0),0)</f>
        <v>0</v>
      </c>
      <c r="W355" s="151" t="str">
        <f aca="false">IF(ISNUMBER(B355),B355*(1+1/'13_Mapa_Liq'!$B$17-'13_Mapa_Liq'!$B$6),"")</f>
        <v/>
      </c>
      <c r="X355" s="151" t="n">
        <f aca="false">IF(ISNUMBER(B355),IF(L355&lt;W355,J355*'13_Mapa_Liq'!$C$17,0),0)</f>
        <v>0</v>
      </c>
      <c r="Y355" s="151" t="str">
        <f aca="false">IF(ISNUMBER(B355),B355*(1-1/'13_Mapa_Liq'!$B$18+'13_Mapa_Liq'!$B$6),"")</f>
        <v/>
      </c>
      <c r="Z355" s="151" t="n">
        <f aca="false">IF(ISNUMBER(B355),IF(K355&gt;Y355,I355*'13_Mapa_Liq'!$C$18,0),0)</f>
        <v>0</v>
      </c>
      <c r="AA355" s="151" t="str">
        <f aca="false">IF(ISNUMBER(B355),B355*(1+1/'13_Mapa_Liq'!$B$18-'13_Mapa_Liq'!$B$6),"")</f>
        <v/>
      </c>
      <c r="AB355" s="151" t="n">
        <f aca="false">IF(ISNUMBER(B355),IF(L355&lt;AA355,J355*'13_Mapa_Liq'!$C$18,0),0)</f>
        <v>0</v>
      </c>
      <c r="AC355" s="151" t="str">
        <f aca="false">IF(ISNUMBER(B355),B355*(1-1/'13_Mapa_Liq'!$B$19+'13_Mapa_Liq'!$B$6),"")</f>
        <v/>
      </c>
      <c r="AD355" s="151" t="n">
        <f aca="false">IF(ISNUMBER(B355),IF(K355&gt;AC355,I355*'13_Mapa_Liq'!$C$19,0),0)</f>
        <v>0</v>
      </c>
      <c r="AE355" s="151" t="str">
        <f aca="false">IF(ISNUMBER(B355),B355*(1+1/'13_Mapa_Liq'!$B$19-'13_Mapa_Liq'!$B$6),"")</f>
        <v/>
      </c>
      <c r="AF355" s="151" t="n">
        <f aca="false">IF(ISNUMBER(B355),IF(L355&lt;AE355,J355*'13_Mapa_Liq'!$C$19,0),0)</f>
        <v>0</v>
      </c>
      <c r="AG355" s="151"/>
      <c r="AH355" s="151" t="n">
        <f aca="false">IF(ISNUMBER(B355),E355*F355*((K355&lt;=M355)*'13_Mapa_Liq'!$C$15+(K355&lt;=Q355)*'13_Mapa_Liq'!$C$16+(K355&lt;=U355)*'13_Mapa_Liq'!$C$17+(K355&lt;=Y355)*'13_Mapa_Liq'!$C$18+(K355&lt;=AC355)*'13_Mapa_Liq'!$C$19),0)</f>
        <v>0</v>
      </c>
      <c r="AI355" s="151" t="n">
        <f aca="false">IF(ISNUMBER(B355),E355*(1-F355)*((L355&gt;=O355)*'13_Mapa_Liq'!$C$15+(L355&gt;=S355)*'13_Mapa_Liq'!$C$16+(L355&gt;=W355)*'13_Mapa_Liq'!$C$17+(L355&gt;=AA355)*'13_Mapa_Liq'!$C$18+(L355&gt;=AE355)*'13_Mapa_Liq'!$C$19),0)</f>
        <v>0</v>
      </c>
    </row>
    <row r="356" customFormat="false" ht="15" hidden="false" customHeight="false" outlineLevel="0" collapsed="false">
      <c r="A356" s="151" t="str">
        <f aca="false">IF(ISNUMBER('12_Datos_5m'!F356),ROW()-4,"")</f>
        <v/>
      </c>
      <c r="B356" s="151" t="str">
        <f aca="false">IF(ISNUMBER('12_Datos_5m'!F356),'12_Datos_5m'!F356,"")</f>
        <v/>
      </c>
      <c r="C356" s="151" t="str">
        <f aca="false">IF(ISNUMBER('12_Datos_5m'!A356),'12_Datos_5m'!A356,"")</f>
        <v/>
      </c>
      <c r="D356" s="151" t="n">
        <f aca="false">IF(AND(ISNUMBER('12_Datos_5m'!I356),ISNUMBER('12_Datos_5m'!I355)),'12_Datos_5m'!I356-'12_Datos_5m'!I355,0)</f>
        <v>0</v>
      </c>
      <c r="E356" s="151" t="n">
        <f aca="false">MAX(0,D356)</f>
        <v>0</v>
      </c>
      <c r="F356" s="151" t="n">
        <f aca="false">IF(AND(ISNUMBER('12_Datos_5m'!G356),N('12_Datos_5m'!G356)&gt;0),'12_Datos_5m'!H356/'12_Datos_5m'!G356,0.5)</f>
        <v>0.5</v>
      </c>
      <c r="G356" s="151" t="n">
        <f aca="false">IF(ISNUMBER(C356),($C$2-C356)/3600000,0)</f>
        <v>0</v>
      </c>
      <c r="H356" s="151" t="n">
        <f aca="false">EXP(-G356/'13_Mapa_Liq'!$B$7)</f>
        <v>1</v>
      </c>
      <c r="I356" s="151" t="n">
        <f aca="false">E356*F356*H356</f>
        <v>0</v>
      </c>
      <c r="J356" s="151" t="n">
        <f aca="false">E356*(1-F356)*H356</f>
        <v>0</v>
      </c>
      <c r="K356" s="151" t="n">
        <f aca="false">IF(COUNT('12_Datos_5m'!E357:E$504)=0,1000000000000,MIN('12_Datos_5m'!E357:E$504))</f>
        <v>1000000000000</v>
      </c>
      <c r="L356" s="151" t="n">
        <f aca="false">IF(COUNT('12_Datos_5m'!D357:D$504)=0,0,MAX('12_Datos_5m'!D357:D$504))</f>
        <v>0</v>
      </c>
      <c r="M356" s="151" t="str">
        <f aca="false">IF(ISNUMBER(B356),B356*(1-1/'13_Mapa_Liq'!$B$15+'13_Mapa_Liq'!$B$6),"")</f>
        <v/>
      </c>
      <c r="N356" s="151" t="n">
        <f aca="false">IF(ISNUMBER(B356),IF(K356&gt;M356,I356*'13_Mapa_Liq'!$C$15,0),0)</f>
        <v>0</v>
      </c>
      <c r="O356" s="151" t="str">
        <f aca="false">IF(ISNUMBER(B356),B356*(1+1/'13_Mapa_Liq'!$B$15-'13_Mapa_Liq'!$B$6),"")</f>
        <v/>
      </c>
      <c r="P356" s="151" t="n">
        <f aca="false">IF(ISNUMBER(B356),IF(L356&lt;O356,J356*'13_Mapa_Liq'!$C$15,0),0)</f>
        <v>0</v>
      </c>
      <c r="Q356" s="151" t="str">
        <f aca="false">IF(ISNUMBER(B356),B356*(1-1/'13_Mapa_Liq'!$B$16+'13_Mapa_Liq'!$B$6),"")</f>
        <v/>
      </c>
      <c r="R356" s="151" t="n">
        <f aca="false">IF(ISNUMBER(B356),IF(K356&gt;Q356,I356*'13_Mapa_Liq'!$C$16,0),0)</f>
        <v>0</v>
      </c>
      <c r="S356" s="151" t="str">
        <f aca="false">IF(ISNUMBER(B356),B356*(1+1/'13_Mapa_Liq'!$B$16-'13_Mapa_Liq'!$B$6),"")</f>
        <v/>
      </c>
      <c r="T356" s="151" t="n">
        <f aca="false">IF(ISNUMBER(B356),IF(L356&lt;S356,J356*'13_Mapa_Liq'!$C$16,0),0)</f>
        <v>0</v>
      </c>
      <c r="U356" s="151" t="str">
        <f aca="false">IF(ISNUMBER(B356),B356*(1-1/'13_Mapa_Liq'!$B$17+'13_Mapa_Liq'!$B$6),"")</f>
        <v/>
      </c>
      <c r="V356" s="151" t="n">
        <f aca="false">IF(ISNUMBER(B356),IF(K356&gt;U356,I356*'13_Mapa_Liq'!$C$17,0),0)</f>
        <v>0</v>
      </c>
      <c r="W356" s="151" t="str">
        <f aca="false">IF(ISNUMBER(B356),B356*(1+1/'13_Mapa_Liq'!$B$17-'13_Mapa_Liq'!$B$6),"")</f>
        <v/>
      </c>
      <c r="X356" s="151" t="n">
        <f aca="false">IF(ISNUMBER(B356),IF(L356&lt;W356,J356*'13_Mapa_Liq'!$C$17,0),0)</f>
        <v>0</v>
      </c>
      <c r="Y356" s="151" t="str">
        <f aca="false">IF(ISNUMBER(B356),B356*(1-1/'13_Mapa_Liq'!$B$18+'13_Mapa_Liq'!$B$6),"")</f>
        <v/>
      </c>
      <c r="Z356" s="151" t="n">
        <f aca="false">IF(ISNUMBER(B356),IF(K356&gt;Y356,I356*'13_Mapa_Liq'!$C$18,0),0)</f>
        <v>0</v>
      </c>
      <c r="AA356" s="151" t="str">
        <f aca="false">IF(ISNUMBER(B356),B356*(1+1/'13_Mapa_Liq'!$B$18-'13_Mapa_Liq'!$B$6),"")</f>
        <v/>
      </c>
      <c r="AB356" s="151" t="n">
        <f aca="false">IF(ISNUMBER(B356),IF(L356&lt;AA356,J356*'13_Mapa_Liq'!$C$18,0),0)</f>
        <v>0</v>
      </c>
      <c r="AC356" s="151" t="str">
        <f aca="false">IF(ISNUMBER(B356),B356*(1-1/'13_Mapa_Liq'!$B$19+'13_Mapa_Liq'!$B$6),"")</f>
        <v/>
      </c>
      <c r="AD356" s="151" t="n">
        <f aca="false">IF(ISNUMBER(B356),IF(K356&gt;AC356,I356*'13_Mapa_Liq'!$C$19,0),0)</f>
        <v>0</v>
      </c>
      <c r="AE356" s="151" t="str">
        <f aca="false">IF(ISNUMBER(B356),B356*(1+1/'13_Mapa_Liq'!$B$19-'13_Mapa_Liq'!$B$6),"")</f>
        <v/>
      </c>
      <c r="AF356" s="151" t="n">
        <f aca="false">IF(ISNUMBER(B356),IF(L356&lt;AE356,J356*'13_Mapa_Liq'!$C$19,0),0)</f>
        <v>0</v>
      </c>
      <c r="AG356" s="151"/>
      <c r="AH356" s="151" t="n">
        <f aca="false">IF(ISNUMBER(B356),E356*F356*((K356&lt;=M356)*'13_Mapa_Liq'!$C$15+(K356&lt;=Q356)*'13_Mapa_Liq'!$C$16+(K356&lt;=U356)*'13_Mapa_Liq'!$C$17+(K356&lt;=Y356)*'13_Mapa_Liq'!$C$18+(K356&lt;=AC356)*'13_Mapa_Liq'!$C$19),0)</f>
        <v>0</v>
      </c>
      <c r="AI356" s="151" t="n">
        <f aca="false">IF(ISNUMBER(B356),E356*(1-F356)*((L356&gt;=O356)*'13_Mapa_Liq'!$C$15+(L356&gt;=S356)*'13_Mapa_Liq'!$C$16+(L356&gt;=W356)*'13_Mapa_Liq'!$C$17+(L356&gt;=AA356)*'13_Mapa_Liq'!$C$18+(L356&gt;=AE356)*'13_Mapa_Liq'!$C$19),0)</f>
        <v>0</v>
      </c>
    </row>
    <row r="357" customFormat="false" ht="15" hidden="false" customHeight="false" outlineLevel="0" collapsed="false">
      <c r="A357" s="151" t="str">
        <f aca="false">IF(ISNUMBER('12_Datos_5m'!F357),ROW()-4,"")</f>
        <v/>
      </c>
      <c r="B357" s="151" t="str">
        <f aca="false">IF(ISNUMBER('12_Datos_5m'!F357),'12_Datos_5m'!F357,"")</f>
        <v/>
      </c>
      <c r="C357" s="151" t="str">
        <f aca="false">IF(ISNUMBER('12_Datos_5m'!A357),'12_Datos_5m'!A357,"")</f>
        <v/>
      </c>
      <c r="D357" s="151" t="n">
        <f aca="false">IF(AND(ISNUMBER('12_Datos_5m'!I357),ISNUMBER('12_Datos_5m'!I356)),'12_Datos_5m'!I357-'12_Datos_5m'!I356,0)</f>
        <v>0</v>
      </c>
      <c r="E357" s="151" t="n">
        <f aca="false">MAX(0,D357)</f>
        <v>0</v>
      </c>
      <c r="F357" s="151" t="n">
        <f aca="false">IF(AND(ISNUMBER('12_Datos_5m'!G357),N('12_Datos_5m'!G357)&gt;0),'12_Datos_5m'!H357/'12_Datos_5m'!G357,0.5)</f>
        <v>0.5</v>
      </c>
      <c r="G357" s="151" t="n">
        <f aca="false">IF(ISNUMBER(C357),($C$2-C357)/3600000,0)</f>
        <v>0</v>
      </c>
      <c r="H357" s="151" t="n">
        <f aca="false">EXP(-G357/'13_Mapa_Liq'!$B$7)</f>
        <v>1</v>
      </c>
      <c r="I357" s="151" t="n">
        <f aca="false">E357*F357*H357</f>
        <v>0</v>
      </c>
      <c r="J357" s="151" t="n">
        <f aca="false">E357*(1-F357)*H357</f>
        <v>0</v>
      </c>
      <c r="K357" s="151" t="n">
        <f aca="false">IF(COUNT('12_Datos_5m'!E358:E$504)=0,1000000000000,MIN('12_Datos_5m'!E358:E$504))</f>
        <v>1000000000000</v>
      </c>
      <c r="L357" s="151" t="n">
        <f aca="false">IF(COUNT('12_Datos_5m'!D358:D$504)=0,0,MAX('12_Datos_5m'!D358:D$504))</f>
        <v>0</v>
      </c>
      <c r="M357" s="151" t="str">
        <f aca="false">IF(ISNUMBER(B357),B357*(1-1/'13_Mapa_Liq'!$B$15+'13_Mapa_Liq'!$B$6),"")</f>
        <v/>
      </c>
      <c r="N357" s="151" t="n">
        <f aca="false">IF(ISNUMBER(B357),IF(K357&gt;M357,I357*'13_Mapa_Liq'!$C$15,0),0)</f>
        <v>0</v>
      </c>
      <c r="O357" s="151" t="str">
        <f aca="false">IF(ISNUMBER(B357),B357*(1+1/'13_Mapa_Liq'!$B$15-'13_Mapa_Liq'!$B$6),"")</f>
        <v/>
      </c>
      <c r="P357" s="151" t="n">
        <f aca="false">IF(ISNUMBER(B357),IF(L357&lt;O357,J357*'13_Mapa_Liq'!$C$15,0),0)</f>
        <v>0</v>
      </c>
      <c r="Q357" s="151" t="str">
        <f aca="false">IF(ISNUMBER(B357),B357*(1-1/'13_Mapa_Liq'!$B$16+'13_Mapa_Liq'!$B$6),"")</f>
        <v/>
      </c>
      <c r="R357" s="151" t="n">
        <f aca="false">IF(ISNUMBER(B357),IF(K357&gt;Q357,I357*'13_Mapa_Liq'!$C$16,0),0)</f>
        <v>0</v>
      </c>
      <c r="S357" s="151" t="str">
        <f aca="false">IF(ISNUMBER(B357),B357*(1+1/'13_Mapa_Liq'!$B$16-'13_Mapa_Liq'!$B$6),"")</f>
        <v/>
      </c>
      <c r="T357" s="151" t="n">
        <f aca="false">IF(ISNUMBER(B357),IF(L357&lt;S357,J357*'13_Mapa_Liq'!$C$16,0),0)</f>
        <v>0</v>
      </c>
      <c r="U357" s="151" t="str">
        <f aca="false">IF(ISNUMBER(B357),B357*(1-1/'13_Mapa_Liq'!$B$17+'13_Mapa_Liq'!$B$6),"")</f>
        <v/>
      </c>
      <c r="V357" s="151" t="n">
        <f aca="false">IF(ISNUMBER(B357),IF(K357&gt;U357,I357*'13_Mapa_Liq'!$C$17,0),0)</f>
        <v>0</v>
      </c>
      <c r="W357" s="151" t="str">
        <f aca="false">IF(ISNUMBER(B357),B357*(1+1/'13_Mapa_Liq'!$B$17-'13_Mapa_Liq'!$B$6),"")</f>
        <v/>
      </c>
      <c r="X357" s="151" t="n">
        <f aca="false">IF(ISNUMBER(B357),IF(L357&lt;W357,J357*'13_Mapa_Liq'!$C$17,0),0)</f>
        <v>0</v>
      </c>
      <c r="Y357" s="151" t="str">
        <f aca="false">IF(ISNUMBER(B357),B357*(1-1/'13_Mapa_Liq'!$B$18+'13_Mapa_Liq'!$B$6),"")</f>
        <v/>
      </c>
      <c r="Z357" s="151" t="n">
        <f aca="false">IF(ISNUMBER(B357),IF(K357&gt;Y357,I357*'13_Mapa_Liq'!$C$18,0),0)</f>
        <v>0</v>
      </c>
      <c r="AA357" s="151" t="str">
        <f aca="false">IF(ISNUMBER(B357),B357*(1+1/'13_Mapa_Liq'!$B$18-'13_Mapa_Liq'!$B$6),"")</f>
        <v/>
      </c>
      <c r="AB357" s="151" t="n">
        <f aca="false">IF(ISNUMBER(B357),IF(L357&lt;AA357,J357*'13_Mapa_Liq'!$C$18,0),0)</f>
        <v>0</v>
      </c>
      <c r="AC357" s="151" t="str">
        <f aca="false">IF(ISNUMBER(B357),B357*(1-1/'13_Mapa_Liq'!$B$19+'13_Mapa_Liq'!$B$6),"")</f>
        <v/>
      </c>
      <c r="AD357" s="151" t="n">
        <f aca="false">IF(ISNUMBER(B357),IF(K357&gt;AC357,I357*'13_Mapa_Liq'!$C$19,0),0)</f>
        <v>0</v>
      </c>
      <c r="AE357" s="151" t="str">
        <f aca="false">IF(ISNUMBER(B357),B357*(1+1/'13_Mapa_Liq'!$B$19-'13_Mapa_Liq'!$B$6),"")</f>
        <v/>
      </c>
      <c r="AF357" s="151" t="n">
        <f aca="false">IF(ISNUMBER(B357),IF(L357&lt;AE357,J357*'13_Mapa_Liq'!$C$19,0),0)</f>
        <v>0</v>
      </c>
      <c r="AG357" s="151"/>
      <c r="AH357" s="151" t="n">
        <f aca="false">IF(ISNUMBER(B357),E357*F357*((K357&lt;=M357)*'13_Mapa_Liq'!$C$15+(K357&lt;=Q357)*'13_Mapa_Liq'!$C$16+(K357&lt;=U357)*'13_Mapa_Liq'!$C$17+(K357&lt;=Y357)*'13_Mapa_Liq'!$C$18+(K357&lt;=AC357)*'13_Mapa_Liq'!$C$19),0)</f>
        <v>0</v>
      </c>
      <c r="AI357" s="151" t="n">
        <f aca="false">IF(ISNUMBER(B357),E357*(1-F357)*((L357&gt;=O357)*'13_Mapa_Liq'!$C$15+(L357&gt;=S357)*'13_Mapa_Liq'!$C$16+(L357&gt;=W357)*'13_Mapa_Liq'!$C$17+(L357&gt;=AA357)*'13_Mapa_Liq'!$C$18+(L357&gt;=AE357)*'13_Mapa_Liq'!$C$19),0)</f>
        <v>0</v>
      </c>
    </row>
    <row r="358" customFormat="false" ht="15" hidden="false" customHeight="false" outlineLevel="0" collapsed="false">
      <c r="A358" s="151" t="str">
        <f aca="false">IF(ISNUMBER('12_Datos_5m'!F358),ROW()-4,"")</f>
        <v/>
      </c>
      <c r="B358" s="151" t="str">
        <f aca="false">IF(ISNUMBER('12_Datos_5m'!F358),'12_Datos_5m'!F358,"")</f>
        <v/>
      </c>
      <c r="C358" s="151" t="str">
        <f aca="false">IF(ISNUMBER('12_Datos_5m'!A358),'12_Datos_5m'!A358,"")</f>
        <v/>
      </c>
      <c r="D358" s="151" t="n">
        <f aca="false">IF(AND(ISNUMBER('12_Datos_5m'!I358),ISNUMBER('12_Datos_5m'!I357)),'12_Datos_5m'!I358-'12_Datos_5m'!I357,0)</f>
        <v>0</v>
      </c>
      <c r="E358" s="151" t="n">
        <f aca="false">MAX(0,D358)</f>
        <v>0</v>
      </c>
      <c r="F358" s="151" t="n">
        <f aca="false">IF(AND(ISNUMBER('12_Datos_5m'!G358),N('12_Datos_5m'!G358)&gt;0),'12_Datos_5m'!H358/'12_Datos_5m'!G358,0.5)</f>
        <v>0.5</v>
      </c>
      <c r="G358" s="151" t="n">
        <f aca="false">IF(ISNUMBER(C358),($C$2-C358)/3600000,0)</f>
        <v>0</v>
      </c>
      <c r="H358" s="151" t="n">
        <f aca="false">EXP(-G358/'13_Mapa_Liq'!$B$7)</f>
        <v>1</v>
      </c>
      <c r="I358" s="151" t="n">
        <f aca="false">E358*F358*H358</f>
        <v>0</v>
      </c>
      <c r="J358" s="151" t="n">
        <f aca="false">E358*(1-F358)*H358</f>
        <v>0</v>
      </c>
      <c r="K358" s="151" t="n">
        <f aca="false">IF(COUNT('12_Datos_5m'!E359:E$504)=0,1000000000000,MIN('12_Datos_5m'!E359:E$504))</f>
        <v>1000000000000</v>
      </c>
      <c r="L358" s="151" t="n">
        <f aca="false">IF(COUNT('12_Datos_5m'!D359:D$504)=0,0,MAX('12_Datos_5m'!D359:D$504))</f>
        <v>0</v>
      </c>
      <c r="M358" s="151" t="str">
        <f aca="false">IF(ISNUMBER(B358),B358*(1-1/'13_Mapa_Liq'!$B$15+'13_Mapa_Liq'!$B$6),"")</f>
        <v/>
      </c>
      <c r="N358" s="151" t="n">
        <f aca="false">IF(ISNUMBER(B358),IF(K358&gt;M358,I358*'13_Mapa_Liq'!$C$15,0),0)</f>
        <v>0</v>
      </c>
      <c r="O358" s="151" t="str">
        <f aca="false">IF(ISNUMBER(B358),B358*(1+1/'13_Mapa_Liq'!$B$15-'13_Mapa_Liq'!$B$6),"")</f>
        <v/>
      </c>
      <c r="P358" s="151" t="n">
        <f aca="false">IF(ISNUMBER(B358),IF(L358&lt;O358,J358*'13_Mapa_Liq'!$C$15,0),0)</f>
        <v>0</v>
      </c>
      <c r="Q358" s="151" t="str">
        <f aca="false">IF(ISNUMBER(B358),B358*(1-1/'13_Mapa_Liq'!$B$16+'13_Mapa_Liq'!$B$6),"")</f>
        <v/>
      </c>
      <c r="R358" s="151" t="n">
        <f aca="false">IF(ISNUMBER(B358),IF(K358&gt;Q358,I358*'13_Mapa_Liq'!$C$16,0),0)</f>
        <v>0</v>
      </c>
      <c r="S358" s="151" t="str">
        <f aca="false">IF(ISNUMBER(B358),B358*(1+1/'13_Mapa_Liq'!$B$16-'13_Mapa_Liq'!$B$6),"")</f>
        <v/>
      </c>
      <c r="T358" s="151" t="n">
        <f aca="false">IF(ISNUMBER(B358),IF(L358&lt;S358,J358*'13_Mapa_Liq'!$C$16,0),0)</f>
        <v>0</v>
      </c>
      <c r="U358" s="151" t="str">
        <f aca="false">IF(ISNUMBER(B358),B358*(1-1/'13_Mapa_Liq'!$B$17+'13_Mapa_Liq'!$B$6),"")</f>
        <v/>
      </c>
      <c r="V358" s="151" t="n">
        <f aca="false">IF(ISNUMBER(B358),IF(K358&gt;U358,I358*'13_Mapa_Liq'!$C$17,0),0)</f>
        <v>0</v>
      </c>
      <c r="W358" s="151" t="str">
        <f aca="false">IF(ISNUMBER(B358),B358*(1+1/'13_Mapa_Liq'!$B$17-'13_Mapa_Liq'!$B$6),"")</f>
        <v/>
      </c>
      <c r="X358" s="151" t="n">
        <f aca="false">IF(ISNUMBER(B358),IF(L358&lt;W358,J358*'13_Mapa_Liq'!$C$17,0),0)</f>
        <v>0</v>
      </c>
      <c r="Y358" s="151" t="str">
        <f aca="false">IF(ISNUMBER(B358),B358*(1-1/'13_Mapa_Liq'!$B$18+'13_Mapa_Liq'!$B$6),"")</f>
        <v/>
      </c>
      <c r="Z358" s="151" t="n">
        <f aca="false">IF(ISNUMBER(B358),IF(K358&gt;Y358,I358*'13_Mapa_Liq'!$C$18,0),0)</f>
        <v>0</v>
      </c>
      <c r="AA358" s="151" t="str">
        <f aca="false">IF(ISNUMBER(B358),B358*(1+1/'13_Mapa_Liq'!$B$18-'13_Mapa_Liq'!$B$6),"")</f>
        <v/>
      </c>
      <c r="AB358" s="151" t="n">
        <f aca="false">IF(ISNUMBER(B358),IF(L358&lt;AA358,J358*'13_Mapa_Liq'!$C$18,0),0)</f>
        <v>0</v>
      </c>
      <c r="AC358" s="151" t="str">
        <f aca="false">IF(ISNUMBER(B358),B358*(1-1/'13_Mapa_Liq'!$B$19+'13_Mapa_Liq'!$B$6),"")</f>
        <v/>
      </c>
      <c r="AD358" s="151" t="n">
        <f aca="false">IF(ISNUMBER(B358),IF(K358&gt;AC358,I358*'13_Mapa_Liq'!$C$19,0),0)</f>
        <v>0</v>
      </c>
      <c r="AE358" s="151" t="str">
        <f aca="false">IF(ISNUMBER(B358),B358*(1+1/'13_Mapa_Liq'!$B$19-'13_Mapa_Liq'!$B$6),"")</f>
        <v/>
      </c>
      <c r="AF358" s="151" t="n">
        <f aca="false">IF(ISNUMBER(B358),IF(L358&lt;AE358,J358*'13_Mapa_Liq'!$C$19,0),0)</f>
        <v>0</v>
      </c>
      <c r="AG358" s="151"/>
      <c r="AH358" s="151" t="n">
        <f aca="false">IF(ISNUMBER(B358),E358*F358*((K358&lt;=M358)*'13_Mapa_Liq'!$C$15+(K358&lt;=Q358)*'13_Mapa_Liq'!$C$16+(K358&lt;=U358)*'13_Mapa_Liq'!$C$17+(K358&lt;=Y358)*'13_Mapa_Liq'!$C$18+(K358&lt;=AC358)*'13_Mapa_Liq'!$C$19),0)</f>
        <v>0</v>
      </c>
      <c r="AI358" s="151" t="n">
        <f aca="false">IF(ISNUMBER(B358),E358*(1-F358)*((L358&gt;=O358)*'13_Mapa_Liq'!$C$15+(L358&gt;=S358)*'13_Mapa_Liq'!$C$16+(L358&gt;=W358)*'13_Mapa_Liq'!$C$17+(L358&gt;=AA358)*'13_Mapa_Liq'!$C$18+(L358&gt;=AE358)*'13_Mapa_Liq'!$C$19),0)</f>
        <v>0</v>
      </c>
    </row>
    <row r="359" customFormat="false" ht="15" hidden="false" customHeight="false" outlineLevel="0" collapsed="false">
      <c r="A359" s="151" t="str">
        <f aca="false">IF(ISNUMBER('12_Datos_5m'!F359),ROW()-4,"")</f>
        <v/>
      </c>
      <c r="B359" s="151" t="str">
        <f aca="false">IF(ISNUMBER('12_Datos_5m'!F359),'12_Datos_5m'!F359,"")</f>
        <v/>
      </c>
      <c r="C359" s="151" t="str">
        <f aca="false">IF(ISNUMBER('12_Datos_5m'!A359),'12_Datos_5m'!A359,"")</f>
        <v/>
      </c>
      <c r="D359" s="151" t="n">
        <f aca="false">IF(AND(ISNUMBER('12_Datos_5m'!I359),ISNUMBER('12_Datos_5m'!I358)),'12_Datos_5m'!I359-'12_Datos_5m'!I358,0)</f>
        <v>0</v>
      </c>
      <c r="E359" s="151" t="n">
        <f aca="false">MAX(0,D359)</f>
        <v>0</v>
      </c>
      <c r="F359" s="151" t="n">
        <f aca="false">IF(AND(ISNUMBER('12_Datos_5m'!G359),N('12_Datos_5m'!G359)&gt;0),'12_Datos_5m'!H359/'12_Datos_5m'!G359,0.5)</f>
        <v>0.5</v>
      </c>
      <c r="G359" s="151" t="n">
        <f aca="false">IF(ISNUMBER(C359),($C$2-C359)/3600000,0)</f>
        <v>0</v>
      </c>
      <c r="H359" s="151" t="n">
        <f aca="false">EXP(-G359/'13_Mapa_Liq'!$B$7)</f>
        <v>1</v>
      </c>
      <c r="I359" s="151" t="n">
        <f aca="false">E359*F359*H359</f>
        <v>0</v>
      </c>
      <c r="J359" s="151" t="n">
        <f aca="false">E359*(1-F359)*H359</f>
        <v>0</v>
      </c>
      <c r="K359" s="151" t="n">
        <f aca="false">IF(COUNT('12_Datos_5m'!E360:E$504)=0,1000000000000,MIN('12_Datos_5m'!E360:E$504))</f>
        <v>1000000000000</v>
      </c>
      <c r="L359" s="151" t="n">
        <f aca="false">IF(COUNT('12_Datos_5m'!D360:D$504)=0,0,MAX('12_Datos_5m'!D360:D$504))</f>
        <v>0</v>
      </c>
      <c r="M359" s="151" t="str">
        <f aca="false">IF(ISNUMBER(B359),B359*(1-1/'13_Mapa_Liq'!$B$15+'13_Mapa_Liq'!$B$6),"")</f>
        <v/>
      </c>
      <c r="N359" s="151" t="n">
        <f aca="false">IF(ISNUMBER(B359),IF(K359&gt;M359,I359*'13_Mapa_Liq'!$C$15,0),0)</f>
        <v>0</v>
      </c>
      <c r="O359" s="151" t="str">
        <f aca="false">IF(ISNUMBER(B359),B359*(1+1/'13_Mapa_Liq'!$B$15-'13_Mapa_Liq'!$B$6),"")</f>
        <v/>
      </c>
      <c r="P359" s="151" t="n">
        <f aca="false">IF(ISNUMBER(B359),IF(L359&lt;O359,J359*'13_Mapa_Liq'!$C$15,0),0)</f>
        <v>0</v>
      </c>
      <c r="Q359" s="151" t="str">
        <f aca="false">IF(ISNUMBER(B359),B359*(1-1/'13_Mapa_Liq'!$B$16+'13_Mapa_Liq'!$B$6),"")</f>
        <v/>
      </c>
      <c r="R359" s="151" t="n">
        <f aca="false">IF(ISNUMBER(B359),IF(K359&gt;Q359,I359*'13_Mapa_Liq'!$C$16,0),0)</f>
        <v>0</v>
      </c>
      <c r="S359" s="151" t="str">
        <f aca="false">IF(ISNUMBER(B359),B359*(1+1/'13_Mapa_Liq'!$B$16-'13_Mapa_Liq'!$B$6),"")</f>
        <v/>
      </c>
      <c r="T359" s="151" t="n">
        <f aca="false">IF(ISNUMBER(B359),IF(L359&lt;S359,J359*'13_Mapa_Liq'!$C$16,0),0)</f>
        <v>0</v>
      </c>
      <c r="U359" s="151" t="str">
        <f aca="false">IF(ISNUMBER(B359),B359*(1-1/'13_Mapa_Liq'!$B$17+'13_Mapa_Liq'!$B$6),"")</f>
        <v/>
      </c>
      <c r="V359" s="151" t="n">
        <f aca="false">IF(ISNUMBER(B359),IF(K359&gt;U359,I359*'13_Mapa_Liq'!$C$17,0),0)</f>
        <v>0</v>
      </c>
      <c r="W359" s="151" t="str">
        <f aca="false">IF(ISNUMBER(B359),B359*(1+1/'13_Mapa_Liq'!$B$17-'13_Mapa_Liq'!$B$6),"")</f>
        <v/>
      </c>
      <c r="X359" s="151" t="n">
        <f aca="false">IF(ISNUMBER(B359),IF(L359&lt;W359,J359*'13_Mapa_Liq'!$C$17,0),0)</f>
        <v>0</v>
      </c>
      <c r="Y359" s="151" t="str">
        <f aca="false">IF(ISNUMBER(B359),B359*(1-1/'13_Mapa_Liq'!$B$18+'13_Mapa_Liq'!$B$6),"")</f>
        <v/>
      </c>
      <c r="Z359" s="151" t="n">
        <f aca="false">IF(ISNUMBER(B359),IF(K359&gt;Y359,I359*'13_Mapa_Liq'!$C$18,0),0)</f>
        <v>0</v>
      </c>
      <c r="AA359" s="151" t="str">
        <f aca="false">IF(ISNUMBER(B359),B359*(1+1/'13_Mapa_Liq'!$B$18-'13_Mapa_Liq'!$B$6),"")</f>
        <v/>
      </c>
      <c r="AB359" s="151" t="n">
        <f aca="false">IF(ISNUMBER(B359),IF(L359&lt;AA359,J359*'13_Mapa_Liq'!$C$18,0),0)</f>
        <v>0</v>
      </c>
      <c r="AC359" s="151" t="str">
        <f aca="false">IF(ISNUMBER(B359),B359*(1-1/'13_Mapa_Liq'!$B$19+'13_Mapa_Liq'!$B$6),"")</f>
        <v/>
      </c>
      <c r="AD359" s="151" t="n">
        <f aca="false">IF(ISNUMBER(B359),IF(K359&gt;AC359,I359*'13_Mapa_Liq'!$C$19,0),0)</f>
        <v>0</v>
      </c>
      <c r="AE359" s="151" t="str">
        <f aca="false">IF(ISNUMBER(B359),B359*(1+1/'13_Mapa_Liq'!$B$19-'13_Mapa_Liq'!$B$6),"")</f>
        <v/>
      </c>
      <c r="AF359" s="151" t="n">
        <f aca="false">IF(ISNUMBER(B359),IF(L359&lt;AE359,J359*'13_Mapa_Liq'!$C$19,0),0)</f>
        <v>0</v>
      </c>
      <c r="AG359" s="151"/>
      <c r="AH359" s="151" t="n">
        <f aca="false">IF(ISNUMBER(B359),E359*F359*((K359&lt;=M359)*'13_Mapa_Liq'!$C$15+(K359&lt;=Q359)*'13_Mapa_Liq'!$C$16+(K359&lt;=U359)*'13_Mapa_Liq'!$C$17+(K359&lt;=Y359)*'13_Mapa_Liq'!$C$18+(K359&lt;=AC359)*'13_Mapa_Liq'!$C$19),0)</f>
        <v>0</v>
      </c>
      <c r="AI359" s="151" t="n">
        <f aca="false">IF(ISNUMBER(B359),E359*(1-F359)*((L359&gt;=O359)*'13_Mapa_Liq'!$C$15+(L359&gt;=S359)*'13_Mapa_Liq'!$C$16+(L359&gt;=W359)*'13_Mapa_Liq'!$C$17+(L359&gt;=AA359)*'13_Mapa_Liq'!$C$18+(L359&gt;=AE359)*'13_Mapa_Liq'!$C$19),0)</f>
        <v>0</v>
      </c>
    </row>
    <row r="360" customFormat="false" ht="15" hidden="false" customHeight="false" outlineLevel="0" collapsed="false">
      <c r="A360" s="151" t="str">
        <f aca="false">IF(ISNUMBER('12_Datos_5m'!F360),ROW()-4,"")</f>
        <v/>
      </c>
      <c r="B360" s="151" t="str">
        <f aca="false">IF(ISNUMBER('12_Datos_5m'!F360),'12_Datos_5m'!F360,"")</f>
        <v/>
      </c>
      <c r="C360" s="151" t="str">
        <f aca="false">IF(ISNUMBER('12_Datos_5m'!A360),'12_Datos_5m'!A360,"")</f>
        <v/>
      </c>
      <c r="D360" s="151" t="n">
        <f aca="false">IF(AND(ISNUMBER('12_Datos_5m'!I360),ISNUMBER('12_Datos_5m'!I359)),'12_Datos_5m'!I360-'12_Datos_5m'!I359,0)</f>
        <v>0</v>
      </c>
      <c r="E360" s="151" t="n">
        <f aca="false">MAX(0,D360)</f>
        <v>0</v>
      </c>
      <c r="F360" s="151" t="n">
        <f aca="false">IF(AND(ISNUMBER('12_Datos_5m'!G360),N('12_Datos_5m'!G360)&gt;0),'12_Datos_5m'!H360/'12_Datos_5m'!G360,0.5)</f>
        <v>0.5</v>
      </c>
      <c r="G360" s="151" t="n">
        <f aca="false">IF(ISNUMBER(C360),($C$2-C360)/3600000,0)</f>
        <v>0</v>
      </c>
      <c r="H360" s="151" t="n">
        <f aca="false">EXP(-G360/'13_Mapa_Liq'!$B$7)</f>
        <v>1</v>
      </c>
      <c r="I360" s="151" t="n">
        <f aca="false">E360*F360*H360</f>
        <v>0</v>
      </c>
      <c r="J360" s="151" t="n">
        <f aca="false">E360*(1-F360)*H360</f>
        <v>0</v>
      </c>
      <c r="K360" s="151" t="n">
        <f aca="false">IF(COUNT('12_Datos_5m'!E361:E$504)=0,1000000000000,MIN('12_Datos_5m'!E361:E$504))</f>
        <v>1000000000000</v>
      </c>
      <c r="L360" s="151" t="n">
        <f aca="false">IF(COUNT('12_Datos_5m'!D361:D$504)=0,0,MAX('12_Datos_5m'!D361:D$504))</f>
        <v>0</v>
      </c>
      <c r="M360" s="151" t="str">
        <f aca="false">IF(ISNUMBER(B360),B360*(1-1/'13_Mapa_Liq'!$B$15+'13_Mapa_Liq'!$B$6),"")</f>
        <v/>
      </c>
      <c r="N360" s="151" t="n">
        <f aca="false">IF(ISNUMBER(B360),IF(K360&gt;M360,I360*'13_Mapa_Liq'!$C$15,0),0)</f>
        <v>0</v>
      </c>
      <c r="O360" s="151" t="str">
        <f aca="false">IF(ISNUMBER(B360),B360*(1+1/'13_Mapa_Liq'!$B$15-'13_Mapa_Liq'!$B$6),"")</f>
        <v/>
      </c>
      <c r="P360" s="151" t="n">
        <f aca="false">IF(ISNUMBER(B360),IF(L360&lt;O360,J360*'13_Mapa_Liq'!$C$15,0),0)</f>
        <v>0</v>
      </c>
      <c r="Q360" s="151" t="str">
        <f aca="false">IF(ISNUMBER(B360),B360*(1-1/'13_Mapa_Liq'!$B$16+'13_Mapa_Liq'!$B$6),"")</f>
        <v/>
      </c>
      <c r="R360" s="151" t="n">
        <f aca="false">IF(ISNUMBER(B360),IF(K360&gt;Q360,I360*'13_Mapa_Liq'!$C$16,0),0)</f>
        <v>0</v>
      </c>
      <c r="S360" s="151" t="str">
        <f aca="false">IF(ISNUMBER(B360),B360*(1+1/'13_Mapa_Liq'!$B$16-'13_Mapa_Liq'!$B$6),"")</f>
        <v/>
      </c>
      <c r="T360" s="151" t="n">
        <f aca="false">IF(ISNUMBER(B360),IF(L360&lt;S360,J360*'13_Mapa_Liq'!$C$16,0),0)</f>
        <v>0</v>
      </c>
      <c r="U360" s="151" t="str">
        <f aca="false">IF(ISNUMBER(B360),B360*(1-1/'13_Mapa_Liq'!$B$17+'13_Mapa_Liq'!$B$6),"")</f>
        <v/>
      </c>
      <c r="V360" s="151" t="n">
        <f aca="false">IF(ISNUMBER(B360),IF(K360&gt;U360,I360*'13_Mapa_Liq'!$C$17,0),0)</f>
        <v>0</v>
      </c>
      <c r="W360" s="151" t="str">
        <f aca="false">IF(ISNUMBER(B360),B360*(1+1/'13_Mapa_Liq'!$B$17-'13_Mapa_Liq'!$B$6),"")</f>
        <v/>
      </c>
      <c r="X360" s="151" t="n">
        <f aca="false">IF(ISNUMBER(B360),IF(L360&lt;W360,J360*'13_Mapa_Liq'!$C$17,0),0)</f>
        <v>0</v>
      </c>
      <c r="Y360" s="151" t="str">
        <f aca="false">IF(ISNUMBER(B360),B360*(1-1/'13_Mapa_Liq'!$B$18+'13_Mapa_Liq'!$B$6),"")</f>
        <v/>
      </c>
      <c r="Z360" s="151" t="n">
        <f aca="false">IF(ISNUMBER(B360),IF(K360&gt;Y360,I360*'13_Mapa_Liq'!$C$18,0),0)</f>
        <v>0</v>
      </c>
      <c r="AA360" s="151" t="str">
        <f aca="false">IF(ISNUMBER(B360),B360*(1+1/'13_Mapa_Liq'!$B$18-'13_Mapa_Liq'!$B$6),"")</f>
        <v/>
      </c>
      <c r="AB360" s="151" t="n">
        <f aca="false">IF(ISNUMBER(B360),IF(L360&lt;AA360,J360*'13_Mapa_Liq'!$C$18,0),0)</f>
        <v>0</v>
      </c>
      <c r="AC360" s="151" t="str">
        <f aca="false">IF(ISNUMBER(B360),B360*(1-1/'13_Mapa_Liq'!$B$19+'13_Mapa_Liq'!$B$6),"")</f>
        <v/>
      </c>
      <c r="AD360" s="151" t="n">
        <f aca="false">IF(ISNUMBER(B360),IF(K360&gt;AC360,I360*'13_Mapa_Liq'!$C$19,0),0)</f>
        <v>0</v>
      </c>
      <c r="AE360" s="151" t="str">
        <f aca="false">IF(ISNUMBER(B360),B360*(1+1/'13_Mapa_Liq'!$B$19-'13_Mapa_Liq'!$B$6),"")</f>
        <v/>
      </c>
      <c r="AF360" s="151" t="n">
        <f aca="false">IF(ISNUMBER(B360),IF(L360&lt;AE360,J360*'13_Mapa_Liq'!$C$19,0),0)</f>
        <v>0</v>
      </c>
      <c r="AG360" s="151"/>
      <c r="AH360" s="151" t="n">
        <f aca="false">IF(ISNUMBER(B360),E360*F360*((K360&lt;=M360)*'13_Mapa_Liq'!$C$15+(K360&lt;=Q360)*'13_Mapa_Liq'!$C$16+(K360&lt;=U360)*'13_Mapa_Liq'!$C$17+(K360&lt;=Y360)*'13_Mapa_Liq'!$C$18+(K360&lt;=AC360)*'13_Mapa_Liq'!$C$19),0)</f>
        <v>0</v>
      </c>
      <c r="AI360" s="151" t="n">
        <f aca="false">IF(ISNUMBER(B360),E360*(1-F360)*((L360&gt;=O360)*'13_Mapa_Liq'!$C$15+(L360&gt;=S360)*'13_Mapa_Liq'!$C$16+(L360&gt;=W360)*'13_Mapa_Liq'!$C$17+(L360&gt;=AA360)*'13_Mapa_Liq'!$C$18+(L360&gt;=AE360)*'13_Mapa_Liq'!$C$19),0)</f>
        <v>0</v>
      </c>
    </row>
    <row r="361" customFormat="false" ht="15" hidden="false" customHeight="false" outlineLevel="0" collapsed="false">
      <c r="A361" s="151" t="str">
        <f aca="false">IF(ISNUMBER('12_Datos_5m'!F361),ROW()-4,"")</f>
        <v/>
      </c>
      <c r="B361" s="151" t="str">
        <f aca="false">IF(ISNUMBER('12_Datos_5m'!F361),'12_Datos_5m'!F361,"")</f>
        <v/>
      </c>
      <c r="C361" s="151" t="str">
        <f aca="false">IF(ISNUMBER('12_Datos_5m'!A361),'12_Datos_5m'!A361,"")</f>
        <v/>
      </c>
      <c r="D361" s="151" t="n">
        <f aca="false">IF(AND(ISNUMBER('12_Datos_5m'!I361),ISNUMBER('12_Datos_5m'!I360)),'12_Datos_5m'!I361-'12_Datos_5m'!I360,0)</f>
        <v>0</v>
      </c>
      <c r="E361" s="151" t="n">
        <f aca="false">MAX(0,D361)</f>
        <v>0</v>
      </c>
      <c r="F361" s="151" t="n">
        <f aca="false">IF(AND(ISNUMBER('12_Datos_5m'!G361),N('12_Datos_5m'!G361)&gt;0),'12_Datos_5m'!H361/'12_Datos_5m'!G361,0.5)</f>
        <v>0.5</v>
      </c>
      <c r="G361" s="151" t="n">
        <f aca="false">IF(ISNUMBER(C361),($C$2-C361)/3600000,0)</f>
        <v>0</v>
      </c>
      <c r="H361" s="151" t="n">
        <f aca="false">EXP(-G361/'13_Mapa_Liq'!$B$7)</f>
        <v>1</v>
      </c>
      <c r="I361" s="151" t="n">
        <f aca="false">E361*F361*H361</f>
        <v>0</v>
      </c>
      <c r="J361" s="151" t="n">
        <f aca="false">E361*(1-F361)*H361</f>
        <v>0</v>
      </c>
      <c r="K361" s="151" t="n">
        <f aca="false">IF(COUNT('12_Datos_5m'!E362:E$504)=0,1000000000000,MIN('12_Datos_5m'!E362:E$504))</f>
        <v>1000000000000</v>
      </c>
      <c r="L361" s="151" t="n">
        <f aca="false">IF(COUNT('12_Datos_5m'!D362:D$504)=0,0,MAX('12_Datos_5m'!D362:D$504))</f>
        <v>0</v>
      </c>
      <c r="M361" s="151" t="str">
        <f aca="false">IF(ISNUMBER(B361),B361*(1-1/'13_Mapa_Liq'!$B$15+'13_Mapa_Liq'!$B$6),"")</f>
        <v/>
      </c>
      <c r="N361" s="151" t="n">
        <f aca="false">IF(ISNUMBER(B361),IF(K361&gt;M361,I361*'13_Mapa_Liq'!$C$15,0),0)</f>
        <v>0</v>
      </c>
      <c r="O361" s="151" t="str">
        <f aca="false">IF(ISNUMBER(B361),B361*(1+1/'13_Mapa_Liq'!$B$15-'13_Mapa_Liq'!$B$6),"")</f>
        <v/>
      </c>
      <c r="P361" s="151" t="n">
        <f aca="false">IF(ISNUMBER(B361),IF(L361&lt;O361,J361*'13_Mapa_Liq'!$C$15,0),0)</f>
        <v>0</v>
      </c>
      <c r="Q361" s="151" t="str">
        <f aca="false">IF(ISNUMBER(B361),B361*(1-1/'13_Mapa_Liq'!$B$16+'13_Mapa_Liq'!$B$6),"")</f>
        <v/>
      </c>
      <c r="R361" s="151" t="n">
        <f aca="false">IF(ISNUMBER(B361),IF(K361&gt;Q361,I361*'13_Mapa_Liq'!$C$16,0),0)</f>
        <v>0</v>
      </c>
      <c r="S361" s="151" t="str">
        <f aca="false">IF(ISNUMBER(B361),B361*(1+1/'13_Mapa_Liq'!$B$16-'13_Mapa_Liq'!$B$6),"")</f>
        <v/>
      </c>
      <c r="T361" s="151" t="n">
        <f aca="false">IF(ISNUMBER(B361),IF(L361&lt;S361,J361*'13_Mapa_Liq'!$C$16,0),0)</f>
        <v>0</v>
      </c>
      <c r="U361" s="151" t="str">
        <f aca="false">IF(ISNUMBER(B361),B361*(1-1/'13_Mapa_Liq'!$B$17+'13_Mapa_Liq'!$B$6),"")</f>
        <v/>
      </c>
      <c r="V361" s="151" t="n">
        <f aca="false">IF(ISNUMBER(B361),IF(K361&gt;U361,I361*'13_Mapa_Liq'!$C$17,0),0)</f>
        <v>0</v>
      </c>
      <c r="W361" s="151" t="str">
        <f aca="false">IF(ISNUMBER(B361),B361*(1+1/'13_Mapa_Liq'!$B$17-'13_Mapa_Liq'!$B$6),"")</f>
        <v/>
      </c>
      <c r="X361" s="151" t="n">
        <f aca="false">IF(ISNUMBER(B361),IF(L361&lt;W361,J361*'13_Mapa_Liq'!$C$17,0),0)</f>
        <v>0</v>
      </c>
      <c r="Y361" s="151" t="str">
        <f aca="false">IF(ISNUMBER(B361),B361*(1-1/'13_Mapa_Liq'!$B$18+'13_Mapa_Liq'!$B$6),"")</f>
        <v/>
      </c>
      <c r="Z361" s="151" t="n">
        <f aca="false">IF(ISNUMBER(B361),IF(K361&gt;Y361,I361*'13_Mapa_Liq'!$C$18,0),0)</f>
        <v>0</v>
      </c>
      <c r="AA361" s="151" t="str">
        <f aca="false">IF(ISNUMBER(B361),B361*(1+1/'13_Mapa_Liq'!$B$18-'13_Mapa_Liq'!$B$6),"")</f>
        <v/>
      </c>
      <c r="AB361" s="151" t="n">
        <f aca="false">IF(ISNUMBER(B361),IF(L361&lt;AA361,J361*'13_Mapa_Liq'!$C$18,0),0)</f>
        <v>0</v>
      </c>
      <c r="AC361" s="151" t="str">
        <f aca="false">IF(ISNUMBER(B361),B361*(1-1/'13_Mapa_Liq'!$B$19+'13_Mapa_Liq'!$B$6),"")</f>
        <v/>
      </c>
      <c r="AD361" s="151" t="n">
        <f aca="false">IF(ISNUMBER(B361),IF(K361&gt;AC361,I361*'13_Mapa_Liq'!$C$19,0),0)</f>
        <v>0</v>
      </c>
      <c r="AE361" s="151" t="str">
        <f aca="false">IF(ISNUMBER(B361),B361*(1+1/'13_Mapa_Liq'!$B$19-'13_Mapa_Liq'!$B$6),"")</f>
        <v/>
      </c>
      <c r="AF361" s="151" t="n">
        <f aca="false">IF(ISNUMBER(B361),IF(L361&lt;AE361,J361*'13_Mapa_Liq'!$C$19,0),0)</f>
        <v>0</v>
      </c>
      <c r="AG361" s="151"/>
      <c r="AH361" s="151" t="n">
        <f aca="false">IF(ISNUMBER(B361),E361*F361*((K361&lt;=M361)*'13_Mapa_Liq'!$C$15+(K361&lt;=Q361)*'13_Mapa_Liq'!$C$16+(K361&lt;=U361)*'13_Mapa_Liq'!$C$17+(K361&lt;=Y361)*'13_Mapa_Liq'!$C$18+(K361&lt;=AC361)*'13_Mapa_Liq'!$C$19),0)</f>
        <v>0</v>
      </c>
      <c r="AI361" s="151" t="n">
        <f aca="false">IF(ISNUMBER(B361),E361*(1-F361)*((L361&gt;=O361)*'13_Mapa_Liq'!$C$15+(L361&gt;=S361)*'13_Mapa_Liq'!$C$16+(L361&gt;=W361)*'13_Mapa_Liq'!$C$17+(L361&gt;=AA361)*'13_Mapa_Liq'!$C$18+(L361&gt;=AE361)*'13_Mapa_Liq'!$C$19),0)</f>
        <v>0</v>
      </c>
    </row>
    <row r="362" customFormat="false" ht="15" hidden="false" customHeight="false" outlineLevel="0" collapsed="false">
      <c r="A362" s="151" t="str">
        <f aca="false">IF(ISNUMBER('12_Datos_5m'!F362),ROW()-4,"")</f>
        <v/>
      </c>
      <c r="B362" s="151" t="str">
        <f aca="false">IF(ISNUMBER('12_Datos_5m'!F362),'12_Datos_5m'!F362,"")</f>
        <v/>
      </c>
      <c r="C362" s="151" t="str">
        <f aca="false">IF(ISNUMBER('12_Datos_5m'!A362),'12_Datos_5m'!A362,"")</f>
        <v/>
      </c>
      <c r="D362" s="151" t="n">
        <f aca="false">IF(AND(ISNUMBER('12_Datos_5m'!I362),ISNUMBER('12_Datos_5m'!I361)),'12_Datos_5m'!I362-'12_Datos_5m'!I361,0)</f>
        <v>0</v>
      </c>
      <c r="E362" s="151" t="n">
        <f aca="false">MAX(0,D362)</f>
        <v>0</v>
      </c>
      <c r="F362" s="151" t="n">
        <f aca="false">IF(AND(ISNUMBER('12_Datos_5m'!G362),N('12_Datos_5m'!G362)&gt;0),'12_Datos_5m'!H362/'12_Datos_5m'!G362,0.5)</f>
        <v>0.5</v>
      </c>
      <c r="G362" s="151" t="n">
        <f aca="false">IF(ISNUMBER(C362),($C$2-C362)/3600000,0)</f>
        <v>0</v>
      </c>
      <c r="H362" s="151" t="n">
        <f aca="false">EXP(-G362/'13_Mapa_Liq'!$B$7)</f>
        <v>1</v>
      </c>
      <c r="I362" s="151" t="n">
        <f aca="false">E362*F362*H362</f>
        <v>0</v>
      </c>
      <c r="J362" s="151" t="n">
        <f aca="false">E362*(1-F362)*H362</f>
        <v>0</v>
      </c>
      <c r="K362" s="151" t="n">
        <f aca="false">IF(COUNT('12_Datos_5m'!E363:E$504)=0,1000000000000,MIN('12_Datos_5m'!E363:E$504))</f>
        <v>1000000000000</v>
      </c>
      <c r="L362" s="151" t="n">
        <f aca="false">IF(COUNT('12_Datos_5m'!D363:D$504)=0,0,MAX('12_Datos_5m'!D363:D$504))</f>
        <v>0</v>
      </c>
      <c r="M362" s="151" t="str">
        <f aca="false">IF(ISNUMBER(B362),B362*(1-1/'13_Mapa_Liq'!$B$15+'13_Mapa_Liq'!$B$6),"")</f>
        <v/>
      </c>
      <c r="N362" s="151" t="n">
        <f aca="false">IF(ISNUMBER(B362),IF(K362&gt;M362,I362*'13_Mapa_Liq'!$C$15,0),0)</f>
        <v>0</v>
      </c>
      <c r="O362" s="151" t="str">
        <f aca="false">IF(ISNUMBER(B362),B362*(1+1/'13_Mapa_Liq'!$B$15-'13_Mapa_Liq'!$B$6),"")</f>
        <v/>
      </c>
      <c r="P362" s="151" t="n">
        <f aca="false">IF(ISNUMBER(B362),IF(L362&lt;O362,J362*'13_Mapa_Liq'!$C$15,0),0)</f>
        <v>0</v>
      </c>
      <c r="Q362" s="151" t="str">
        <f aca="false">IF(ISNUMBER(B362),B362*(1-1/'13_Mapa_Liq'!$B$16+'13_Mapa_Liq'!$B$6),"")</f>
        <v/>
      </c>
      <c r="R362" s="151" t="n">
        <f aca="false">IF(ISNUMBER(B362),IF(K362&gt;Q362,I362*'13_Mapa_Liq'!$C$16,0),0)</f>
        <v>0</v>
      </c>
      <c r="S362" s="151" t="str">
        <f aca="false">IF(ISNUMBER(B362),B362*(1+1/'13_Mapa_Liq'!$B$16-'13_Mapa_Liq'!$B$6),"")</f>
        <v/>
      </c>
      <c r="T362" s="151" t="n">
        <f aca="false">IF(ISNUMBER(B362),IF(L362&lt;S362,J362*'13_Mapa_Liq'!$C$16,0),0)</f>
        <v>0</v>
      </c>
      <c r="U362" s="151" t="str">
        <f aca="false">IF(ISNUMBER(B362),B362*(1-1/'13_Mapa_Liq'!$B$17+'13_Mapa_Liq'!$B$6),"")</f>
        <v/>
      </c>
      <c r="V362" s="151" t="n">
        <f aca="false">IF(ISNUMBER(B362),IF(K362&gt;U362,I362*'13_Mapa_Liq'!$C$17,0),0)</f>
        <v>0</v>
      </c>
      <c r="W362" s="151" t="str">
        <f aca="false">IF(ISNUMBER(B362),B362*(1+1/'13_Mapa_Liq'!$B$17-'13_Mapa_Liq'!$B$6),"")</f>
        <v/>
      </c>
      <c r="X362" s="151" t="n">
        <f aca="false">IF(ISNUMBER(B362),IF(L362&lt;W362,J362*'13_Mapa_Liq'!$C$17,0),0)</f>
        <v>0</v>
      </c>
      <c r="Y362" s="151" t="str">
        <f aca="false">IF(ISNUMBER(B362),B362*(1-1/'13_Mapa_Liq'!$B$18+'13_Mapa_Liq'!$B$6),"")</f>
        <v/>
      </c>
      <c r="Z362" s="151" t="n">
        <f aca="false">IF(ISNUMBER(B362),IF(K362&gt;Y362,I362*'13_Mapa_Liq'!$C$18,0),0)</f>
        <v>0</v>
      </c>
      <c r="AA362" s="151" t="str">
        <f aca="false">IF(ISNUMBER(B362),B362*(1+1/'13_Mapa_Liq'!$B$18-'13_Mapa_Liq'!$B$6),"")</f>
        <v/>
      </c>
      <c r="AB362" s="151" t="n">
        <f aca="false">IF(ISNUMBER(B362),IF(L362&lt;AA362,J362*'13_Mapa_Liq'!$C$18,0),0)</f>
        <v>0</v>
      </c>
      <c r="AC362" s="151" t="str">
        <f aca="false">IF(ISNUMBER(B362),B362*(1-1/'13_Mapa_Liq'!$B$19+'13_Mapa_Liq'!$B$6),"")</f>
        <v/>
      </c>
      <c r="AD362" s="151" t="n">
        <f aca="false">IF(ISNUMBER(B362),IF(K362&gt;AC362,I362*'13_Mapa_Liq'!$C$19,0),0)</f>
        <v>0</v>
      </c>
      <c r="AE362" s="151" t="str">
        <f aca="false">IF(ISNUMBER(B362),B362*(1+1/'13_Mapa_Liq'!$B$19-'13_Mapa_Liq'!$B$6),"")</f>
        <v/>
      </c>
      <c r="AF362" s="151" t="n">
        <f aca="false">IF(ISNUMBER(B362),IF(L362&lt;AE362,J362*'13_Mapa_Liq'!$C$19,0),0)</f>
        <v>0</v>
      </c>
      <c r="AG362" s="151"/>
      <c r="AH362" s="151" t="n">
        <f aca="false">IF(ISNUMBER(B362),E362*F362*((K362&lt;=M362)*'13_Mapa_Liq'!$C$15+(K362&lt;=Q362)*'13_Mapa_Liq'!$C$16+(K362&lt;=U362)*'13_Mapa_Liq'!$C$17+(K362&lt;=Y362)*'13_Mapa_Liq'!$C$18+(K362&lt;=AC362)*'13_Mapa_Liq'!$C$19),0)</f>
        <v>0</v>
      </c>
      <c r="AI362" s="151" t="n">
        <f aca="false">IF(ISNUMBER(B362),E362*(1-F362)*((L362&gt;=O362)*'13_Mapa_Liq'!$C$15+(L362&gt;=S362)*'13_Mapa_Liq'!$C$16+(L362&gt;=W362)*'13_Mapa_Liq'!$C$17+(L362&gt;=AA362)*'13_Mapa_Liq'!$C$18+(L362&gt;=AE362)*'13_Mapa_Liq'!$C$19),0)</f>
        <v>0</v>
      </c>
    </row>
    <row r="363" customFormat="false" ht="15" hidden="false" customHeight="false" outlineLevel="0" collapsed="false">
      <c r="A363" s="151" t="str">
        <f aca="false">IF(ISNUMBER('12_Datos_5m'!F363),ROW()-4,"")</f>
        <v/>
      </c>
      <c r="B363" s="151" t="str">
        <f aca="false">IF(ISNUMBER('12_Datos_5m'!F363),'12_Datos_5m'!F363,"")</f>
        <v/>
      </c>
      <c r="C363" s="151" t="str">
        <f aca="false">IF(ISNUMBER('12_Datos_5m'!A363),'12_Datos_5m'!A363,"")</f>
        <v/>
      </c>
      <c r="D363" s="151" t="n">
        <f aca="false">IF(AND(ISNUMBER('12_Datos_5m'!I363),ISNUMBER('12_Datos_5m'!I362)),'12_Datos_5m'!I363-'12_Datos_5m'!I362,0)</f>
        <v>0</v>
      </c>
      <c r="E363" s="151" t="n">
        <f aca="false">MAX(0,D363)</f>
        <v>0</v>
      </c>
      <c r="F363" s="151" t="n">
        <f aca="false">IF(AND(ISNUMBER('12_Datos_5m'!G363),N('12_Datos_5m'!G363)&gt;0),'12_Datos_5m'!H363/'12_Datos_5m'!G363,0.5)</f>
        <v>0.5</v>
      </c>
      <c r="G363" s="151" t="n">
        <f aca="false">IF(ISNUMBER(C363),($C$2-C363)/3600000,0)</f>
        <v>0</v>
      </c>
      <c r="H363" s="151" t="n">
        <f aca="false">EXP(-G363/'13_Mapa_Liq'!$B$7)</f>
        <v>1</v>
      </c>
      <c r="I363" s="151" t="n">
        <f aca="false">E363*F363*H363</f>
        <v>0</v>
      </c>
      <c r="J363" s="151" t="n">
        <f aca="false">E363*(1-F363)*H363</f>
        <v>0</v>
      </c>
      <c r="K363" s="151" t="n">
        <f aca="false">IF(COUNT('12_Datos_5m'!E364:E$504)=0,1000000000000,MIN('12_Datos_5m'!E364:E$504))</f>
        <v>1000000000000</v>
      </c>
      <c r="L363" s="151" t="n">
        <f aca="false">IF(COUNT('12_Datos_5m'!D364:D$504)=0,0,MAX('12_Datos_5m'!D364:D$504))</f>
        <v>0</v>
      </c>
      <c r="M363" s="151" t="str">
        <f aca="false">IF(ISNUMBER(B363),B363*(1-1/'13_Mapa_Liq'!$B$15+'13_Mapa_Liq'!$B$6),"")</f>
        <v/>
      </c>
      <c r="N363" s="151" t="n">
        <f aca="false">IF(ISNUMBER(B363),IF(K363&gt;M363,I363*'13_Mapa_Liq'!$C$15,0),0)</f>
        <v>0</v>
      </c>
      <c r="O363" s="151" t="str">
        <f aca="false">IF(ISNUMBER(B363),B363*(1+1/'13_Mapa_Liq'!$B$15-'13_Mapa_Liq'!$B$6),"")</f>
        <v/>
      </c>
      <c r="P363" s="151" t="n">
        <f aca="false">IF(ISNUMBER(B363),IF(L363&lt;O363,J363*'13_Mapa_Liq'!$C$15,0),0)</f>
        <v>0</v>
      </c>
      <c r="Q363" s="151" t="str">
        <f aca="false">IF(ISNUMBER(B363),B363*(1-1/'13_Mapa_Liq'!$B$16+'13_Mapa_Liq'!$B$6),"")</f>
        <v/>
      </c>
      <c r="R363" s="151" t="n">
        <f aca="false">IF(ISNUMBER(B363),IF(K363&gt;Q363,I363*'13_Mapa_Liq'!$C$16,0),0)</f>
        <v>0</v>
      </c>
      <c r="S363" s="151" t="str">
        <f aca="false">IF(ISNUMBER(B363),B363*(1+1/'13_Mapa_Liq'!$B$16-'13_Mapa_Liq'!$B$6),"")</f>
        <v/>
      </c>
      <c r="T363" s="151" t="n">
        <f aca="false">IF(ISNUMBER(B363),IF(L363&lt;S363,J363*'13_Mapa_Liq'!$C$16,0),0)</f>
        <v>0</v>
      </c>
      <c r="U363" s="151" t="str">
        <f aca="false">IF(ISNUMBER(B363),B363*(1-1/'13_Mapa_Liq'!$B$17+'13_Mapa_Liq'!$B$6),"")</f>
        <v/>
      </c>
      <c r="V363" s="151" t="n">
        <f aca="false">IF(ISNUMBER(B363),IF(K363&gt;U363,I363*'13_Mapa_Liq'!$C$17,0),0)</f>
        <v>0</v>
      </c>
      <c r="W363" s="151" t="str">
        <f aca="false">IF(ISNUMBER(B363),B363*(1+1/'13_Mapa_Liq'!$B$17-'13_Mapa_Liq'!$B$6),"")</f>
        <v/>
      </c>
      <c r="X363" s="151" t="n">
        <f aca="false">IF(ISNUMBER(B363),IF(L363&lt;W363,J363*'13_Mapa_Liq'!$C$17,0),0)</f>
        <v>0</v>
      </c>
      <c r="Y363" s="151" t="str">
        <f aca="false">IF(ISNUMBER(B363),B363*(1-1/'13_Mapa_Liq'!$B$18+'13_Mapa_Liq'!$B$6),"")</f>
        <v/>
      </c>
      <c r="Z363" s="151" t="n">
        <f aca="false">IF(ISNUMBER(B363),IF(K363&gt;Y363,I363*'13_Mapa_Liq'!$C$18,0),0)</f>
        <v>0</v>
      </c>
      <c r="AA363" s="151" t="str">
        <f aca="false">IF(ISNUMBER(B363),B363*(1+1/'13_Mapa_Liq'!$B$18-'13_Mapa_Liq'!$B$6),"")</f>
        <v/>
      </c>
      <c r="AB363" s="151" t="n">
        <f aca="false">IF(ISNUMBER(B363),IF(L363&lt;AA363,J363*'13_Mapa_Liq'!$C$18,0),0)</f>
        <v>0</v>
      </c>
      <c r="AC363" s="151" t="str">
        <f aca="false">IF(ISNUMBER(B363),B363*(1-1/'13_Mapa_Liq'!$B$19+'13_Mapa_Liq'!$B$6),"")</f>
        <v/>
      </c>
      <c r="AD363" s="151" t="n">
        <f aca="false">IF(ISNUMBER(B363),IF(K363&gt;AC363,I363*'13_Mapa_Liq'!$C$19,0),0)</f>
        <v>0</v>
      </c>
      <c r="AE363" s="151" t="str">
        <f aca="false">IF(ISNUMBER(B363),B363*(1+1/'13_Mapa_Liq'!$B$19-'13_Mapa_Liq'!$B$6),"")</f>
        <v/>
      </c>
      <c r="AF363" s="151" t="n">
        <f aca="false">IF(ISNUMBER(B363),IF(L363&lt;AE363,J363*'13_Mapa_Liq'!$C$19,0),0)</f>
        <v>0</v>
      </c>
      <c r="AG363" s="151"/>
      <c r="AH363" s="151" t="n">
        <f aca="false">IF(ISNUMBER(B363),E363*F363*((K363&lt;=M363)*'13_Mapa_Liq'!$C$15+(K363&lt;=Q363)*'13_Mapa_Liq'!$C$16+(K363&lt;=U363)*'13_Mapa_Liq'!$C$17+(K363&lt;=Y363)*'13_Mapa_Liq'!$C$18+(K363&lt;=AC363)*'13_Mapa_Liq'!$C$19),0)</f>
        <v>0</v>
      </c>
      <c r="AI363" s="151" t="n">
        <f aca="false">IF(ISNUMBER(B363),E363*(1-F363)*((L363&gt;=O363)*'13_Mapa_Liq'!$C$15+(L363&gt;=S363)*'13_Mapa_Liq'!$C$16+(L363&gt;=W363)*'13_Mapa_Liq'!$C$17+(L363&gt;=AA363)*'13_Mapa_Liq'!$C$18+(L363&gt;=AE363)*'13_Mapa_Liq'!$C$19),0)</f>
        <v>0</v>
      </c>
    </row>
    <row r="364" customFormat="false" ht="15" hidden="false" customHeight="false" outlineLevel="0" collapsed="false">
      <c r="A364" s="151" t="str">
        <f aca="false">IF(ISNUMBER('12_Datos_5m'!F364),ROW()-4,"")</f>
        <v/>
      </c>
      <c r="B364" s="151" t="str">
        <f aca="false">IF(ISNUMBER('12_Datos_5m'!F364),'12_Datos_5m'!F364,"")</f>
        <v/>
      </c>
      <c r="C364" s="151" t="str">
        <f aca="false">IF(ISNUMBER('12_Datos_5m'!A364),'12_Datos_5m'!A364,"")</f>
        <v/>
      </c>
      <c r="D364" s="151" t="n">
        <f aca="false">IF(AND(ISNUMBER('12_Datos_5m'!I364),ISNUMBER('12_Datos_5m'!I363)),'12_Datos_5m'!I364-'12_Datos_5m'!I363,0)</f>
        <v>0</v>
      </c>
      <c r="E364" s="151" t="n">
        <f aca="false">MAX(0,D364)</f>
        <v>0</v>
      </c>
      <c r="F364" s="151" t="n">
        <f aca="false">IF(AND(ISNUMBER('12_Datos_5m'!G364),N('12_Datos_5m'!G364)&gt;0),'12_Datos_5m'!H364/'12_Datos_5m'!G364,0.5)</f>
        <v>0.5</v>
      </c>
      <c r="G364" s="151" t="n">
        <f aca="false">IF(ISNUMBER(C364),($C$2-C364)/3600000,0)</f>
        <v>0</v>
      </c>
      <c r="H364" s="151" t="n">
        <f aca="false">EXP(-G364/'13_Mapa_Liq'!$B$7)</f>
        <v>1</v>
      </c>
      <c r="I364" s="151" t="n">
        <f aca="false">E364*F364*H364</f>
        <v>0</v>
      </c>
      <c r="J364" s="151" t="n">
        <f aca="false">E364*(1-F364)*H364</f>
        <v>0</v>
      </c>
      <c r="K364" s="151" t="n">
        <f aca="false">IF(COUNT('12_Datos_5m'!E365:E$504)=0,1000000000000,MIN('12_Datos_5m'!E365:E$504))</f>
        <v>1000000000000</v>
      </c>
      <c r="L364" s="151" t="n">
        <f aca="false">IF(COUNT('12_Datos_5m'!D365:D$504)=0,0,MAX('12_Datos_5m'!D365:D$504))</f>
        <v>0</v>
      </c>
      <c r="M364" s="151" t="str">
        <f aca="false">IF(ISNUMBER(B364),B364*(1-1/'13_Mapa_Liq'!$B$15+'13_Mapa_Liq'!$B$6),"")</f>
        <v/>
      </c>
      <c r="N364" s="151" t="n">
        <f aca="false">IF(ISNUMBER(B364),IF(K364&gt;M364,I364*'13_Mapa_Liq'!$C$15,0),0)</f>
        <v>0</v>
      </c>
      <c r="O364" s="151" t="str">
        <f aca="false">IF(ISNUMBER(B364),B364*(1+1/'13_Mapa_Liq'!$B$15-'13_Mapa_Liq'!$B$6),"")</f>
        <v/>
      </c>
      <c r="P364" s="151" t="n">
        <f aca="false">IF(ISNUMBER(B364),IF(L364&lt;O364,J364*'13_Mapa_Liq'!$C$15,0),0)</f>
        <v>0</v>
      </c>
      <c r="Q364" s="151" t="str">
        <f aca="false">IF(ISNUMBER(B364),B364*(1-1/'13_Mapa_Liq'!$B$16+'13_Mapa_Liq'!$B$6),"")</f>
        <v/>
      </c>
      <c r="R364" s="151" t="n">
        <f aca="false">IF(ISNUMBER(B364),IF(K364&gt;Q364,I364*'13_Mapa_Liq'!$C$16,0),0)</f>
        <v>0</v>
      </c>
      <c r="S364" s="151" t="str">
        <f aca="false">IF(ISNUMBER(B364),B364*(1+1/'13_Mapa_Liq'!$B$16-'13_Mapa_Liq'!$B$6),"")</f>
        <v/>
      </c>
      <c r="T364" s="151" t="n">
        <f aca="false">IF(ISNUMBER(B364),IF(L364&lt;S364,J364*'13_Mapa_Liq'!$C$16,0),0)</f>
        <v>0</v>
      </c>
      <c r="U364" s="151" t="str">
        <f aca="false">IF(ISNUMBER(B364),B364*(1-1/'13_Mapa_Liq'!$B$17+'13_Mapa_Liq'!$B$6),"")</f>
        <v/>
      </c>
      <c r="V364" s="151" t="n">
        <f aca="false">IF(ISNUMBER(B364),IF(K364&gt;U364,I364*'13_Mapa_Liq'!$C$17,0),0)</f>
        <v>0</v>
      </c>
      <c r="W364" s="151" t="str">
        <f aca="false">IF(ISNUMBER(B364),B364*(1+1/'13_Mapa_Liq'!$B$17-'13_Mapa_Liq'!$B$6),"")</f>
        <v/>
      </c>
      <c r="X364" s="151" t="n">
        <f aca="false">IF(ISNUMBER(B364),IF(L364&lt;W364,J364*'13_Mapa_Liq'!$C$17,0),0)</f>
        <v>0</v>
      </c>
      <c r="Y364" s="151" t="str">
        <f aca="false">IF(ISNUMBER(B364),B364*(1-1/'13_Mapa_Liq'!$B$18+'13_Mapa_Liq'!$B$6),"")</f>
        <v/>
      </c>
      <c r="Z364" s="151" t="n">
        <f aca="false">IF(ISNUMBER(B364),IF(K364&gt;Y364,I364*'13_Mapa_Liq'!$C$18,0),0)</f>
        <v>0</v>
      </c>
      <c r="AA364" s="151" t="str">
        <f aca="false">IF(ISNUMBER(B364),B364*(1+1/'13_Mapa_Liq'!$B$18-'13_Mapa_Liq'!$B$6),"")</f>
        <v/>
      </c>
      <c r="AB364" s="151" t="n">
        <f aca="false">IF(ISNUMBER(B364),IF(L364&lt;AA364,J364*'13_Mapa_Liq'!$C$18,0),0)</f>
        <v>0</v>
      </c>
      <c r="AC364" s="151" t="str">
        <f aca="false">IF(ISNUMBER(B364),B364*(1-1/'13_Mapa_Liq'!$B$19+'13_Mapa_Liq'!$B$6),"")</f>
        <v/>
      </c>
      <c r="AD364" s="151" t="n">
        <f aca="false">IF(ISNUMBER(B364),IF(K364&gt;AC364,I364*'13_Mapa_Liq'!$C$19,0),0)</f>
        <v>0</v>
      </c>
      <c r="AE364" s="151" t="str">
        <f aca="false">IF(ISNUMBER(B364),B364*(1+1/'13_Mapa_Liq'!$B$19-'13_Mapa_Liq'!$B$6),"")</f>
        <v/>
      </c>
      <c r="AF364" s="151" t="n">
        <f aca="false">IF(ISNUMBER(B364),IF(L364&lt;AE364,J364*'13_Mapa_Liq'!$C$19,0),0)</f>
        <v>0</v>
      </c>
      <c r="AG364" s="151"/>
      <c r="AH364" s="151" t="n">
        <f aca="false">IF(ISNUMBER(B364),E364*F364*((K364&lt;=M364)*'13_Mapa_Liq'!$C$15+(K364&lt;=Q364)*'13_Mapa_Liq'!$C$16+(K364&lt;=U364)*'13_Mapa_Liq'!$C$17+(K364&lt;=Y364)*'13_Mapa_Liq'!$C$18+(K364&lt;=AC364)*'13_Mapa_Liq'!$C$19),0)</f>
        <v>0</v>
      </c>
      <c r="AI364" s="151" t="n">
        <f aca="false">IF(ISNUMBER(B364),E364*(1-F364)*((L364&gt;=O364)*'13_Mapa_Liq'!$C$15+(L364&gt;=S364)*'13_Mapa_Liq'!$C$16+(L364&gt;=W364)*'13_Mapa_Liq'!$C$17+(L364&gt;=AA364)*'13_Mapa_Liq'!$C$18+(L364&gt;=AE364)*'13_Mapa_Liq'!$C$19),0)</f>
        <v>0</v>
      </c>
    </row>
    <row r="365" customFormat="false" ht="15" hidden="false" customHeight="false" outlineLevel="0" collapsed="false">
      <c r="A365" s="151" t="str">
        <f aca="false">IF(ISNUMBER('12_Datos_5m'!F365),ROW()-4,"")</f>
        <v/>
      </c>
      <c r="B365" s="151" t="str">
        <f aca="false">IF(ISNUMBER('12_Datos_5m'!F365),'12_Datos_5m'!F365,"")</f>
        <v/>
      </c>
      <c r="C365" s="151" t="str">
        <f aca="false">IF(ISNUMBER('12_Datos_5m'!A365),'12_Datos_5m'!A365,"")</f>
        <v/>
      </c>
      <c r="D365" s="151" t="n">
        <f aca="false">IF(AND(ISNUMBER('12_Datos_5m'!I365),ISNUMBER('12_Datos_5m'!I364)),'12_Datos_5m'!I365-'12_Datos_5m'!I364,0)</f>
        <v>0</v>
      </c>
      <c r="E365" s="151" t="n">
        <f aca="false">MAX(0,D365)</f>
        <v>0</v>
      </c>
      <c r="F365" s="151" t="n">
        <f aca="false">IF(AND(ISNUMBER('12_Datos_5m'!G365),N('12_Datos_5m'!G365)&gt;0),'12_Datos_5m'!H365/'12_Datos_5m'!G365,0.5)</f>
        <v>0.5</v>
      </c>
      <c r="G365" s="151" t="n">
        <f aca="false">IF(ISNUMBER(C365),($C$2-C365)/3600000,0)</f>
        <v>0</v>
      </c>
      <c r="H365" s="151" t="n">
        <f aca="false">EXP(-G365/'13_Mapa_Liq'!$B$7)</f>
        <v>1</v>
      </c>
      <c r="I365" s="151" t="n">
        <f aca="false">E365*F365*H365</f>
        <v>0</v>
      </c>
      <c r="J365" s="151" t="n">
        <f aca="false">E365*(1-F365)*H365</f>
        <v>0</v>
      </c>
      <c r="K365" s="151" t="n">
        <f aca="false">IF(COUNT('12_Datos_5m'!E366:E$504)=0,1000000000000,MIN('12_Datos_5m'!E366:E$504))</f>
        <v>1000000000000</v>
      </c>
      <c r="L365" s="151" t="n">
        <f aca="false">IF(COUNT('12_Datos_5m'!D366:D$504)=0,0,MAX('12_Datos_5m'!D366:D$504))</f>
        <v>0</v>
      </c>
      <c r="M365" s="151" t="str">
        <f aca="false">IF(ISNUMBER(B365),B365*(1-1/'13_Mapa_Liq'!$B$15+'13_Mapa_Liq'!$B$6),"")</f>
        <v/>
      </c>
      <c r="N365" s="151" t="n">
        <f aca="false">IF(ISNUMBER(B365),IF(K365&gt;M365,I365*'13_Mapa_Liq'!$C$15,0),0)</f>
        <v>0</v>
      </c>
      <c r="O365" s="151" t="str">
        <f aca="false">IF(ISNUMBER(B365),B365*(1+1/'13_Mapa_Liq'!$B$15-'13_Mapa_Liq'!$B$6),"")</f>
        <v/>
      </c>
      <c r="P365" s="151" t="n">
        <f aca="false">IF(ISNUMBER(B365),IF(L365&lt;O365,J365*'13_Mapa_Liq'!$C$15,0),0)</f>
        <v>0</v>
      </c>
      <c r="Q365" s="151" t="str">
        <f aca="false">IF(ISNUMBER(B365),B365*(1-1/'13_Mapa_Liq'!$B$16+'13_Mapa_Liq'!$B$6),"")</f>
        <v/>
      </c>
      <c r="R365" s="151" t="n">
        <f aca="false">IF(ISNUMBER(B365),IF(K365&gt;Q365,I365*'13_Mapa_Liq'!$C$16,0),0)</f>
        <v>0</v>
      </c>
      <c r="S365" s="151" t="str">
        <f aca="false">IF(ISNUMBER(B365),B365*(1+1/'13_Mapa_Liq'!$B$16-'13_Mapa_Liq'!$B$6),"")</f>
        <v/>
      </c>
      <c r="T365" s="151" t="n">
        <f aca="false">IF(ISNUMBER(B365),IF(L365&lt;S365,J365*'13_Mapa_Liq'!$C$16,0),0)</f>
        <v>0</v>
      </c>
      <c r="U365" s="151" t="str">
        <f aca="false">IF(ISNUMBER(B365),B365*(1-1/'13_Mapa_Liq'!$B$17+'13_Mapa_Liq'!$B$6),"")</f>
        <v/>
      </c>
      <c r="V365" s="151" t="n">
        <f aca="false">IF(ISNUMBER(B365),IF(K365&gt;U365,I365*'13_Mapa_Liq'!$C$17,0),0)</f>
        <v>0</v>
      </c>
      <c r="W365" s="151" t="str">
        <f aca="false">IF(ISNUMBER(B365),B365*(1+1/'13_Mapa_Liq'!$B$17-'13_Mapa_Liq'!$B$6),"")</f>
        <v/>
      </c>
      <c r="X365" s="151" t="n">
        <f aca="false">IF(ISNUMBER(B365),IF(L365&lt;W365,J365*'13_Mapa_Liq'!$C$17,0),0)</f>
        <v>0</v>
      </c>
      <c r="Y365" s="151" t="str">
        <f aca="false">IF(ISNUMBER(B365),B365*(1-1/'13_Mapa_Liq'!$B$18+'13_Mapa_Liq'!$B$6),"")</f>
        <v/>
      </c>
      <c r="Z365" s="151" t="n">
        <f aca="false">IF(ISNUMBER(B365),IF(K365&gt;Y365,I365*'13_Mapa_Liq'!$C$18,0),0)</f>
        <v>0</v>
      </c>
      <c r="AA365" s="151" t="str">
        <f aca="false">IF(ISNUMBER(B365),B365*(1+1/'13_Mapa_Liq'!$B$18-'13_Mapa_Liq'!$B$6),"")</f>
        <v/>
      </c>
      <c r="AB365" s="151" t="n">
        <f aca="false">IF(ISNUMBER(B365),IF(L365&lt;AA365,J365*'13_Mapa_Liq'!$C$18,0),0)</f>
        <v>0</v>
      </c>
      <c r="AC365" s="151" t="str">
        <f aca="false">IF(ISNUMBER(B365),B365*(1-1/'13_Mapa_Liq'!$B$19+'13_Mapa_Liq'!$B$6),"")</f>
        <v/>
      </c>
      <c r="AD365" s="151" t="n">
        <f aca="false">IF(ISNUMBER(B365),IF(K365&gt;AC365,I365*'13_Mapa_Liq'!$C$19,0),0)</f>
        <v>0</v>
      </c>
      <c r="AE365" s="151" t="str">
        <f aca="false">IF(ISNUMBER(B365),B365*(1+1/'13_Mapa_Liq'!$B$19-'13_Mapa_Liq'!$B$6),"")</f>
        <v/>
      </c>
      <c r="AF365" s="151" t="n">
        <f aca="false">IF(ISNUMBER(B365),IF(L365&lt;AE365,J365*'13_Mapa_Liq'!$C$19,0),0)</f>
        <v>0</v>
      </c>
      <c r="AG365" s="151"/>
      <c r="AH365" s="151" t="n">
        <f aca="false">IF(ISNUMBER(B365),E365*F365*((K365&lt;=M365)*'13_Mapa_Liq'!$C$15+(K365&lt;=Q365)*'13_Mapa_Liq'!$C$16+(K365&lt;=U365)*'13_Mapa_Liq'!$C$17+(K365&lt;=Y365)*'13_Mapa_Liq'!$C$18+(K365&lt;=AC365)*'13_Mapa_Liq'!$C$19),0)</f>
        <v>0</v>
      </c>
      <c r="AI365" s="151" t="n">
        <f aca="false">IF(ISNUMBER(B365),E365*(1-F365)*((L365&gt;=O365)*'13_Mapa_Liq'!$C$15+(L365&gt;=S365)*'13_Mapa_Liq'!$C$16+(L365&gt;=W365)*'13_Mapa_Liq'!$C$17+(L365&gt;=AA365)*'13_Mapa_Liq'!$C$18+(L365&gt;=AE365)*'13_Mapa_Liq'!$C$19),0)</f>
        <v>0</v>
      </c>
    </row>
    <row r="366" customFormat="false" ht="15" hidden="false" customHeight="false" outlineLevel="0" collapsed="false">
      <c r="A366" s="151" t="str">
        <f aca="false">IF(ISNUMBER('12_Datos_5m'!F366),ROW()-4,"")</f>
        <v/>
      </c>
      <c r="B366" s="151" t="str">
        <f aca="false">IF(ISNUMBER('12_Datos_5m'!F366),'12_Datos_5m'!F366,"")</f>
        <v/>
      </c>
      <c r="C366" s="151" t="str">
        <f aca="false">IF(ISNUMBER('12_Datos_5m'!A366),'12_Datos_5m'!A366,"")</f>
        <v/>
      </c>
      <c r="D366" s="151" t="n">
        <f aca="false">IF(AND(ISNUMBER('12_Datos_5m'!I366),ISNUMBER('12_Datos_5m'!I365)),'12_Datos_5m'!I366-'12_Datos_5m'!I365,0)</f>
        <v>0</v>
      </c>
      <c r="E366" s="151" t="n">
        <f aca="false">MAX(0,D366)</f>
        <v>0</v>
      </c>
      <c r="F366" s="151" t="n">
        <f aca="false">IF(AND(ISNUMBER('12_Datos_5m'!G366),N('12_Datos_5m'!G366)&gt;0),'12_Datos_5m'!H366/'12_Datos_5m'!G366,0.5)</f>
        <v>0.5</v>
      </c>
      <c r="G366" s="151" t="n">
        <f aca="false">IF(ISNUMBER(C366),($C$2-C366)/3600000,0)</f>
        <v>0</v>
      </c>
      <c r="H366" s="151" t="n">
        <f aca="false">EXP(-G366/'13_Mapa_Liq'!$B$7)</f>
        <v>1</v>
      </c>
      <c r="I366" s="151" t="n">
        <f aca="false">E366*F366*H366</f>
        <v>0</v>
      </c>
      <c r="J366" s="151" t="n">
        <f aca="false">E366*(1-F366)*H366</f>
        <v>0</v>
      </c>
      <c r="K366" s="151" t="n">
        <f aca="false">IF(COUNT('12_Datos_5m'!E367:E$504)=0,1000000000000,MIN('12_Datos_5m'!E367:E$504))</f>
        <v>1000000000000</v>
      </c>
      <c r="L366" s="151" t="n">
        <f aca="false">IF(COUNT('12_Datos_5m'!D367:D$504)=0,0,MAX('12_Datos_5m'!D367:D$504))</f>
        <v>0</v>
      </c>
      <c r="M366" s="151" t="str">
        <f aca="false">IF(ISNUMBER(B366),B366*(1-1/'13_Mapa_Liq'!$B$15+'13_Mapa_Liq'!$B$6),"")</f>
        <v/>
      </c>
      <c r="N366" s="151" t="n">
        <f aca="false">IF(ISNUMBER(B366),IF(K366&gt;M366,I366*'13_Mapa_Liq'!$C$15,0),0)</f>
        <v>0</v>
      </c>
      <c r="O366" s="151" t="str">
        <f aca="false">IF(ISNUMBER(B366),B366*(1+1/'13_Mapa_Liq'!$B$15-'13_Mapa_Liq'!$B$6),"")</f>
        <v/>
      </c>
      <c r="P366" s="151" t="n">
        <f aca="false">IF(ISNUMBER(B366),IF(L366&lt;O366,J366*'13_Mapa_Liq'!$C$15,0),0)</f>
        <v>0</v>
      </c>
      <c r="Q366" s="151" t="str">
        <f aca="false">IF(ISNUMBER(B366),B366*(1-1/'13_Mapa_Liq'!$B$16+'13_Mapa_Liq'!$B$6),"")</f>
        <v/>
      </c>
      <c r="R366" s="151" t="n">
        <f aca="false">IF(ISNUMBER(B366),IF(K366&gt;Q366,I366*'13_Mapa_Liq'!$C$16,0),0)</f>
        <v>0</v>
      </c>
      <c r="S366" s="151" t="str">
        <f aca="false">IF(ISNUMBER(B366),B366*(1+1/'13_Mapa_Liq'!$B$16-'13_Mapa_Liq'!$B$6),"")</f>
        <v/>
      </c>
      <c r="T366" s="151" t="n">
        <f aca="false">IF(ISNUMBER(B366),IF(L366&lt;S366,J366*'13_Mapa_Liq'!$C$16,0),0)</f>
        <v>0</v>
      </c>
      <c r="U366" s="151" t="str">
        <f aca="false">IF(ISNUMBER(B366),B366*(1-1/'13_Mapa_Liq'!$B$17+'13_Mapa_Liq'!$B$6),"")</f>
        <v/>
      </c>
      <c r="V366" s="151" t="n">
        <f aca="false">IF(ISNUMBER(B366),IF(K366&gt;U366,I366*'13_Mapa_Liq'!$C$17,0),0)</f>
        <v>0</v>
      </c>
      <c r="W366" s="151" t="str">
        <f aca="false">IF(ISNUMBER(B366),B366*(1+1/'13_Mapa_Liq'!$B$17-'13_Mapa_Liq'!$B$6),"")</f>
        <v/>
      </c>
      <c r="X366" s="151" t="n">
        <f aca="false">IF(ISNUMBER(B366),IF(L366&lt;W366,J366*'13_Mapa_Liq'!$C$17,0),0)</f>
        <v>0</v>
      </c>
      <c r="Y366" s="151" t="str">
        <f aca="false">IF(ISNUMBER(B366),B366*(1-1/'13_Mapa_Liq'!$B$18+'13_Mapa_Liq'!$B$6),"")</f>
        <v/>
      </c>
      <c r="Z366" s="151" t="n">
        <f aca="false">IF(ISNUMBER(B366),IF(K366&gt;Y366,I366*'13_Mapa_Liq'!$C$18,0),0)</f>
        <v>0</v>
      </c>
      <c r="AA366" s="151" t="str">
        <f aca="false">IF(ISNUMBER(B366),B366*(1+1/'13_Mapa_Liq'!$B$18-'13_Mapa_Liq'!$B$6),"")</f>
        <v/>
      </c>
      <c r="AB366" s="151" t="n">
        <f aca="false">IF(ISNUMBER(B366),IF(L366&lt;AA366,J366*'13_Mapa_Liq'!$C$18,0),0)</f>
        <v>0</v>
      </c>
      <c r="AC366" s="151" t="str">
        <f aca="false">IF(ISNUMBER(B366),B366*(1-1/'13_Mapa_Liq'!$B$19+'13_Mapa_Liq'!$B$6),"")</f>
        <v/>
      </c>
      <c r="AD366" s="151" t="n">
        <f aca="false">IF(ISNUMBER(B366),IF(K366&gt;AC366,I366*'13_Mapa_Liq'!$C$19,0),0)</f>
        <v>0</v>
      </c>
      <c r="AE366" s="151" t="str">
        <f aca="false">IF(ISNUMBER(B366),B366*(1+1/'13_Mapa_Liq'!$B$19-'13_Mapa_Liq'!$B$6),"")</f>
        <v/>
      </c>
      <c r="AF366" s="151" t="n">
        <f aca="false">IF(ISNUMBER(B366),IF(L366&lt;AE366,J366*'13_Mapa_Liq'!$C$19,0),0)</f>
        <v>0</v>
      </c>
      <c r="AG366" s="151"/>
      <c r="AH366" s="151" t="n">
        <f aca="false">IF(ISNUMBER(B366),E366*F366*((K366&lt;=M366)*'13_Mapa_Liq'!$C$15+(K366&lt;=Q366)*'13_Mapa_Liq'!$C$16+(K366&lt;=U366)*'13_Mapa_Liq'!$C$17+(K366&lt;=Y366)*'13_Mapa_Liq'!$C$18+(K366&lt;=AC366)*'13_Mapa_Liq'!$C$19),0)</f>
        <v>0</v>
      </c>
      <c r="AI366" s="151" t="n">
        <f aca="false">IF(ISNUMBER(B366),E366*(1-F366)*((L366&gt;=O366)*'13_Mapa_Liq'!$C$15+(L366&gt;=S366)*'13_Mapa_Liq'!$C$16+(L366&gt;=W366)*'13_Mapa_Liq'!$C$17+(L366&gt;=AA366)*'13_Mapa_Liq'!$C$18+(L366&gt;=AE366)*'13_Mapa_Liq'!$C$19),0)</f>
        <v>0</v>
      </c>
    </row>
    <row r="367" customFormat="false" ht="15" hidden="false" customHeight="false" outlineLevel="0" collapsed="false">
      <c r="A367" s="151" t="str">
        <f aca="false">IF(ISNUMBER('12_Datos_5m'!F367),ROW()-4,"")</f>
        <v/>
      </c>
      <c r="B367" s="151" t="str">
        <f aca="false">IF(ISNUMBER('12_Datos_5m'!F367),'12_Datos_5m'!F367,"")</f>
        <v/>
      </c>
      <c r="C367" s="151" t="str">
        <f aca="false">IF(ISNUMBER('12_Datos_5m'!A367),'12_Datos_5m'!A367,"")</f>
        <v/>
      </c>
      <c r="D367" s="151" t="n">
        <f aca="false">IF(AND(ISNUMBER('12_Datos_5m'!I367),ISNUMBER('12_Datos_5m'!I366)),'12_Datos_5m'!I367-'12_Datos_5m'!I366,0)</f>
        <v>0</v>
      </c>
      <c r="E367" s="151" t="n">
        <f aca="false">MAX(0,D367)</f>
        <v>0</v>
      </c>
      <c r="F367" s="151" t="n">
        <f aca="false">IF(AND(ISNUMBER('12_Datos_5m'!G367),N('12_Datos_5m'!G367)&gt;0),'12_Datos_5m'!H367/'12_Datos_5m'!G367,0.5)</f>
        <v>0.5</v>
      </c>
      <c r="G367" s="151" t="n">
        <f aca="false">IF(ISNUMBER(C367),($C$2-C367)/3600000,0)</f>
        <v>0</v>
      </c>
      <c r="H367" s="151" t="n">
        <f aca="false">EXP(-G367/'13_Mapa_Liq'!$B$7)</f>
        <v>1</v>
      </c>
      <c r="I367" s="151" t="n">
        <f aca="false">E367*F367*H367</f>
        <v>0</v>
      </c>
      <c r="J367" s="151" t="n">
        <f aca="false">E367*(1-F367)*H367</f>
        <v>0</v>
      </c>
      <c r="K367" s="151" t="n">
        <f aca="false">IF(COUNT('12_Datos_5m'!E368:E$504)=0,1000000000000,MIN('12_Datos_5m'!E368:E$504))</f>
        <v>1000000000000</v>
      </c>
      <c r="L367" s="151" t="n">
        <f aca="false">IF(COUNT('12_Datos_5m'!D368:D$504)=0,0,MAX('12_Datos_5m'!D368:D$504))</f>
        <v>0</v>
      </c>
      <c r="M367" s="151" t="str">
        <f aca="false">IF(ISNUMBER(B367),B367*(1-1/'13_Mapa_Liq'!$B$15+'13_Mapa_Liq'!$B$6),"")</f>
        <v/>
      </c>
      <c r="N367" s="151" t="n">
        <f aca="false">IF(ISNUMBER(B367),IF(K367&gt;M367,I367*'13_Mapa_Liq'!$C$15,0),0)</f>
        <v>0</v>
      </c>
      <c r="O367" s="151" t="str">
        <f aca="false">IF(ISNUMBER(B367),B367*(1+1/'13_Mapa_Liq'!$B$15-'13_Mapa_Liq'!$B$6),"")</f>
        <v/>
      </c>
      <c r="P367" s="151" t="n">
        <f aca="false">IF(ISNUMBER(B367),IF(L367&lt;O367,J367*'13_Mapa_Liq'!$C$15,0),0)</f>
        <v>0</v>
      </c>
      <c r="Q367" s="151" t="str">
        <f aca="false">IF(ISNUMBER(B367),B367*(1-1/'13_Mapa_Liq'!$B$16+'13_Mapa_Liq'!$B$6),"")</f>
        <v/>
      </c>
      <c r="R367" s="151" t="n">
        <f aca="false">IF(ISNUMBER(B367),IF(K367&gt;Q367,I367*'13_Mapa_Liq'!$C$16,0),0)</f>
        <v>0</v>
      </c>
      <c r="S367" s="151" t="str">
        <f aca="false">IF(ISNUMBER(B367),B367*(1+1/'13_Mapa_Liq'!$B$16-'13_Mapa_Liq'!$B$6),"")</f>
        <v/>
      </c>
      <c r="T367" s="151" t="n">
        <f aca="false">IF(ISNUMBER(B367),IF(L367&lt;S367,J367*'13_Mapa_Liq'!$C$16,0),0)</f>
        <v>0</v>
      </c>
      <c r="U367" s="151" t="str">
        <f aca="false">IF(ISNUMBER(B367),B367*(1-1/'13_Mapa_Liq'!$B$17+'13_Mapa_Liq'!$B$6),"")</f>
        <v/>
      </c>
      <c r="V367" s="151" t="n">
        <f aca="false">IF(ISNUMBER(B367),IF(K367&gt;U367,I367*'13_Mapa_Liq'!$C$17,0),0)</f>
        <v>0</v>
      </c>
      <c r="W367" s="151" t="str">
        <f aca="false">IF(ISNUMBER(B367),B367*(1+1/'13_Mapa_Liq'!$B$17-'13_Mapa_Liq'!$B$6),"")</f>
        <v/>
      </c>
      <c r="X367" s="151" t="n">
        <f aca="false">IF(ISNUMBER(B367),IF(L367&lt;W367,J367*'13_Mapa_Liq'!$C$17,0),0)</f>
        <v>0</v>
      </c>
      <c r="Y367" s="151" t="str">
        <f aca="false">IF(ISNUMBER(B367),B367*(1-1/'13_Mapa_Liq'!$B$18+'13_Mapa_Liq'!$B$6),"")</f>
        <v/>
      </c>
      <c r="Z367" s="151" t="n">
        <f aca="false">IF(ISNUMBER(B367),IF(K367&gt;Y367,I367*'13_Mapa_Liq'!$C$18,0),0)</f>
        <v>0</v>
      </c>
      <c r="AA367" s="151" t="str">
        <f aca="false">IF(ISNUMBER(B367),B367*(1+1/'13_Mapa_Liq'!$B$18-'13_Mapa_Liq'!$B$6),"")</f>
        <v/>
      </c>
      <c r="AB367" s="151" t="n">
        <f aca="false">IF(ISNUMBER(B367),IF(L367&lt;AA367,J367*'13_Mapa_Liq'!$C$18,0),0)</f>
        <v>0</v>
      </c>
      <c r="AC367" s="151" t="str">
        <f aca="false">IF(ISNUMBER(B367),B367*(1-1/'13_Mapa_Liq'!$B$19+'13_Mapa_Liq'!$B$6),"")</f>
        <v/>
      </c>
      <c r="AD367" s="151" t="n">
        <f aca="false">IF(ISNUMBER(B367),IF(K367&gt;AC367,I367*'13_Mapa_Liq'!$C$19,0),0)</f>
        <v>0</v>
      </c>
      <c r="AE367" s="151" t="str">
        <f aca="false">IF(ISNUMBER(B367),B367*(1+1/'13_Mapa_Liq'!$B$19-'13_Mapa_Liq'!$B$6),"")</f>
        <v/>
      </c>
      <c r="AF367" s="151" t="n">
        <f aca="false">IF(ISNUMBER(B367),IF(L367&lt;AE367,J367*'13_Mapa_Liq'!$C$19,0),0)</f>
        <v>0</v>
      </c>
      <c r="AG367" s="151"/>
      <c r="AH367" s="151" t="n">
        <f aca="false">IF(ISNUMBER(B367),E367*F367*((K367&lt;=M367)*'13_Mapa_Liq'!$C$15+(K367&lt;=Q367)*'13_Mapa_Liq'!$C$16+(K367&lt;=U367)*'13_Mapa_Liq'!$C$17+(K367&lt;=Y367)*'13_Mapa_Liq'!$C$18+(K367&lt;=AC367)*'13_Mapa_Liq'!$C$19),0)</f>
        <v>0</v>
      </c>
      <c r="AI367" s="151" t="n">
        <f aca="false">IF(ISNUMBER(B367),E367*(1-F367)*((L367&gt;=O367)*'13_Mapa_Liq'!$C$15+(L367&gt;=S367)*'13_Mapa_Liq'!$C$16+(L367&gt;=W367)*'13_Mapa_Liq'!$C$17+(L367&gt;=AA367)*'13_Mapa_Liq'!$C$18+(L367&gt;=AE367)*'13_Mapa_Liq'!$C$19),0)</f>
        <v>0</v>
      </c>
    </row>
    <row r="368" customFormat="false" ht="15" hidden="false" customHeight="false" outlineLevel="0" collapsed="false">
      <c r="A368" s="151" t="str">
        <f aca="false">IF(ISNUMBER('12_Datos_5m'!F368),ROW()-4,"")</f>
        <v/>
      </c>
      <c r="B368" s="151" t="str">
        <f aca="false">IF(ISNUMBER('12_Datos_5m'!F368),'12_Datos_5m'!F368,"")</f>
        <v/>
      </c>
      <c r="C368" s="151" t="str">
        <f aca="false">IF(ISNUMBER('12_Datos_5m'!A368),'12_Datos_5m'!A368,"")</f>
        <v/>
      </c>
      <c r="D368" s="151" t="n">
        <f aca="false">IF(AND(ISNUMBER('12_Datos_5m'!I368),ISNUMBER('12_Datos_5m'!I367)),'12_Datos_5m'!I368-'12_Datos_5m'!I367,0)</f>
        <v>0</v>
      </c>
      <c r="E368" s="151" t="n">
        <f aca="false">MAX(0,D368)</f>
        <v>0</v>
      </c>
      <c r="F368" s="151" t="n">
        <f aca="false">IF(AND(ISNUMBER('12_Datos_5m'!G368),N('12_Datos_5m'!G368)&gt;0),'12_Datos_5m'!H368/'12_Datos_5m'!G368,0.5)</f>
        <v>0.5</v>
      </c>
      <c r="G368" s="151" t="n">
        <f aca="false">IF(ISNUMBER(C368),($C$2-C368)/3600000,0)</f>
        <v>0</v>
      </c>
      <c r="H368" s="151" t="n">
        <f aca="false">EXP(-G368/'13_Mapa_Liq'!$B$7)</f>
        <v>1</v>
      </c>
      <c r="I368" s="151" t="n">
        <f aca="false">E368*F368*H368</f>
        <v>0</v>
      </c>
      <c r="J368" s="151" t="n">
        <f aca="false">E368*(1-F368)*H368</f>
        <v>0</v>
      </c>
      <c r="K368" s="151" t="n">
        <f aca="false">IF(COUNT('12_Datos_5m'!E369:E$504)=0,1000000000000,MIN('12_Datos_5m'!E369:E$504))</f>
        <v>1000000000000</v>
      </c>
      <c r="L368" s="151" t="n">
        <f aca="false">IF(COUNT('12_Datos_5m'!D369:D$504)=0,0,MAX('12_Datos_5m'!D369:D$504))</f>
        <v>0</v>
      </c>
      <c r="M368" s="151" t="str">
        <f aca="false">IF(ISNUMBER(B368),B368*(1-1/'13_Mapa_Liq'!$B$15+'13_Mapa_Liq'!$B$6),"")</f>
        <v/>
      </c>
      <c r="N368" s="151" t="n">
        <f aca="false">IF(ISNUMBER(B368),IF(K368&gt;M368,I368*'13_Mapa_Liq'!$C$15,0),0)</f>
        <v>0</v>
      </c>
      <c r="O368" s="151" t="str">
        <f aca="false">IF(ISNUMBER(B368),B368*(1+1/'13_Mapa_Liq'!$B$15-'13_Mapa_Liq'!$B$6),"")</f>
        <v/>
      </c>
      <c r="P368" s="151" t="n">
        <f aca="false">IF(ISNUMBER(B368),IF(L368&lt;O368,J368*'13_Mapa_Liq'!$C$15,0),0)</f>
        <v>0</v>
      </c>
      <c r="Q368" s="151" t="str">
        <f aca="false">IF(ISNUMBER(B368),B368*(1-1/'13_Mapa_Liq'!$B$16+'13_Mapa_Liq'!$B$6),"")</f>
        <v/>
      </c>
      <c r="R368" s="151" t="n">
        <f aca="false">IF(ISNUMBER(B368),IF(K368&gt;Q368,I368*'13_Mapa_Liq'!$C$16,0),0)</f>
        <v>0</v>
      </c>
      <c r="S368" s="151" t="str">
        <f aca="false">IF(ISNUMBER(B368),B368*(1+1/'13_Mapa_Liq'!$B$16-'13_Mapa_Liq'!$B$6),"")</f>
        <v/>
      </c>
      <c r="T368" s="151" t="n">
        <f aca="false">IF(ISNUMBER(B368),IF(L368&lt;S368,J368*'13_Mapa_Liq'!$C$16,0),0)</f>
        <v>0</v>
      </c>
      <c r="U368" s="151" t="str">
        <f aca="false">IF(ISNUMBER(B368),B368*(1-1/'13_Mapa_Liq'!$B$17+'13_Mapa_Liq'!$B$6),"")</f>
        <v/>
      </c>
      <c r="V368" s="151" t="n">
        <f aca="false">IF(ISNUMBER(B368),IF(K368&gt;U368,I368*'13_Mapa_Liq'!$C$17,0),0)</f>
        <v>0</v>
      </c>
      <c r="W368" s="151" t="str">
        <f aca="false">IF(ISNUMBER(B368),B368*(1+1/'13_Mapa_Liq'!$B$17-'13_Mapa_Liq'!$B$6),"")</f>
        <v/>
      </c>
      <c r="X368" s="151" t="n">
        <f aca="false">IF(ISNUMBER(B368),IF(L368&lt;W368,J368*'13_Mapa_Liq'!$C$17,0),0)</f>
        <v>0</v>
      </c>
      <c r="Y368" s="151" t="str">
        <f aca="false">IF(ISNUMBER(B368),B368*(1-1/'13_Mapa_Liq'!$B$18+'13_Mapa_Liq'!$B$6),"")</f>
        <v/>
      </c>
      <c r="Z368" s="151" t="n">
        <f aca="false">IF(ISNUMBER(B368),IF(K368&gt;Y368,I368*'13_Mapa_Liq'!$C$18,0),0)</f>
        <v>0</v>
      </c>
      <c r="AA368" s="151" t="str">
        <f aca="false">IF(ISNUMBER(B368),B368*(1+1/'13_Mapa_Liq'!$B$18-'13_Mapa_Liq'!$B$6),"")</f>
        <v/>
      </c>
      <c r="AB368" s="151" t="n">
        <f aca="false">IF(ISNUMBER(B368),IF(L368&lt;AA368,J368*'13_Mapa_Liq'!$C$18,0),0)</f>
        <v>0</v>
      </c>
      <c r="AC368" s="151" t="str">
        <f aca="false">IF(ISNUMBER(B368),B368*(1-1/'13_Mapa_Liq'!$B$19+'13_Mapa_Liq'!$B$6),"")</f>
        <v/>
      </c>
      <c r="AD368" s="151" t="n">
        <f aca="false">IF(ISNUMBER(B368),IF(K368&gt;AC368,I368*'13_Mapa_Liq'!$C$19,0),0)</f>
        <v>0</v>
      </c>
      <c r="AE368" s="151" t="str">
        <f aca="false">IF(ISNUMBER(B368),B368*(1+1/'13_Mapa_Liq'!$B$19-'13_Mapa_Liq'!$B$6),"")</f>
        <v/>
      </c>
      <c r="AF368" s="151" t="n">
        <f aca="false">IF(ISNUMBER(B368),IF(L368&lt;AE368,J368*'13_Mapa_Liq'!$C$19,0),0)</f>
        <v>0</v>
      </c>
      <c r="AG368" s="151"/>
      <c r="AH368" s="151" t="n">
        <f aca="false">IF(ISNUMBER(B368),E368*F368*((K368&lt;=M368)*'13_Mapa_Liq'!$C$15+(K368&lt;=Q368)*'13_Mapa_Liq'!$C$16+(K368&lt;=U368)*'13_Mapa_Liq'!$C$17+(K368&lt;=Y368)*'13_Mapa_Liq'!$C$18+(K368&lt;=AC368)*'13_Mapa_Liq'!$C$19),0)</f>
        <v>0</v>
      </c>
      <c r="AI368" s="151" t="n">
        <f aca="false">IF(ISNUMBER(B368),E368*(1-F368)*((L368&gt;=O368)*'13_Mapa_Liq'!$C$15+(L368&gt;=S368)*'13_Mapa_Liq'!$C$16+(L368&gt;=W368)*'13_Mapa_Liq'!$C$17+(L368&gt;=AA368)*'13_Mapa_Liq'!$C$18+(L368&gt;=AE368)*'13_Mapa_Liq'!$C$19),0)</f>
        <v>0</v>
      </c>
    </row>
    <row r="369" customFormat="false" ht="15" hidden="false" customHeight="false" outlineLevel="0" collapsed="false">
      <c r="A369" s="151" t="str">
        <f aca="false">IF(ISNUMBER('12_Datos_5m'!F369),ROW()-4,"")</f>
        <v/>
      </c>
      <c r="B369" s="151" t="str">
        <f aca="false">IF(ISNUMBER('12_Datos_5m'!F369),'12_Datos_5m'!F369,"")</f>
        <v/>
      </c>
      <c r="C369" s="151" t="str">
        <f aca="false">IF(ISNUMBER('12_Datos_5m'!A369),'12_Datos_5m'!A369,"")</f>
        <v/>
      </c>
      <c r="D369" s="151" t="n">
        <f aca="false">IF(AND(ISNUMBER('12_Datos_5m'!I369),ISNUMBER('12_Datos_5m'!I368)),'12_Datos_5m'!I369-'12_Datos_5m'!I368,0)</f>
        <v>0</v>
      </c>
      <c r="E369" s="151" t="n">
        <f aca="false">MAX(0,D369)</f>
        <v>0</v>
      </c>
      <c r="F369" s="151" t="n">
        <f aca="false">IF(AND(ISNUMBER('12_Datos_5m'!G369),N('12_Datos_5m'!G369)&gt;0),'12_Datos_5m'!H369/'12_Datos_5m'!G369,0.5)</f>
        <v>0.5</v>
      </c>
      <c r="G369" s="151" t="n">
        <f aca="false">IF(ISNUMBER(C369),($C$2-C369)/3600000,0)</f>
        <v>0</v>
      </c>
      <c r="H369" s="151" t="n">
        <f aca="false">EXP(-G369/'13_Mapa_Liq'!$B$7)</f>
        <v>1</v>
      </c>
      <c r="I369" s="151" t="n">
        <f aca="false">E369*F369*H369</f>
        <v>0</v>
      </c>
      <c r="J369" s="151" t="n">
        <f aca="false">E369*(1-F369)*H369</f>
        <v>0</v>
      </c>
      <c r="K369" s="151" t="n">
        <f aca="false">IF(COUNT('12_Datos_5m'!E370:E$504)=0,1000000000000,MIN('12_Datos_5m'!E370:E$504))</f>
        <v>1000000000000</v>
      </c>
      <c r="L369" s="151" t="n">
        <f aca="false">IF(COUNT('12_Datos_5m'!D370:D$504)=0,0,MAX('12_Datos_5m'!D370:D$504))</f>
        <v>0</v>
      </c>
      <c r="M369" s="151" t="str">
        <f aca="false">IF(ISNUMBER(B369),B369*(1-1/'13_Mapa_Liq'!$B$15+'13_Mapa_Liq'!$B$6),"")</f>
        <v/>
      </c>
      <c r="N369" s="151" t="n">
        <f aca="false">IF(ISNUMBER(B369),IF(K369&gt;M369,I369*'13_Mapa_Liq'!$C$15,0),0)</f>
        <v>0</v>
      </c>
      <c r="O369" s="151" t="str">
        <f aca="false">IF(ISNUMBER(B369),B369*(1+1/'13_Mapa_Liq'!$B$15-'13_Mapa_Liq'!$B$6),"")</f>
        <v/>
      </c>
      <c r="P369" s="151" t="n">
        <f aca="false">IF(ISNUMBER(B369),IF(L369&lt;O369,J369*'13_Mapa_Liq'!$C$15,0),0)</f>
        <v>0</v>
      </c>
      <c r="Q369" s="151" t="str">
        <f aca="false">IF(ISNUMBER(B369),B369*(1-1/'13_Mapa_Liq'!$B$16+'13_Mapa_Liq'!$B$6),"")</f>
        <v/>
      </c>
      <c r="R369" s="151" t="n">
        <f aca="false">IF(ISNUMBER(B369),IF(K369&gt;Q369,I369*'13_Mapa_Liq'!$C$16,0),0)</f>
        <v>0</v>
      </c>
      <c r="S369" s="151" t="str">
        <f aca="false">IF(ISNUMBER(B369),B369*(1+1/'13_Mapa_Liq'!$B$16-'13_Mapa_Liq'!$B$6),"")</f>
        <v/>
      </c>
      <c r="T369" s="151" t="n">
        <f aca="false">IF(ISNUMBER(B369),IF(L369&lt;S369,J369*'13_Mapa_Liq'!$C$16,0),0)</f>
        <v>0</v>
      </c>
      <c r="U369" s="151" t="str">
        <f aca="false">IF(ISNUMBER(B369),B369*(1-1/'13_Mapa_Liq'!$B$17+'13_Mapa_Liq'!$B$6),"")</f>
        <v/>
      </c>
      <c r="V369" s="151" t="n">
        <f aca="false">IF(ISNUMBER(B369),IF(K369&gt;U369,I369*'13_Mapa_Liq'!$C$17,0),0)</f>
        <v>0</v>
      </c>
      <c r="W369" s="151" t="str">
        <f aca="false">IF(ISNUMBER(B369),B369*(1+1/'13_Mapa_Liq'!$B$17-'13_Mapa_Liq'!$B$6),"")</f>
        <v/>
      </c>
      <c r="X369" s="151" t="n">
        <f aca="false">IF(ISNUMBER(B369),IF(L369&lt;W369,J369*'13_Mapa_Liq'!$C$17,0),0)</f>
        <v>0</v>
      </c>
      <c r="Y369" s="151" t="str">
        <f aca="false">IF(ISNUMBER(B369),B369*(1-1/'13_Mapa_Liq'!$B$18+'13_Mapa_Liq'!$B$6),"")</f>
        <v/>
      </c>
      <c r="Z369" s="151" t="n">
        <f aca="false">IF(ISNUMBER(B369),IF(K369&gt;Y369,I369*'13_Mapa_Liq'!$C$18,0),0)</f>
        <v>0</v>
      </c>
      <c r="AA369" s="151" t="str">
        <f aca="false">IF(ISNUMBER(B369),B369*(1+1/'13_Mapa_Liq'!$B$18-'13_Mapa_Liq'!$B$6),"")</f>
        <v/>
      </c>
      <c r="AB369" s="151" t="n">
        <f aca="false">IF(ISNUMBER(B369),IF(L369&lt;AA369,J369*'13_Mapa_Liq'!$C$18,0),0)</f>
        <v>0</v>
      </c>
      <c r="AC369" s="151" t="str">
        <f aca="false">IF(ISNUMBER(B369),B369*(1-1/'13_Mapa_Liq'!$B$19+'13_Mapa_Liq'!$B$6),"")</f>
        <v/>
      </c>
      <c r="AD369" s="151" t="n">
        <f aca="false">IF(ISNUMBER(B369),IF(K369&gt;AC369,I369*'13_Mapa_Liq'!$C$19,0),0)</f>
        <v>0</v>
      </c>
      <c r="AE369" s="151" t="str">
        <f aca="false">IF(ISNUMBER(B369),B369*(1+1/'13_Mapa_Liq'!$B$19-'13_Mapa_Liq'!$B$6),"")</f>
        <v/>
      </c>
      <c r="AF369" s="151" t="n">
        <f aca="false">IF(ISNUMBER(B369),IF(L369&lt;AE369,J369*'13_Mapa_Liq'!$C$19,0),0)</f>
        <v>0</v>
      </c>
      <c r="AG369" s="151"/>
      <c r="AH369" s="151" t="n">
        <f aca="false">IF(ISNUMBER(B369),E369*F369*((K369&lt;=M369)*'13_Mapa_Liq'!$C$15+(K369&lt;=Q369)*'13_Mapa_Liq'!$C$16+(K369&lt;=U369)*'13_Mapa_Liq'!$C$17+(K369&lt;=Y369)*'13_Mapa_Liq'!$C$18+(K369&lt;=AC369)*'13_Mapa_Liq'!$C$19),0)</f>
        <v>0</v>
      </c>
      <c r="AI369" s="151" t="n">
        <f aca="false">IF(ISNUMBER(B369),E369*(1-F369)*((L369&gt;=O369)*'13_Mapa_Liq'!$C$15+(L369&gt;=S369)*'13_Mapa_Liq'!$C$16+(L369&gt;=W369)*'13_Mapa_Liq'!$C$17+(L369&gt;=AA369)*'13_Mapa_Liq'!$C$18+(L369&gt;=AE369)*'13_Mapa_Liq'!$C$19),0)</f>
        <v>0</v>
      </c>
    </row>
    <row r="370" customFormat="false" ht="15" hidden="false" customHeight="false" outlineLevel="0" collapsed="false">
      <c r="A370" s="151" t="str">
        <f aca="false">IF(ISNUMBER('12_Datos_5m'!F370),ROW()-4,"")</f>
        <v/>
      </c>
      <c r="B370" s="151" t="str">
        <f aca="false">IF(ISNUMBER('12_Datos_5m'!F370),'12_Datos_5m'!F370,"")</f>
        <v/>
      </c>
      <c r="C370" s="151" t="str">
        <f aca="false">IF(ISNUMBER('12_Datos_5m'!A370),'12_Datos_5m'!A370,"")</f>
        <v/>
      </c>
      <c r="D370" s="151" t="n">
        <f aca="false">IF(AND(ISNUMBER('12_Datos_5m'!I370),ISNUMBER('12_Datos_5m'!I369)),'12_Datos_5m'!I370-'12_Datos_5m'!I369,0)</f>
        <v>0</v>
      </c>
      <c r="E370" s="151" t="n">
        <f aca="false">MAX(0,D370)</f>
        <v>0</v>
      </c>
      <c r="F370" s="151" t="n">
        <f aca="false">IF(AND(ISNUMBER('12_Datos_5m'!G370),N('12_Datos_5m'!G370)&gt;0),'12_Datos_5m'!H370/'12_Datos_5m'!G370,0.5)</f>
        <v>0.5</v>
      </c>
      <c r="G370" s="151" t="n">
        <f aca="false">IF(ISNUMBER(C370),($C$2-C370)/3600000,0)</f>
        <v>0</v>
      </c>
      <c r="H370" s="151" t="n">
        <f aca="false">EXP(-G370/'13_Mapa_Liq'!$B$7)</f>
        <v>1</v>
      </c>
      <c r="I370" s="151" t="n">
        <f aca="false">E370*F370*H370</f>
        <v>0</v>
      </c>
      <c r="J370" s="151" t="n">
        <f aca="false">E370*(1-F370)*H370</f>
        <v>0</v>
      </c>
      <c r="K370" s="151" t="n">
        <f aca="false">IF(COUNT('12_Datos_5m'!E371:E$504)=0,1000000000000,MIN('12_Datos_5m'!E371:E$504))</f>
        <v>1000000000000</v>
      </c>
      <c r="L370" s="151" t="n">
        <f aca="false">IF(COUNT('12_Datos_5m'!D371:D$504)=0,0,MAX('12_Datos_5m'!D371:D$504))</f>
        <v>0</v>
      </c>
      <c r="M370" s="151" t="str">
        <f aca="false">IF(ISNUMBER(B370),B370*(1-1/'13_Mapa_Liq'!$B$15+'13_Mapa_Liq'!$B$6),"")</f>
        <v/>
      </c>
      <c r="N370" s="151" t="n">
        <f aca="false">IF(ISNUMBER(B370),IF(K370&gt;M370,I370*'13_Mapa_Liq'!$C$15,0),0)</f>
        <v>0</v>
      </c>
      <c r="O370" s="151" t="str">
        <f aca="false">IF(ISNUMBER(B370),B370*(1+1/'13_Mapa_Liq'!$B$15-'13_Mapa_Liq'!$B$6),"")</f>
        <v/>
      </c>
      <c r="P370" s="151" t="n">
        <f aca="false">IF(ISNUMBER(B370),IF(L370&lt;O370,J370*'13_Mapa_Liq'!$C$15,0),0)</f>
        <v>0</v>
      </c>
      <c r="Q370" s="151" t="str">
        <f aca="false">IF(ISNUMBER(B370),B370*(1-1/'13_Mapa_Liq'!$B$16+'13_Mapa_Liq'!$B$6),"")</f>
        <v/>
      </c>
      <c r="R370" s="151" t="n">
        <f aca="false">IF(ISNUMBER(B370),IF(K370&gt;Q370,I370*'13_Mapa_Liq'!$C$16,0),0)</f>
        <v>0</v>
      </c>
      <c r="S370" s="151" t="str">
        <f aca="false">IF(ISNUMBER(B370),B370*(1+1/'13_Mapa_Liq'!$B$16-'13_Mapa_Liq'!$B$6),"")</f>
        <v/>
      </c>
      <c r="T370" s="151" t="n">
        <f aca="false">IF(ISNUMBER(B370),IF(L370&lt;S370,J370*'13_Mapa_Liq'!$C$16,0),0)</f>
        <v>0</v>
      </c>
      <c r="U370" s="151" t="str">
        <f aca="false">IF(ISNUMBER(B370),B370*(1-1/'13_Mapa_Liq'!$B$17+'13_Mapa_Liq'!$B$6),"")</f>
        <v/>
      </c>
      <c r="V370" s="151" t="n">
        <f aca="false">IF(ISNUMBER(B370),IF(K370&gt;U370,I370*'13_Mapa_Liq'!$C$17,0),0)</f>
        <v>0</v>
      </c>
      <c r="W370" s="151" t="str">
        <f aca="false">IF(ISNUMBER(B370),B370*(1+1/'13_Mapa_Liq'!$B$17-'13_Mapa_Liq'!$B$6),"")</f>
        <v/>
      </c>
      <c r="X370" s="151" t="n">
        <f aca="false">IF(ISNUMBER(B370),IF(L370&lt;W370,J370*'13_Mapa_Liq'!$C$17,0),0)</f>
        <v>0</v>
      </c>
      <c r="Y370" s="151" t="str">
        <f aca="false">IF(ISNUMBER(B370),B370*(1-1/'13_Mapa_Liq'!$B$18+'13_Mapa_Liq'!$B$6),"")</f>
        <v/>
      </c>
      <c r="Z370" s="151" t="n">
        <f aca="false">IF(ISNUMBER(B370),IF(K370&gt;Y370,I370*'13_Mapa_Liq'!$C$18,0),0)</f>
        <v>0</v>
      </c>
      <c r="AA370" s="151" t="str">
        <f aca="false">IF(ISNUMBER(B370),B370*(1+1/'13_Mapa_Liq'!$B$18-'13_Mapa_Liq'!$B$6),"")</f>
        <v/>
      </c>
      <c r="AB370" s="151" t="n">
        <f aca="false">IF(ISNUMBER(B370),IF(L370&lt;AA370,J370*'13_Mapa_Liq'!$C$18,0),0)</f>
        <v>0</v>
      </c>
      <c r="AC370" s="151" t="str">
        <f aca="false">IF(ISNUMBER(B370),B370*(1-1/'13_Mapa_Liq'!$B$19+'13_Mapa_Liq'!$B$6),"")</f>
        <v/>
      </c>
      <c r="AD370" s="151" t="n">
        <f aca="false">IF(ISNUMBER(B370),IF(K370&gt;AC370,I370*'13_Mapa_Liq'!$C$19,0),0)</f>
        <v>0</v>
      </c>
      <c r="AE370" s="151" t="str">
        <f aca="false">IF(ISNUMBER(B370),B370*(1+1/'13_Mapa_Liq'!$B$19-'13_Mapa_Liq'!$B$6),"")</f>
        <v/>
      </c>
      <c r="AF370" s="151" t="n">
        <f aca="false">IF(ISNUMBER(B370),IF(L370&lt;AE370,J370*'13_Mapa_Liq'!$C$19,0),0)</f>
        <v>0</v>
      </c>
      <c r="AG370" s="151"/>
      <c r="AH370" s="151" t="n">
        <f aca="false">IF(ISNUMBER(B370),E370*F370*((K370&lt;=M370)*'13_Mapa_Liq'!$C$15+(K370&lt;=Q370)*'13_Mapa_Liq'!$C$16+(K370&lt;=U370)*'13_Mapa_Liq'!$C$17+(K370&lt;=Y370)*'13_Mapa_Liq'!$C$18+(K370&lt;=AC370)*'13_Mapa_Liq'!$C$19),0)</f>
        <v>0</v>
      </c>
      <c r="AI370" s="151" t="n">
        <f aca="false">IF(ISNUMBER(B370),E370*(1-F370)*((L370&gt;=O370)*'13_Mapa_Liq'!$C$15+(L370&gt;=S370)*'13_Mapa_Liq'!$C$16+(L370&gt;=W370)*'13_Mapa_Liq'!$C$17+(L370&gt;=AA370)*'13_Mapa_Liq'!$C$18+(L370&gt;=AE370)*'13_Mapa_Liq'!$C$19),0)</f>
        <v>0</v>
      </c>
    </row>
    <row r="371" customFormat="false" ht="15" hidden="false" customHeight="false" outlineLevel="0" collapsed="false">
      <c r="A371" s="151" t="str">
        <f aca="false">IF(ISNUMBER('12_Datos_5m'!F371),ROW()-4,"")</f>
        <v/>
      </c>
      <c r="B371" s="151" t="str">
        <f aca="false">IF(ISNUMBER('12_Datos_5m'!F371),'12_Datos_5m'!F371,"")</f>
        <v/>
      </c>
      <c r="C371" s="151" t="str">
        <f aca="false">IF(ISNUMBER('12_Datos_5m'!A371),'12_Datos_5m'!A371,"")</f>
        <v/>
      </c>
      <c r="D371" s="151" t="n">
        <f aca="false">IF(AND(ISNUMBER('12_Datos_5m'!I371),ISNUMBER('12_Datos_5m'!I370)),'12_Datos_5m'!I371-'12_Datos_5m'!I370,0)</f>
        <v>0</v>
      </c>
      <c r="E371" s="151" t="n">
        <f aca="false">MAX(0,D371)</f>
        <v>0</v>
      </c>
      <c r="F371" s="151" t="n">
        <f aca="false">IF(AND(ISNUMBER('12_Datos_5m'!G371),N('12_Datos_5m'!G371)&gt;0),'12_Datos_5m'!H371/'12_Datos_5m'!G371,0.5)</f>
        <v>0.5</v>
      </c>
      <c r="G371" s="151" t="n">
        <f aca="false">IF(ISNUMBER(C371),($C$2-C371)/3600000,0)</f>
        <v>0</v>
      </c>
      <c r="H371" s="151" t="n">
        <f aca="false">EXP(-G371/'13_Mapa_Liq'!$B$7)</f>
        <v>1</v>
      </c>
      <c r="I371" s="151" t="n">
        <f aca="false">E371*F371*H371</f>
        <v>0</v>
      </c>
      <c r="J371" s="151" t="n">
        <f aca="false">E371*(1-F371)*H371</f>
        <v>0</v>
      </c>
      <c r="K371" s="151" t="n">
        <f aca="false">IF(COUNT('12_Datos_5m'!E372:E$504)=0,1000000000000,MIN('12_Datos_5m'!E372:E$504))</f>
        <v>1000000000000</v>
      </c>
      <c r="L371" s="151" t="n">
        <f aca="false">IF(COUNT('12_Datos_5m'!D372:D$504)=0,0,MAX('12_Datos_5m'!D372:D$504))</f>
        <v>0</v>
      </c>
      <c r="M371" s="151" t="str">
        <f aca="false">IF(ISNUMBER(B371),B371*(1-1/'13_Mapa_Liq'!$B$15+'13_Mapa_Liq'!$B$6),"")</f>
        <v/>
      </c>
      <c r="N371" s="151" t="n">
        <f aca="false">IF(ISNUMBER(B371),IF(K371&gt;M371,I371*'13_Mapa_Liq'!$C$15,0),0)</f>
        <v>0</v>
      </c>
      <c r="O371" s="151" t="str">
        <f aca="false">IF(ISNUMBER(B371),B371*(1+1/'13_Mapa_Liq'!$B$15-'13_Mapa_Liq'!$B$6),"")</f>
        <v/>
      </c>
      <c r="P371" s="151" t="n">
        <f aca="false">IF(ISNUMBER(B371),IF(L371&lt;O371,J371*'13_Mapa_Liq'!$C$15,0),0)</f>
        <v>0</v>
      </c>
      <c r="Q371" s="151" t="str">
        <f aca="false">IF(ISNUMBER(B371),B371*(1-1/'13_Mapa_Liq'!$B$16+'13_Mapa_Liq'!$B$6),"")</f>
        <v/>
      </c>
      <c r="R371" s="151" t="n">
        <f aca="false">IF(ISNUMBER(B371),IF(K371&gt;Q371,I371*'13_Mapa_Liq'!$C$16,0),0)</f>
        <v>0</v>
      </c>
      <c r="S371" s="151" t="str">
        <f aca="false">IF(ISNUMBER(B371),B371*(1+1/'13_Mapa_Liq'!$B$16-'13_Mapa_Liq'!$B$6),"")</f>
        <v/>
      </c>
      <c r="T371" s="151" t="n">
        <f aca="false">IF(ISNUMBER(B371),IF(L371&lt;S371,J371*'13_Mapa_Liq'!$C$16,0),0)</f>
        <v>0</v>
      </c>
      <c r="U371" s="151" t="str">
        <f aca="false">IF(ISNUMBER(B371),B371*(1-1/'13_Mapa_Liq'!$B$17+'13_Mapa_Liq'!$B$6),"")</f>
        <v/>
      </c>
      <c r="V371" s="151" t="n">
        <f aca="false">IF(ISNUMBER(B371),IF(K371&gt;U371,I371*'13_Mapa_Liq'!$C$17,0),0)</f>
        <v>0</v>
      </c>
      <c r="W371" s="151" t="str">
        <f aca="false">IF(ISNUMBER(B371),B371*(1+1/'13_Mapa_Liq'!$B$17-'13_Mapa_Liq'!$B$6),"")</f>
        <v/>
      </c>
      <c r="X371" s="151" t="n">
        <f aca="false">IF(ISNUMBER(B371),IF(L371&lt;W371,J371*'13_Mapa_Liq'!$C$17,0),0)</f>
        <v>0</v>
      </c>
      <c r="Y371" s="151" t="str">
        <f aca="false">IF(ISNUMBER(B371),B371*(1-1/'13_Mapa_Liq'!$B$18+'13_Mapa_Liq'!$B$6),"")</f>
        <v/>
      </c>
      <c r="Z371" s="151" t="n">
        <f aca="false">IF(ISNUMBER(B371),IF(K371&gt;Y371,I371*'13_Mapa_Liq'!$C$18,0),0)</f>
        <v>0</v>
      </c>
      <c r="AA371" s="151" t="str">
        <f aca="false">IF(ISNUMBER(B371),B371*(1+1/'13_Mapa_Liq'!$B$18-'13_Mapa_Liq'!$B$6),"")</f>
        <v/>
      </c>
      <c r="AB371" s="151" t="n">
        <f aca="false">IF(ISNUMBER(B371),IF(L371&lt;AA371,J371*'13_Mapa_Liq'!$C$18,0),0)</f>
        <v>0</v>
      </c>
      <c r="AC371" s="151" t="str">
        <f aca="false">IF(ISNUMBER(B371),B371*(1-1/'13_Mapa_Liq'!$B$19+'13_Mapa_Liq'!$B$6),"")</f>
        <v/>
      </c>
      <c r="AD371" s="151" t="n">
        <f aca="false">IF(ISNUMBER(B371),IF(K371&gt;AC371,I371*'13_Mapa_Liq'!$C$19,0),0)</f>
        <v>0</v>
      </c>
      <c r="AE371" s="151" t="str">
        <f aca="false">IF(ISNUMBER(B371),B371*(1+1/'13_Mapa_Liq'!$B$19-'13_Mapa_Liq'!$B$6),"")</f>
        <v/>
      </c>
      <c r="AF371" s="151" t="n">
        <f aca="false">IF(ISNUMBER(B371),IF(L371&lt;AE371,J371*'13_Mapa_Liq'!$C$19,0),0)</f>
        <v>0</v>
      </c>
      <c r="AG371" s="151"/>
      <c r="AH371" s="151" t="n">
        <f aca="false">IF(ISNUMBER(B371),E371*F371*((K371&lt;=M371)*'13_Mapa_Liq'!$C$15+(K371&lt;=Q371)*'13_Mapa_Liq'!$C$16+(K371&lt;=U371)*'13_Mapa_Liq'!$C$17+(K371&lt;=Y371)*'13_Mapa_Liq'!$C$18+(K371&lt;=AC371)*'13_Mapa_Liq'!$C$19),0)</f>
        <v>0</v>
      </c>
      <c r="AI371" s="151" t="n">
        <f aca="false">IF(ISNUMBER(B371),E371*(1-F371)*((L371&gt;=O371)*'13_Mapa_Liq'!$C$15+(L371&gt;=S371)*'13_Mapa_Liq'!$C$16+(L371&gt;=W371)*'13_Mapa_Liq'!$C$17+(L371&gt;=AA371)*'13_Mapa_Liq'!$C$18+(L371&gt;=AE371)*'13_Mapa_Liq'!$C$19),0)</f>
        <v>0</v>
      </c>
    </row>
    <row r="372" customFormat="false" ht="15" hidden="false" customHeight="false" outlineLevel="0" collapsed="false">
      <c r="A372" s="151" t="str">
        <f aca="false">IF(ISNUMBER('12_Datos_5m'!F372),ROW()-4,"")</f>
        <v/>
      </c>
      <c r="B372" s="151" t="str">
        <f aca="false">IF(ISNUMBER('12_Datos_5m'!F372),'12_Datos_5m'!F372,"")</f>
        <v/>
      </c>
      <c r="C372" s="151" t="str">
        <f aca="false">IF(ISNUMBER('12_Datos_5m'!A372),'12_Datos_5m'!A372,"")</f>
        <v/>
      </c>
      <c r="D372" s="151" t="n">
        <f aca="false">IF(AND(ISNUMBER('12_Datos_5m'!I372),ISNUMBER('12_Datos_5m'!I371)),'12_Datos_5m'!I372-'12_Datos_5m'!I371,0)</f>
        <v>0</v>
      </c>
      <c r="E372" s="151" t="n">
        <f aca="false">MAX(0,D372)</f>
        <v>0</v>
      </c>
      <c r="F372" s="151" t="n">
        <f aca="false">IF(AND(ISNUMBER('12_Datos_5m'!G372),N('12_Datos_5m'!G372)&gt;0),'12_Datos_5m'!H372/'12_Datos_5m'!G372,0.5)</f>
        <v>0.5</v>
      </c>
      <c r="G372" s="151" t="n">
        <f aca="false">IF(ISNUMBER(C372),($C$2-C372)/3600000,0)</f>
        <v>0</v>
      </c>
      <c r="H372" s="151" t="n">
        <f aca="false">EXP(-G372/'13_Mapa_Liq'!$B$7)</f>
        <v>1</v>
      </c>
      <c r="I372" s="151" t="n">
        <f aca="false">E372*F372*H372</f>
        <v>0</v>
      </c>
      <c r="J372" s="151" t="n">
        <f aca="false">E372*(1-F372)*H372</f>
        <v>0</v>
      </c>
      <c r="K372" s="151" t="n">
        <f aca="false">IF(COUNT('12_Datos_5m'!E373:E$504)=0,1000000000000,MIN('12_Datos_5m'!E373:E$504))</f>
        <v>1000000000000</v>
      </c>
      <c r="L372" s="151" t="n">
        <f aca="false">IF(COUNT('12_Datos_5m'!D373:D$504)=0,0,MAX('12_Datos_5m'!D373:D$504))</f>
        <v>0</v>
      </c>
      <c r="M372" s="151" t="str">
        <f aca="false">IF(ISNUMBER(B372),B372*(1-1/'13_Mapa_Liq'!$B$15+'13_Mapa_Liq'!$B$6),"")</f>
        <v/>
      </c>
      <c r="N372" s="151" t="n">
        <f aca="false">IF(ISNUMBER(B372),IF(K372&gt;M372,I372*'13_Mapa_Liq'!$C$15,0),0)</f>
        <v>0</v>
      </c>
      <c r="O372" s="151" t="str">
        <f aca="false">IF(ISNUMBER(B372),B372*(1+1/'13_Mapa_Liq'!$B$15-'13_Mapa_Liq'!$B$6),"")</f>
        <v/>
      </c>
      <c r="P372" s="151" t="n">
        <f aca="false">IF(ISNUMBER(B372),IF(L372&lt;O372,J372*'13_Mapa_Liq'!$C$15,0),0)</f>
        <v>0</v>
      </c>
      <c r="Q372" s="151" t="str">
        <f aca="false">IF(ISNUMBER(B372),B372*(1-1/'13_Mapa_Liq'!$B$16+'13_Mapa_Liq'!$B$6),"")</f>
        <v/>
      </c>
      <c r="R372" s="151" t="n">
        <f aca="false">IF(ISNUMBER(B372),IF(K372&gt;Q372,I372*'13_Mapa_Liq'!$C$16,0),0)</f>
        <v>0</v>
      </c>
      <c r="S372" s="151" t="str">
        <f aca="false">IF(ISNUMBER(B372),B372*(1+1/'13_Mapa_Liq'!$B$16-'13_Mapa_Liq'!$B$6),"")</f>
        <v/>
      </c>
      <c r="T372" s="151" t="n">
        <f aca="false">IF(ISNUMBER(B372),IF(L372&lt;S372,J372*'13_Mapa_Liq'!$C$16,0),0)</f>
        <v>0</v>
      </c>
      <c r="U372" s="151" t="str">
        <f aca="false">IF(ISNUMBER(B372),B372*(1-1/'13_Mapa_Liq'!$B$17+'13_Mapa_Liq'!$B$6),"")</f>
        <v/>
      </c>
      <c r="V372" s="151" t="n">
        <f aca="false">IF(ISNUMBER(B372),IF(K372&gt;U372,I372*'13_Mapa_Liq'!$C$17,0),0)</f>
        <v>0</v>
      </c>
      <c r="W372" s="151" t="str">
        <f aca="false">IF(ISNUMBER(B372),B372*(1+1/'13_Mapa_Liq'!$B$17-'13_Mapa_Liq'!$B$6),"")</f>
        <v/>
      </c>
      <c r="X372" s="151" t="n">
        <f aca="false">IF(ISNUMBER(B372),IF(L372&lt;W372,J372*'13_Mapa_Liq'!$C$17,0),0)</f>
        <v>0</v>
      </c>
      <c r="Y372" s="151" t="str">
        <f aca="false">IF(ISNUMBER(B372),B372*(1-1/'13_Mapa_Liq'!$B$18+'13_Mapa_Liq'!$B$6),"")</f>
        <v/>
      </c>
      <c r="Z372" s="151" t="n">
        <f aca="false">IF(ISNUMBER(B372),IF(K372&gt;Y372,I372*'13_Mapa_Liq'!$C$18,0),0)</f>
        <v>0</v>
      </c>
      <c r="AA372" s="151" t="str">
        <f aca="false">IF(ISNUMBER(B372),B372*(1+1/'13_Mapa_Liq'!$B$18-'13_Mapa_Liq'!$B$6),"")</f>
        <v/>
      </c>
      <c r="AB372" s="151" t="n">
        <f aca="false">IF(ISNUMBER(B372),IF(L372&lt;AA372,J372*'13_Mapa_Liq'!$C$18,0),0)</f>
        <v>0</v>
      </c>
      <c r="AC372" s="151" t="str">
        <f aca="false">IF(ISNUMBER(B372),B372*(1-1/'13_Mapa_Liq'!$B$19+'13_Mapa_Liq'!$B$6),"")</f>
        <v/>
      </c>
      <c r="AD372" s="151" t="n">
        <f aca="false">IF(ISNUMBER(B372),IF(K372&gt;AC372,I372*'13_Mapa_Liq'!$C$19,0),0)</f>
        <v>0</v>
      </c>
      <c r="AE372" s="151" t="str">
        <f aca="false">IF(ISNUMBER(B372),B372*(1+1/'13_Mapa_Liq'!$B$19-'13_Mapa_Liq'!$B$6),"")</f>
        <v/>
      </c>
      <c r="AF372" s="151" t="n">
        <f aca="false">IF(ISNUMBER(B372),IF(L372&lt;AE372,J372*'13_Mapa_Liq'!$C$19,0),0)</f>
        <v>0</v>
      </c>
      <c r="AG372" s="151"/>
      <c r="AH372" s="151" t="n">
        <f aca="false">IF(ISNUMBER(B372),E372*F372*((K372&lt;=M372)*'13_Mapa_Liq'!$C$15+(K372&lt;=Q372)*'13_Mapa_Liq'!$C$16+(K372&lt;=U372)*'13_Mapa_Liq'!$C$17+(K372&lt;=Y372)*'13_Mapa_Liq'!$C$18+(K372&lt;=AC372)*'13_Mapa_Liq'!$C$19),0)</f>
        <v>0</v>
      </c>
      <c r="AI372" s="151" t="n">
        <f aca="false">IF(ISNUMBER(B372),E372*(1-F372)*((L372&gt;=O372)*'13_Mapa_Liq'!$C$15+(L372&gt;=S372)*'13_Mapa_Liq'!$C$16+(L372&gt;=W372)*'13_Mapa_Liq'!$C$17+(L372&gt;=AA372)*'13_Mapa_Liq'!$C$18+(L372&gt;=AE372)*'13_Mapa_Liq'!$C$19),0)</f>
        <v>0</v>
      </c>
    </row>
    <row r="373" customFormat="false" ht="15" hidden="false" customHeight="false" outlineLevel="0" collapsed="false">
      <c r="A373" s="151" t="str">
        <f aca="false">IF(ISNUMBER('12_Datos_5m'!F373),ROW()-4,"")</f>
        <v/>
      </c>
      <c r="B373" s="151" t="str">
        <f aca="false">IF(ISNUMBER('12_Datos_5m'!F373),'12_Datos_5m'!F373,"")</f>
        <v/>
      </c>
      <c r="C373" s="151" t="str">
        <f aca="false">IF(ISNUMBER('12_Datos_5m'!A373),'12_Datos_5m'!A373,"")</f>
        <v/>
      </c>
      <c r="D373" s="151" t="n">
        <f aca="false">IF(AND(ISNUMBER('12_Datos_5m'!I373),ISNUMBER('12_Datos_5m'!I372)),'12_Datos_5m'!I373-'12_Datos_5m'!I372,0)</f>
        <v>0</v>
      </c>
      <c r="E373" s="151" t="n">
        <f aca="false">MAX(0,D373)</f>
        <v>0</v>
      </c>
      <c r="F373" s="151" t="n">
        <f aca="false">IF(AND(ISNUMBER('12_Datos_5m'!G373),N('12_Datos_5m'!G373)&gt;0),'12_Datos_5m'!H373/'12_Datos_5m'!G373,0.5)</f>
        <v>0.5</v>
      </c>
      <c r="G373" s="151" t="n">
        <f aca="false">IF(ISNUMBER(C373),($C$2-C373)/3600000,0)</f>
        <v>0</v>
      </c>
      <c r="H373" s="151" t="n">
        <f aca="false">EXP(-G373/'13_Mapa_Liq'!$B$7)</f>
        <v>1</v>
      </c>
      <c r="I373" s="151" t="n">
        <f aca="false">E373*F373*H373</f>
        <v>0</v>
      </c>
      <c r="J373" s="151" t="n">
        <f aca="false">E373*(1-F373)*H373</f>
        <v>0</v>
      </c>
      <c r="K373" s="151" t="n">
        <f aca="false">IF(COUNT('12_Datos_5m'!E374:E$504)=0,1000000000000,MIN('12_Datos_5m'!E374:E$504))</f>
        <v>1000000000000</v>
      </c>
      <c r="L373" s="151" t="n">
        <f aca="false">IF(COUNT('12_Datos_5m'!D374:D$504)=0,0,MAX('12_Datos_5m'!D374:D$504))</f>
        <v>0</v>
      </c>
      <c r="M373" s="151" t="str">
        <f aca="false">IF(ISNUMBER(B373),B373*(1-1/'13_Mapa_Liq'!$B$15+'13_Mapa_Liq'!$B$6),"")</f>
        <v/>
      </c>
      <c r="N373" s="151" t="n">
        <f aca="false">IF(ISNUMBER(B373),IF(K373&gt;M373,I373*'13_Mapa_Liq'!$C$15,0),0)</f>
        <v>0</v>
      </c>
      <c r="O373" s="151" t="str">
        <f aca="false">IF(ISNUMBER(B373),B373*(1+1/'13_Mapa_Liq'!$B$15-'13_Mapa_Liq'!$B$6),"")</f>
        <v/>
      </c>
      <c r="P373" s="151" t="n">
        <f aca="false">IF(ISNUMBER(B373),IF(L373&lt;O373,J373*'13_Mapa_Liq'!$C$15,0),0)</f>
        <v>0</v>
      </c>
      <c r="Q373" s="151" t="str">
        <f aca="false">IF(ISNUMBER(B373),B373*(1-1/'13_Mapa_Liq'!$B$16+'13_Mapa_Liq'!$B$6),"")</f>
        <v/>
      </c>
      <c r="R373" s="151" t="n">
        <f aca="false">IF(ISNUMBER(B373),IF(K373&gt;Q373,I373*'13_Mapa_Liq'!$C$16,0),0)</f>
        <v>0</v>
      </c>
      <c r="S373" s="151" t="str">
        <f aca="false">IF(ISNUMBER(B373),B373*(1+1/'13_Mapa_Liq'!$B$16-'13_Mapa_Liq'!$B$6),"")</f>
        <v/>
      </c>
      <c r="T373" s="151" t="n">
        <f aca="false">IF(ISNUMBER(B373),IF(L373&lt;S373,J373*'13_Mapa_Liq'!$C$16,0),0)</f>
        <v>0</v>
      </c>
      <c r="U373" s="151" t="str">
        <f aca="false">IF(ISNUMBER(B373),B373*(1-1/'13_Mapa_Liq'!$B$17+'13_Mapa_Liq'!$B$6),"")</f>
        <v/>
      </c>
      <c r="V373" s="151" t="n">
        <f aca="false">IF(ISNUMBER(B373),IF(K373&gt;U373,I373*'13_Mapa_Liq'!$C$17,0),0)</f>
        <v>0</v>
      </c>
      <c r="W373" s="151" t="str">
        <f aca="false">IF(ISNUMBER(B373),B373*(1+1/'13_Mapa_Liq'!$B$17-'13_Mapa_Liq'!$B$6),"")</f>
        <v/>
      </c>
      <c r="X373" s="151" t="n">
        <f aca="false">IF(ISNUMBER(B373),IF(L373&lt;W373,J373*'13_Mapa_Liq'!$C$17,0),0)</f>
        <v>0</v>
      </c>
      <c r="Y373" s="151" t="str">
        <f aca="false">IF(ISNUMBER(B373),B373*(1-1/'13_Mapa_Liq'!$B$18+'13_Mapa_Liq'!$B$6),"")</f>
        <v/>
      </c>
      <c r="Z373" s="151" t="n">
        <f aca="false">IF(ISNUMBER(B373),IF(K373&gt;Y373,I373*'13_Mapa_Liq'!$C$18,0),0)</f>
        <v>0</v>
      </c>
      <c r="AA373" s="151" t="str">
        <f aca="false">IF(ISNUMBER(B373),B373*(1+1/'13_Mapa_Liq'!$B$18-'13_Mapa_Liq'!$B$6),"")</f>
        <v/>
      </c>
      <c r="AB373" s="151" t="n">
        <f aca="false">IF(ISNUMBER(B373),IF(L373&lt;AA373,J373*'13_Mapa_Liq'!$C$18,0),0)</f>
        <v>0</v>
      </c>
      <c r="AC373" s="151" t="str">
        <f aca="false">IF(ISNUMBER(B373),B373*(1-1/'13_Mapa_Liq'!$B$19+'13_Mapa_Liq'!$B$6),"")</f>
        <v/>
      </c>
      <c r="AD373" s="151" t="n">
        <f aca="false">IF(ISNUMBER(B373),IF(K373&gt;AC373,I373*'13_Mapa_Liq'!$C$19,0),0)</f>
        <v>0</v>
      </c>
      <c r="AE373" s="151" t="str">
        <f aca="false">IF(ISNUMBER(B373),B373*(1+1/'13_Mapa_Liq'!$B$19-'13_Mapa_Liq'!$B$6),"")</f>
        <v/>
      </c>
      <c r="AF373" s="151" t="n">
        <f aca="false">IF(ISNUMBER(B373),IF(L373&lt;AE373,J373*'13_Mapa_Liq'!$C$19,0),0)</f>
        <v>0</v>
      </c>
      <c r="AG373" s="151"/>
      <c r="AH373" s="151" t="n">
        <f aca="false">IF(ISNUMBER(B373),E373*F373*((K373&lt;=M373)*'13_Mapa_Liq'!$C$15+(K373&lt;=Q373)*'13_Mapa_Liq'!$C$16+(K373&lt;=U373)*'13_Mapa_Liq'!$C$17+(K373&lt;=Y373)*'13_Mapa_Liq'!$C$18+(K373&lt;=AC373)*'13_Mapa_Liq'!$C$19),0)</f>
        <v>0</v>
      </c>
      <c r="AI373" s="151" t="n">
        <f aca="false">IF(ISNUMBER(B373),E373*(1-F373)*((L373&gt;=O373)*'13_Mapa_Liq'!$C$15+(L373&gt;=S373)*'13_Mapa_Liq'!$C$16+(L373&gt;=W373)*'13_Mapa_Liq'!$C$17+(L373&gt;=AA373)*'13_Mapa_Liq'!$C$18+(L373&gt;=AE373)*'13_Mapa_Liq'!$C$19),0)</f>
        <v>0</v>
      </c>
    </row>
    <row r="374" customFormat="false" ht="15" hidden="false" customHeight="false" outlineLevel="0" collapsed="false">
      <c r="A374" s="151" t="str">
        <f aca="false">IF(ISNUMBER('12_Datos_5m'!F374),ROW()-4,"")</f>
        <v/>
      </c>
      <c r="B374" s="151" t="str">
        <f aca="false">IF(ISNUMBER('12_Datos_5m'!F374),'12_Datos_5m'!F374,"")</f>
        <v/>
      </c>
      <c r="C374" s="151" t="str">
        <f aca="false">IF(ISNUMBER('12_Datos_5m'!A374),'12_Datos_5m'!A374,"")</f>
        <v/>
      </c>
      <c r="D374" s="151" t="n">
        <f aca="false">IF(AND(ISNUMBER('12_Datos_5m'!I374),ISNUMBER('12_Datos_5m'!I373)),'12_Datos_5m'!I374-'12_Datos_5m'!I373,0)</f>
        <v>0</v>
      </c>
      <c r="E374" s="151" t="n">
        <f aca="false">MAX(0,D374)</f>
        <v>0</v>
      </c>
      <c r="F374" s="151" t="n">
        <f aca="false">IF(AND(ISNUMBER('12_Datos_5m'!G374),N('12_Datos_5m'!G374)&gt;0),'12_Datos_5m'!H374/'12_Datos_5m'!G374,0.5)</f>
        <v>0.5</v>
      </c>
      <c r="G374" s="151" t="n">
        <f aca="false">IF(ISNUMBER(C374),($C$2-C374)/3600000,0)</f>
        <v>0</v>
      </c>
      <c r="H374" s="151" t="n">
        <f aca="false">EXP(-G374/'13_Mapa_Liq'!$B$7)</f>
        <v>1</v>
      </c>
      <c r="I374" s="151" t="n">
        <f aca="false">E374*F374*H374</f>
        <v>0</v>
      </c>
      <c r="J374" s="151" t="n">
        <f aca="false">E374*(1-F374)*H374</f>
        <v>0</v>
      </c>
      <c r="K374" s="151" t="n">
        <f aca="false">IF(COUNT('12_Datos_5m'!E375:E$504)=0,1000000000000,MIN('12_Datos_5m'!E375:E$504))</f>
        <v>1000000000000</v>
      </c>
      <c r="L374" s="151" t="n">
        <f aca="false">IF(COUNT('12_Datos_5m'!D375:D$504)=0,0,MAX('12_Datos_5m'!D375:D$504))</f>
        <v>0</v>
      </c>
      <c r="M374" s="151" t="str">
        <f aca="false">IF(ISNUMBER(B374),B374*(1-1/'13_Mapa_Liq'!$B$15+'13_Mapa_Liq'!$B$6),"")</f>
        <v/>
      </c>
      <c r="N374" s="151" t="n">
        <f aca="false">IF(ISNUMBER(B374),IF(K374&gt;M374,I374*'13_Mapa_Liq'!$C$15,0),0)</f>
        <v>0</v>
      </c>
      <c r="O374" s="151" t="str">
        <f aca="false">IF(ISNUMBER(B374),B374*(1+1/'13_Mapa_Liq'!$B$15-'13_Mapa_Liq'!$B$6),"")</f>
        <v/>
      </c>
      <c r="P374" s="151" t="n">
        <f aca="false">IF(ISNUMBER(B374),IF(L374&lt;O374,J374*'13_Mapa_Liq'!$C$15,0),0)</f>
        <v>0</v>
      </c>
      <c r="Q374" s="151" t="str">
        <f aca="false">IF(ISNUMBER(B374),B374*(1-1/'13_Mapa_Liq'!$B$16+'13_Mapa_Liq'!$B$6),"")</f>
        <v/>
      </c>
      <c r="R374" s="151" t="n">
        <f aca="false">IF(ISNUMBER(B374),IF(K374&gt;Q374,I374*'13_Mapa_Liq'!$C$16,0),0)</f>
        <v>0</v>
      </c>
      <c r="S374" s="151" t="str">
        <f aca="false">IF(ISNUMBER(B374),B374*(1+1/'13_Mapa_Liq'!$B$16-'13_Mapa_Liq'!$B$6),"")</f>
        <v/>
      </c>
      <c r="T374" s="151" t="n">
        <f aca="false">IF(ISNUMBER(B374),IF(L374&lt;S374,J374*'13_Mapa_Liq'!$C$16,0),0)</f>
        <v>0</v>
      </c>
      <c r="U374" s="151" t="str">
        <f aca="false">IF(ISNUMBER(B374),B374*(1-1/'13_Mapa_Liq'!$B$17+'13_Mapa_Liq'!$B$6),"")</f>
        <v/>
      </c>
      <c r="V374" s="151" t="n">
        <f aca="false">IF(ISNUMBER(B374),IF(K374&gt;U374,I374*'13_Mapa_Liq'!$C$17,0),0)</f>
        <v>0</v>
      </c>
      <c r="W374" s="151" t="str">
        <f aca="false">IF(ISNUMBER(B374),B374*(1+1/'13_Mapa_Liq'!$B$17-'13_Mapa_Liq'!$B$6),"")</f>
        <v/>
      </c>
      <c r="X374" s="151" t="n">
        <f aca="false">IF(ISNUMBER(B374),IF(L374&lt;W374,J374*'13_Mapa_Liq'!$C$17,0),0)</f>
        <v>0</v>
      </c>
      <c r="Y374" s="151" t="str">
        <f aca="false">IF(ISNUMBER(B374),B374*(1-1/'13_Mapa_Liq'!$B$18+'13_Mapa_Liq'!$B$6),"")</f>
        <v/>
      </c>
      <c r="Z374" s="151" t="n">
        <f aca="false">IF(ISNUMBER(B374),IF(K374&gt;Y374,I374*'13_Mapa_Liq'!$C$18,0),0)</f>
        <v>0</v>
      </c>
      <c r="AA374" s="151" t="str">
        <f aca="false">IF(ISNUMBER(B374),B374*(1+1/'13_Mapa_Liq'!$B$18-'13_Mapa_Liq'!$B$6),"")</f>
        <v/>
      </c>
      <c r="AB374" s="151" t="n">
        <f aca="false">IF(ISNUMBER(B374),IF(L374&lt;AA374,J374*'13_Mapa_Liq'!$C$18,0),0)</f>
        <v>0</v>
      </c>
      <c r="AC374" s="151" t="str">
        <f aca="false">IF(ISNUMBER(B374),B374*(1-1/'13_Mapa_Liq'!$B$19+'13_Mapa_Liq'!$B$6),"")</f>
        <v/>
      </c>
      <c r="AD374" s="151" t="n">
        <f aca="false">IF(ISNUMBER(B374),IF(K374&gt;AC374,I374*'13_Mapa_Liq'!$C$19,0),0)</f>
        <v>0</v>
      </c>
      <c r="AE374" s="151" t="str">
        <f aca="false">IF(ISNUMBER(B374),B374*(1+1/'13_Mapa_Liq'!$B$19-'13_Mapa_Liq'!$B$6),"")</f>
        <v/>
      </c>
      <c r="AF374" s="151" t="n">
        <f aca="false">IF(ISNUMBER(B374),IF(L374&lt;AE374,J374*'13_Mapa_Liq'!$C$19,0),0)</f>
        <v>0</v>
      </c>
      <c r="AG374" s="151"/>
      <c r="AH374" s="151" t="n">
        <f aca="false">IF(ISNUMBER(B374),E374*F374*((K374&lt;=M374)*'13_Mapa_Liq'!$C$15+(K374&lt;=Q374)*'13_Mapa_Liq'!$C$16+(K374&lt;=U374)*'13_Mapa_Liq'!$C$17+(K374&lt;=Y374)*'13_Mapa_Liq'!$C$18+(K374&lt;=AC374)*'13_Mapa_Liq'!$C$19),0)</f>
        <v>0</v>
      </c>
      <c r="AI374" s="151" t="n">
        <f aca="false">IF(ISNUMBER(B374),E374*(1-F374)*((L374&gt;=O374)*'13_Mapa_Liq'!$C$15+(L374&gt;=S374)*'13_Mapa_Liq'!$C$16+(L374&gt;=W374)*'13_Mapa_Liq'!$C$17+(L374&gt;=AA374)*'13_Mapa_Liq'!$C$18+(L374&gt;=AE374)*'13_Mapa_Liq'!$C$19),0)</f>
        <v>0</v>
      </c>
    </row>
    <row r="375" customFormat="false" ht="15" hidden="false" customHeight="false" outlineLevel="0" collapsed="false">
      <c r="A375" s="151" t="str">
        <f aca="false">IF(ISNUMBER('12_Datos_5m'!F375),ROW()-4,"")</f>
        <v/>
      </c>
      <c r="B375" s="151" t="str">
        <f aca="false">IF(ISNUMBER('12_Datos_5m'!F375),'12_Datos_5m'!F375,"")</f>
        <v/>
      </c>
      <c r="C375" s="151" t="str">
        <f aca="false">IF(ISNUMBER('12_Datos_5m'!A375),'12_Datos_5m'!A375,"")</f>
        <v/>
      </c>
      <c r="D375" s="151" t="n">
        <f aca="false">IF(AND(ISNUMBER('12_Datos_5m'!I375),ISNUMBER('12_Datos_5m'!I374)),'12_Datos_5m'!I375-'12_Datos_5m'!I374,0)</f>
        <v>0</v>
      </c>
      <c r="E375" s="151" t="n">
        <f aca="false">MAX(0,D375)</f>
        <v>0</v>
      </c>
      <c r="F375" s="151" t="n">
        <f aca="false">IF(AND(ISNUMBER('12_Datos_5m'!G375),N('12_Datos_5m'!G375)&gt;0),'12_Datos_5m'!H375/'12_Datos_5m'!G375,0.5)</f>
        <v>0.5</v>
      </c>
      <c r="G375" s="151" t="n">
        <f aca="false">IF(ISNUMBER(C375),($C$2-C375)/3600000,0)</f>
        <v>0</v>
      </c>
      <c r="H375" s="151" t="n">
        <f aca="false">EXP(-G375/'13_Mapa_Liq'!$B$7)</f>
        <v>1</v>
      </c>
      <c r="I375" s="151" t="n">
        <f aca="false">E375*F375*H375</f>
        <v>0</v>
      </c>
      <c r="J375" s="151" t="n">
        <f aca="false">E375*(1-F375)*H375</f>
        <v>0</v>
      </c>
      <c r="K375" s="151" t="n">
        <f aca="false">IF(COUNT('12_Datos_5m'!E376:E$504)=0,1000000000000,MIN('12_Datos_5m'!E376:E$504))</f>
        <v>1000000000000</v>
      </c>
      <c r="L375" s="151" t="n">
        <f aca="false">IF(COUNT('12_Datos_5m'!D376:D$504)=0,0,MAX('12_Datos_5m'!D376:D$504))</f>
        <v>0</v>
      </c>
      <c r="M375" s="151" t="str">
        <f aca="false">IF(ISNUMBER(B375),B375*(1-1/'13_Mapa_Liq'!$B$15+'13_Mapa_Liq'!$B$6),"")</f>
        <v/>
      </c>
      <c r="N375" s="151" t="n">
        <f aca="false">IF(ISNUMBER(B375),IF(K375&gt;M375,I375*'13_Mapa_Liq'!$C$15,0),0)</f>
        <v>0</v>
      </c>
      <c r="O375" s="151" t="str">
        <f aca="false">IF(ISNUMBER(B375),B375*(1+1/'13_Mapa_Liq'!$B$15-'13_Mapa_Liq'!$B$6),"")</f>
        <v/>
      </c>
      <c r="P375" s="151" t="n">
        <f aca="false">IF(ISNUMBER(B375),IF(L375&lt;O375,J375*'13_Mapa_Liq'!$C$15,0),0)</f>
        <v>0</v>
      </c>
      <c r="Q375" s="151" t="str">
        <f aca="false">IF(ISNUMBER(B375),B375*(1-1/'13_Mapa_Liq'!$B$16+'13_Mapa_Liq'!$B$6),"")</f>
        <v/>
      </c>
      <c r="R375" s="151" t="n">
        <f aca="false">IF(ISNUMBER(B375),IF(K375&gt;Q375,I375*'13_Mapa_Liq'!$C$16,0),0)</f>
        <v>0</v>
      </c>
      <c r="S375" s="151" t="str">
        <f aca="false">IF(ISNUMBER(B375),B375*(1+1/'13_Mapa_Liq'!$B$16-'13_Mapa_Liq'!$B$6),"")</f>
        <v/>
      </c>
      <c r="T375" s="151" t="n">
        <f aca="false">IF(ISNUMBER(B375),IF(L375&lt;S375,J375*'13_Mapa_Liq'!$C$16,0),0)</f>
        <v>0</v>
      </c>
      <c r="U375" s="151" t="str">
        <f aca="false">IF(ISNUMBER(B375),B375*(1-1/'13_Mapa_Liq'!$B$17+'13_Mapa_Liq'!$B$6),"")</f>
        <v/>
      </c>
      <c r="V375" s="151" t="n">
        <f aca="false">IF(ISNUMBER(B375),IF(K375&gt;U375,I375*'13_Mapa_Liq'!$C$17,0),0)</f>
        <v>0</v>
      </c>
      <c r="W375" s="151" t="str">
        <f aca="false">IF(ISNUMBER(B375),B375*(1+1/'13_Mapa_Liq'!$B$17-'13_Mapa_Liq'!$B$6),"")</f>
        <v/>
      </c>
      <c r="X375" s="151" t="n">
        <f aca="false">IF(ISNUMBER(B375),IF(L375&lt;W375,J375*'13_Mapa_Liq'!$C$17,0),0)</f>
        <v>0</v>
      </c>
      <c r="Y375" s="151" t="str">
        <f aca="false">IF(ISNUMBER(B375),B375*(1-1/'13_Mapa_Liq'!$B$18+'13_Mapa_Liq'!$B$6),"")</f>
        <v/>
      </c>
      <c r="Z375" s="151" t="n">
        <f aca="false">IF(ISNUMBER(B375),IF(K375&gt;Y375,I375*'13_Mapa_Liq'!$C$18,0),0)</f>
        <v>0</v>
      </c>
      <c r="AA375" s="151" t="str">
        <f aca="false">IF(ISNUMBER(B375),B375*(1+1/'13_Mapa_Liq'!$B$18-'13_Mapa_Liq'!$B$6),"")</f>
        <v/>
      </c>
      <c r="AB375" s="151" t="n">
        <f aca="false">IF(ISNUMBER(B375),IF(L375&lt;AA375,J375*'13_Mapa_Liq'!$C$18,0),0)</f>
        <v>0</v>
      </c>
      <c r="AC375" s="151" t="str">
        <f aca="false">IF(ISNUMBER(B375),B375*(1-1/'13_Mapa_Liq'!$B$19+'13_Mapa_Liq'!$B$6),"")</f>
        <v/>
      </c>
      <c r="AD375" s="151" t="n">
        <f aca="false">IF(ISNUMBER(B375),IF(K375&gt;AC375,I375*'13_Mapa_Liq'!$C$19,0),0)</f>
        <v>0</v>
      </c>
      <c r="AE375" s="151" t="str">
        <f aca="false">IF(ISNUMBER(B375),B375*(1+1/'13_Mapa_Liq'!$B$19-'13_Mapa_Liq'!$B$6),"")</f>
        <v/>
      </c>
      <c r="AF375" s="151" t="n">
        <f aca="false">IF(ISNUMBER(B375),IF(L375&lt;AE375,J375*'13_Mapa_Liq'!$C$19,0),0)</f>
        <v>0</v>
      </c>
      <c r="AG375" s="151"/>
      <c r="AH375" s="151" t="n">
        <f aca="false">IF(ISNUMBER(B375),E375*F375*((K375&lt;=M375)*'13_Mapa_Liq'!$C$15+(K375&lt;=Q375)*'13_Mapa_Liq'!$C$16+(K375&lt;=U375)*'13_Mapa_Liq'!$C$17+(K375&lt;=Y375)*'13_Mapa_Liq'!$C$18+(K375&lt;=AC375)*'13_Mapa_Liq'!$C$19),0)</f>
        <v>0</v>
      </c>
      <c r="AI375" s="151" t="n">
        <f aca="false">IF(ISNUMBER(B375),E375*(1-F375)*((L375&gt;=O375)*'13_Mapa_Liq'!$C$15+(L375&gt;=S375)*'13_Mapa_Liq'!$C$16+(L375&gt;=W375)*'13_Mapa_Liq'!$C$17+(L375&gt;=AA375)*'13_Mapa_Liq'!$C$18+(L375&gt;=AE375)*'13_Mapa_Liq'!$C$19),0)</f>
        <v>0</v>
      </c>
    </row>
    <row r="376" customFormat="false" ht="15" hidden="false" customHeight="false" outlineLevel="0" collapsed="false">
      <c r="A376" s="151" t="str">
        <f aca="false">IF(ISNUMBER('12_Datos_5m'!F376),ROW()-4,"")</f>
        <v/>
      </c>
      <c r="B376" s="151" t="str">
        <f aca="false">IF(ISNUMBER('12_Datos_5m'!F376),'12_Datos_5m'!F376,"")</f>
        <v/>
      </c>
      <c r="C376" s="151" t="str">
        <f aca="false">IF(ISNUMBER('12_Datos_5m'!A376),'12_Datos_5m'!A376,"")</f>
        <v/>
      </c>
      <c r="D376" s="151" t="n">
        <f aca="false">IF(AND(ISNUMBER('12_Datos_5m'!I376),ISNUMBER('12_Datos_5m'!I375)),'12_Datos_5m'!I376-'12_Datos_5m'!I375,0)</f>
        <v>0</v>
      </c>
      <c r="E376" s="151" t="n">
        <f aca="false">MAX(0,D376)</f>
        <v>0</v>
      </c>
      <c r="F376" s="151" t="n">
        <f aca="false">IF(AND(ISNUMBER('12_Datos_5m'!G376),N('12_Datos_5m'!G376)&gt;0),'12_Datos_5m'!H376/'12_Datos_5m'!G376,0.5)</f>
        <v>0.5</v>
      </c>
      <c r="G376" s="151" t="n">
        <f aca="false">IF(ISNUMBER(C376),($C$2-C376)/3600000,0)</f>
        <v>0</v>
      </c>
      <c r="H376" s="151" t="n">
        <f aca="false">EXP(-G376/'13_Mapa_Liq'!$B$7)</f>
        <v>1</v>
      </c>
      <c r="I376" s="151" t="n">
        <f aca="false">E376*F376*H376</f>
        <v>0</v>
      </c>
      <c r="J376" s="151" t="n">
        <f aca="false">E376*(1-F376)*H376</f>
        <v>0</v>
      </c>
      <c r="K376" s="151" t="n">
        <f aca="false">IF(COUNT('12_Datos_5m'!E377:E$504)=0,1000000000000,MIN('12_Datos_5m'!E377:E$504))</f>
        <v>1000000000000</v>
      </c>
      <c r="L376" s="151" t="n">
        <f aca="false">IF(COUNT('12_Datos_5m'!D377:D$504)=0,0,MAX('12_Datos_5m'!D377:D$504))</f>
        <v>0</v>
      </c>
      <c r="M376" s="151" t="str">
        <f aca="false">IF(ISNUMBER(B376),B376*(1-1/'13_Mapa_Liq'!$B$15+'13_Mapa_Liq'!$B$6),"")</f>
        <v/>
      </c>
      <c r="N376" s="151" t="n">
        <f aca="false">IF(ISNUMBER(B376),IF(K376&gt;M376,I376*'13_Mapa_Liq'!$C$15,0),0)</f>
        <v>0</v>
      </c>
      <c r="O376" s="151" t="str">
        <f aca="false">IF(ISNUMBER(B376),B376*(1+1/'13_Mapa_Liq'!$B$15-'13_Mapa_Liq'!$B$6),"")</f>
        <v/>
      </c>
      <c r="P376" s="151" t="n">
        <f aca="false">IF(ISNUMBER(B376),IF(L376&lt;O376,J376*'13_Mapa_Liq'!$C$15,0),0)</f>
        <v>0</v>
      </c>
      <c r="Q376" s="151" t="str">
        <f aca="false">IF(ISNUMBER(B376),B376*(1-1/'13_Mapa_Liq'!$B$16+'13_Mapa_Liq'!$B$6),"")</f>
        <v/>
      </c>
      <c r="R376" s="151" t="n">
        <f aca="false">IF(ISNUMBER(B376),IF(K376&gt;Q376,I376*'13_Mapa_Liq'!$C$16,0),0)</f>
        <v>0</v>
      </c>
      <c r="S376" s="151" t="str">
        <f aca="false">IF(ISNUMBER(B376),B376*(1+1/'13_Mapa_Liq'!$B$16-'13_Mapa_Liq'!$B$6),"")</f>
        <v/>
      </c>
      <c r="T376" s="151" t="n">
        <f aca="false">IF(ISNUMBER(B376),IF(L376&lt;S376,J376*'13_Mapa_Liq'!$C$16,0),0)</f>
        <v>0</v>
      </c>
      <c r="U376" s="151" t="str">
        <f aca="false">IF(ISNUMBER(B376),B376*(1-1/'13_Mapa_Liq'!$B$17+'13_Mapa_Liq'!$B$6),"")</f>
        <v/>
      </c>
      <c r="V376" s="151" t="n">
        <f aca="false">IF(ISNUMBER(B376),IF(K376&gt;U376,I376*'13_Mapa_Liq'!$C$17,0),0)</f>
        <v>0</v>
      </c>
      <c r="W376" s="151" t="str">
        <f aca="false">IF(ISNUMBER(B376),B376*(1+1/'13_Mapa_Liq'!$B$17-'13_Mapa_Liq'!$B$6),"")</f>
        <v/>
      </c>
      <c r="X376" s="151" t="n">
        <f aca="false">IF(ISNUMBER(B376),IF(L376&lt;W376,J376*'13_Mapa_Liq'!$C$17,0),0)</f>
        <v>0</v>
      </c>
      <c r="Y376" s="151" t="str">
        <f aca="false">IF(ISNUMBER(B376),B376*(1-1/'13_Mapa_Liq'!$B$18+'13_Mapa_Liq'!$B$6),"")</f>
        <v/>
      </c>
      <c r="Z376" s="151" t="n">
        <f aca="false">IF(ISNUMBER(B376),IF(K376&gt;Y376,I376*'13_Mapa_Liq'!$C$18,0),0)</f>
        <v>0</v>
      </c>
      <c r="AA376" s="151" t="str">
        <f aca="false">IF(ISNUMBER(B376),B376*(1+1/'13_Mapa_Liq'!$B$18-'13_Mapa_Liq'!$B$6),"")</f>
        <v/>
      </c>
      <c r="AB376" s="151" t="n">
        <f aca="false">IF(ISNUMBER(B376),IF(L376&lt;AA376,J376*'13_Mapa_Liq'!$C$18,0),0)</f>
        <v>0</v>
      </c>
      <c r="AC376" s="151" t="str">
        <f aca="false">IF(ISNUMBER(B376),B376*(1-1/'13_Mapa_Liq'!$B$19+'13_Mapa_Liq'!$B$6),"")</f>
        <v/>
      </c>
      <c r="AD376" s="151" t="n">
        <f aca="false">IF(ISNUMBER(B376),IF(K376&gt;AC376,I376*'13_Mapa_Liq'!$C$19,0),0)</f>
        <v>0</v>
      </c>
      <c r="AE376" s="151" t="str">
        <f aca="false">IF(ISNUMBER(B376),B376*(1+1/'13_Mapa_Liq'!$B$19-'13_Mapa_Liq'!$B$6),"")</f>
        <v/>
      </c>
      <c r="AF376" s="151" t="n">
        <f aca="false">IF(ISNUMBER(B376),IF(L376&lt;AE376,J376*'13_Mapa_Liq'!$C$19,0),0)</f>
        <v>0</v>
      </c>
      <c r="AG376" s="151"/>
      <c r="AH376" s="151" t="n">
        <f aca="false">IF(ISNUMBER(B376),E376*F376*((K376&lt;=M376)*'13_Mapa_Liq'!$C$15+(K376&lt;=Q376)*'13_Mapa_Liq'!$C$16+(K376&lt;=U376)*'13_Mapa_Liq'!$C$17+(K376&lt;=Y376)*'13_Mapa_Liq'!$C$18+(K376&lt;=AC376)*'13_Mapa_Liq'!$C$19),0)</f>
        <v>0</v>
      </c>
      <c r="AI376" s="151" t="n">
        <f aca="false">IF(ISNUMBER(B376),E376*(1-F376)*((L376&gt;=O376)*'13_Mapa_Liq'!$C$15+(L376&gt;=S376)*'13_Mapa_Liq'!$C$16+(L376&gt;=W376)*'13_Mapa_Liq'!$C$17+(L376&gt;=AA376)*'13_Mapa_Liq'!$C$18+(L376&gt;=AE376)*'13_Mapa_Liq'!$C$19),0)</f>
        <v>0</v>
      </c>
    </row>
    <row r="377" customFormat="false" ht="15" hidden="false" customHeight="false" outlineLevel="0" collapsed="false">
      <c r="A377" s="151" t="str">
        <f aca="false">IF(ISNUMBER('12_Datos_5m'!F377),ROW()-4,"")</f>
        <v/>
      </c>
      <c r="B377" s="151" t="str">
        <f aca="false">IF(ISNUMBER('12_Datos_5m'!F377),'12_Datos_5m'!F377,"")</f>
        <v/>
      </c>
      <c r="C377" s="151" t="str">
        <f aca="false">IF(ISNUMBER('12_Datos_5m'!A377),'12_Datos_5m'!A377,"")</f>
        <v/>
      </c>
      <c r="D377" s="151" t="n">
        <f aca="false">IF(AND(ISNUMBER('12_Datos_5m'!I377),ISNUMBER('12_Datos_5m'!I376)),'12_Datos_5m'!I377-'12_Datos_5m'!I376,0)</f>
        <v>0</v>
      </c>
      <c r="E377" s="151" t="n">
        <f aca="false">MAX(0,D377)</f>
        <v>0</v>
      </c>
      <c r="F377" s="151" t="n">
        <f aca="false">IF(AND(ISNUMBER('12_Datos_5m'!G377),N('12_Datos_5m'!G377)&gt;0),'12_Datos_5m'!H377/'12_Datos_5m'!G377,0.5)</f>
        <v>0.5</v>
      </c>
      <c r="G377" s="151" t="n">
        <f aca="false">IF(ISNUMBER(C377),($C$2-C377)/3600000,0)</f>
        <v>0</v>
      </c>
      <c r="H377" s="151" t="n">
        <f aca="false">EXP(-G377/'13_Mapa_Liq'!$B$7)</f>
        <v>1</v>
      </c>
      <c r="I377" s="151" t="n">
        <f aca="false">E377*F377*H377</f>
        <v>0</v>
      </c>
      <c r="J377" s="151" t="n">
        <f aca="false">E377*(1-F377)*H377</f>
        <v>0</v>
      </c>
      <c r="K377" s="151" t="n">
        <f aca="false">IF(COUNT('12_Datos_5m'!E378:E$504)=0,1000000000000,MIN('12_Datos_5m'!E378:E$504))</f>
        <v>1000000000000</v>
      </c>
      <c r="L377" s="151" t="n">
        <f aca="false">IF(COUNT('12_Datos_5m'!D378:D$504)=0,0,MAX('12_Datos_5m'!D378:D$504))</f>
        <v>0</v>
      </c>
      <c r="M377" s="151" t="str">
        <f aca="false">IF(ISNUMBER(B377),B377*(1-1/'13_Mapa_Liq'!$B$15+'13_Mapa_Liq'!$B$6),"")</f>
        <v/>
      </c>
      <c r="N377" s="151" t="n">
        <f aca="false">IF(ISNUMBER(B377),IF(K377&gt;M377,I377*'13_Mapa_Liq'!$C$15,0),0)</f>
        <v>0</v>
      </c>
      <c r="O377" s="151" t="str">
        <f aca="false">IF(ISNUMBER(B377),B377*(1+1/'13_Mapa_Liq'!$B$15-'13_Mapa_Liq'!$B$6),"")</f>
        <v/>
      </c>
      <c r="P377" s="151" t="n">
        <f aca="false">IF(ISNUMBER(B377),IF(L377&lt;O377,J377*'13_Mapa_Liq'!$C$15,0),0)</f>
        <v>0</v>
      </c>
      <c r="Q377" s="151" t="str">
        <f aca="false">IF(ISNUMBER(B377),B377*(1-1/'13_Mapa_Liq'!$B$16+'13_Mapa_Liq'!$B$6),"")</f>
        <v/>
      </c>
      <c r="R377" s="151" t="n">
        <f aca="false">IF(ISNUMBER(B377),IF(K377&gt;Q377,I377*'13_Mapa_Liq'!$C$16,0),0)</f>
        <v>0</v>
      </c>
      <c r="S377" s="151" t="str">
        <f aca="false">IF(ISNUMBER(B377),B377*(1+1/'13_Mapa_Liq'!$B$16-'13_Mapa_Liq'!$B$6),"")</f>
        <v/>
      </c>
      <c r="T377" s="151" t="n">
        <f aca="false">IF(ISNUMBER(B377),IF(L377&lt;S377,J377*'13_Mapa_Liq'!$C$16,0),0)</f>
        <v>0</v>
      </c>
      <c r="U377" s="151" t="str">
        <f aca="false">IF(ISNUMBER(B377),B377*(1-1/'13_Mapa_Liq'!$B$17+'13_Mapa_Liq'!$B$6),"")</f>
        <v/>
      </c>
      <c r="V377" s="151" t="n">
        <f aca="false">IF(ISNUMBER(B377),IF(K377&gt;U377,I377*'13_Mapa_Liq'!$C$17,0),0)</f>
        <v>0</v>
      </c>
      <c r="W377" s="151" t="str">
        <f aca="false">IF(ISNUMBER(B377),B377*(1+1/'13_Mapa_Liq'!$B$17-'13_Mapa_Liq'!$B$6),"")</f>
        <v/>
      </c>
      <c r="X377" s="151" t="n">
        <f aca="false">IF(ISNUMBER(B377),IF(L377&lt;W377,J377*'13_Mapa_Liq'!$C$17,0),0)</f>
        <v>0</v>
      </c>
      <c r="Y377" s="151" t="str">
        <f aca="false">IF(ISNUMBER(B377),B377*(1-1/'13_Mapa_Liq'!$B$18+'13_Mapa_Liq'!$B$6),"")</f>
        <v/>
      </c>
      <c r="Z377" s="151" t="n">
        <f aca="false">IF(ISNUMBER(B377),IF(K377&gt;Y377,I377*'13_Mapa_Liq'!$C$18,0),0)</f>
        <v>0</v>
      </c>
      <c r="AA377" s="151" t="str">
        <f aca="false">IF(ISNUMBER(B377),B377*(1+1/'13_Mapa_Liq'!$B$18-'13_Mapa_Liq'!$B$6),"")</f>
        <v/>
      </c>
      <c r="AB377" s="151" t="n">
        <f aca="false">IF(ISNUMBER(B377),IF(L377&lt;AA377,J377*'13_Mapa_Liq'!$C$18,0),0)</f>
        <v>0</v>
      </c>
      <c r="AC377" s="151" t="str">
        <f aca="false">IF(ISNUMBER(B377),B377*(1-1/'13_Mapa_Liq'!$B$19+'13_Mapa_Liq'!$B$6),"")</f>
        <v/>
      </c>
      <c r="AD377" s="151" t="n">
        <f aca="false">IF(ISNUMBER(B377),IF(K377&gt;AC377,I377*'13_Mapa_Liq'!$C$19,0),0)</f>
        <v>0</v>
      </c>
      <c r="AE377" s="151" t="str">
        <f aca="false">IF(ISNUMBER(B377),B377*(1+1/'13_Mapa_Liq'!$B$19-'13_Mapa_Liq'!$B$6),"")</f>
        <v/>
      </c>
      <c r="AF377" s="151" t="n">
        <f aca="false">IF(ISNUMBER(B377),IF(L377&lt;AE377,J377*'13_Mapa_Liq'!$C$19,0),0)</f>
        <v>0</v>
      </c>
      <c r="AG377" s="151"/>
      <c r="AH377" s="151" t="n">
        <f aca="false">IF(ISNUMBER(B377),E377*F377*((K377&lt;=M377)*'13_Mapa_Liq'!$C$15+(K377&lt;=Q377)*'13_Mapa_Liq'!$C$16+(K377&lt;=U377)*'13_Mapa_Liq'!$C$17+(K377&lt;=Y377)*'13_Mapa_Liq'!$C$18+(K377&lt;=AC377)*'13_Mapa_Liq'!$C$19),0)</f>
        <v>0</v>
      </c>
      <c r="AI377" s="151" t="n">
        <f aca="false">IF(ISNUMBER(B377),E377*(1-F377)*((L377&gt;=O377)*'13_Mapa_Liq'!$C$15+(L377&gt;=S377)*'13_Mapa_Liq'!$C$16+(L377&gt;=W377)*'13_Mapa_Liq'!$C$17+(L377&gt;=AA377)*'13_Mapa_Liq'!$C$18+(L377&gt;=AE377)*'13_Mapa_Liq'!$C$19),0)</f>
        <v>0</v>
      </c>
    </row>
    <row r="378" customFormat="false" ht="15" hidden="false" customHeight="false" outlineLevel="0" collapsed="false">
      <c r="A378" s="151" t="str">
        <f aca="false">IF(ISNUMBER('12_Datos_5m'!F378),ROW()-4,"")</f>
        <v/>
      </c>
      <c r="B378" s="151" t="str">
        <f aca="false">IF(ISNUMBER('12_Datos_5m'!F378),'12_Datos_5m'!F378,"")</f>
        <v/>
      </c>
      <c r="C378" s="151" t="str">
        <f aca="false">IF(ISNUMBER('12_Datos_5m'!A378),'12_Datos_5m'!A378,"")</f>
        <v/>
      </c>
      <c r="D378" s="151" t="n">
        <f aca="false">IF(AND(ISNUMBER('12_Datos_5m'!I378),ISNUMBER('12_Datos_5m'!I377)),'12_Datos_5m'!I378-'12_Datos_5m'!I377,0)</f>
        <v>0</v>
      </c>
      <c r="E378" s="151" t="n">
        <f aca="false">MAX(0,D378)</f>
        <v>0</v>
      </c>
      <c r="F378" s="151" t="n">
        <f aca="false">IF(AND(ISNUMBER('12_Datos_5m'!G378),N('12_Datos_5m'!G378)&gt;0),'12_Datos_5m'!H378/'12_Datos_5m'!G378,0.5)</f>
        <v>0.5</v>
      </c>
      <c r="G378" s="151" t="n">
        <f aca="false">IF(ISNUMBER(C378),($C$2-C378)/3600000,0)</f>
        <v>0</v>
      </c>
      <c r="H378" s="151" t="n">
        <f aca="false">EXP(-G378/'13_Mapa_Liq'!$B$7)</f>
        <v>1</v>
      </c>
      <c r="I378" s="151" t="n">
        <f aca="false">E378*F378*H378</f>
        <v>0</v>
      </c>
      <c r="J378" s="151" t="n">
        <f aca="false">E378*(1-F378)*H378</f>
        <v>0</v>
      </c>
      <c r="K378" s="151" t="n">
        <f aca="false">IF(COUNT('12_Datos_5m'!E379:E$504)=0,1000000000000,MIN('12_Datos_5m'!E379:E$504))</f>
        <v>1000000000000</v>
      </c>
      <c r="L378" s="151" t="n">
        <f aca="false">IF(COUNT('12_Datos_5m'!D379:D$504)=0,0,MAX('12_Datos_5m'!D379:D$504))</f>
        <v>0</v>
      </c>
      <c r="M378" s="151" t="str">
        <f aca="false">IF(ISNUMBER(B378),B378*(1-1/'13_Mapa_Liq'!$B$15+'13_Mapa_Liq'!$B$6),"")</f>
        <v/>
      </c>
      <c r="N378" s="151" t="n">
        <f aca="false">IF(ISNUMBER(B378),IF(K378&gt;M378,I378*'13_Mapa_Liq'!$C$15,0),0)</f>
        <v>0</v>
      </c>
      <c r="O378" s="151" t="str">
        <f aca="false">IF(ISNUMBER(B378),B378*(1+1/'13_Mapa_Liq'!$B$15-'13_Mapa_Liq'!$B$6),"")</f>
        <v/>
      </c>
      <c r="P378" s="151" t="n">
        <f aca="false">IF(ISNUMBER(B378),IF(L378&lt;O378,J378*'13_Mapa_Liq'!$C$15,0),0)</f>
        <v>0</v>
      </c>
      <c r="Q378" s="151" t="str">
        <f aca="false">IF(ISNUMBER(B378),B378*(1-1/'13_Mapa_Liq'!$B$16+'13_Mapa_Liq'!$B$6),"")</f>
        <v/>
      </c>
      <c r="R378" s="151" t="n">
        <f aca="false">IF(ISNUMBER(B378),IF(K378&gt;Q378,I378*'13_Mapa_Liq'!$C$16,0),0)</f>
        <v>0</v>
      </c>
      <c r="S378" s="151" t="str">
        <f aca="false">IF(ISNUMBER(B378),B378*(1+1/'13_Mapa_Liq'!$B$16-'13_Mapa_Liq'!$B$6),"")</f>
        <v/>
      </c>
      <c r="T378" s="151" t="n">
        <f aca="false">IF(ISNUMBER(B378),IF(L378&lt;S378,J378*'13_Mapa_Liq'!$C$16,0),0)</f>
        <v>0</v>
      </c>
      <c r="U378" s="151" t="str">
        <f aca="false">IF(ISNUMBER(B378),B378*(1-1/'13_Mapa_Liq'!$B$17+'13_Mapa_Liq'!$B$6),"")</f>
        <v/>
      </c>
      <c r="V378" s="151" t="n">
        <f aca="false">IF(ISNUMBER(B378),IF(K378&gt;U378,I378*'13_Mapa_Liq'!$C$17,0),0)</f>
        <v>0</v>
      </c>
      <c r="W378" s="151" t="str">
        <f aca="false">IF(ISNUMBER(B378),B378*(1+1/'13_Mapa_Liq'!$B$17-'13_Mapa_Liq'!$B$6),"")</f>
        <v/>
      </c>
      <c r="X378" s="151" t="n">
        <f aca="false">IF(ISNUMBER(B378),IF(L378&lt;W378,J378*'13_Mapa_Liq'!$C$17,0),0)</f>
        <v>0</v>
      </c>
      <c r="Y378" s="151" t="str">
        <f aca="false">IF(ISNUMBER(B378),B378*(1-1/'13_Mapa_Liq'!$B$18+'13_Mapa_Liq'!$B$6),"")</f>
        <v/>
      </c>
      <c r="Z378" s="151" t="n">
        <f aca="false">IF(ISNUMBER(B378),IF(K378&gt;Y378,I378*'13_Mapa_Liq'!$C$18,0),0)</f>
        <v>0</v>
      </c>
      <c r="AA378" s="151" t="str">
        <f aca="false">IF(ISNUMBER(B378),B378*(1+1/'13_Mapa_Liq'!$B$18-'13_Mapa_Liq'!$B$6),"")</f>
        <v/>
      </c>
      <c r="AB378" s="151" t="n">
        <f aca="false">IF(ISNUMBER(B378),IF(L378&lt;AA378,J378*'13_Mapa_Liq'!$C$18,0),0)</f>
        <v>0</v>
      </c>
      <c r="AC378" s="151" t="str">
        <f aca="false">IF(ISNUMBER(B378),B378*(1-1/'13_Mapa_Liq'!$B$19+'13_Mapa_Liq'!$B$6),"")</f>
        <v/>
      </c>
      <c r="AD378" s="151" t="n">
        <f aca="false">IF(ISNUMBER(B378),IF(K378&gt;AC378,I378*'13_Mapa_Liq'!$C$19,0),0)</f>
        <v>0</v>
      </c>
      <c r="AE378" s="151" t="str">
        <f aca="false">IF(ISNUMBER(B378),B378*(1+1/'13_Mapa_Liq'!$B$19-'13_Mapa_Liq'!$B$6),"")</f>
        <v/>
      </c>
      <c r="AF378" s="151" t="n">
        <f aca="false">IF(ISNUMBER(B378),IF(L378&lt;AE378,J378*'13_Mapa_Liq'!$C$19,0),0)</f>
        <v>0</v>
      </c>
      <c r="AG378" s="151"/>
      <c r="AH378" s="151" t="n">
        <f aca="false">IF(ISNUMBER(B378),E378*F378*((K378&lt;=M378)*'13_Mapa_Liq'!$C$15+(K378&lt;=Q378)*'13_Mapa_Liq'!$C$16+(K378&lt;=U378)*'13_Mapa_Liq'!$C$17+(K378&lt;=Y378)*'13_Mapa_Liq'!$C$18+(K378&lt;=AC378)*'13_Mapa_Liq'!$C$19),0)</f>
        <v>0</v>
      </c>
      <c r="AI378" s="151" t="n">
        <f aca="false">IF(ISNUMBER(B378),E378*(1-F378)*((L378&gt;=O378)*'13_Mapa_Liq'!$C$15+(L378&gt;=S378)*'13_Mapa_Liq'!$C$16+(L378&gt;=W378)*'13_Mapa_Liq'!$C$17+(L378&gt;=AA378)*'13_Mapa_Liq'!$C$18+(L378&gt;=AE378)*'13_Mapa_Liq'!$C$19),0)</f>
        <v>0</v>
      </c>
    </row>
    <row r="379" customFormat="false" ht="15" hidden="false" customHeight="false" outlineLevel="0" collapsed="false">
      <c r="A379" s="151" t="str">
        <f aca="false">IF(ISNUMBER('12_Datos_5m'!F379),ROW()-4,"")</f>
        <v/>
      </c>
      <c r="B379" s="151" t="str">
        <f aca="false">IF(ISNUMBER('12_Datos_5m'!F379),'12_Datos_5m'!F379,"")</f>
        <v/>
      </c>
      <c r="C379" s="151" t="str">
        <f aca="false">IF(ISNUMBER('12_Datos_5m'!A379),'12_Datos_5m'!A379,"")</f>
        <v/>
      </c>
      <c r="D379" s="151" t="n">
        <f aca="false">IF(AND(ISNUMBER('12_Datos_5m'!I379),ISNUMBER('12_Datos_5m'!I378)),'12_Datos_5m'!I379-'12_Datos_5m'!I378,0)</f>
        <v>0</v>
      </c>
      <c r="E379" s="151" t="n">
        <f aca="false">MAX(0,D379)</f>
        <v>0</v>
      </c>
      <c r="F379" s="151" t="n">
        <f aca="false">IF(AND(ISNUMBER('12_Datos_5m'!G379),N('12_Datos_5m'!G379)&gt;0),'12_Datos_5m'!H379/'12_Datos_5m'!G379,0.5)</f>
        <v>0.5</v>
      </c>
      <c r="G379" s="151" t="n">
        <f aca="false">IF(ISNUMBER(C379),($C$2-C379)/3600000,0)</f>
        <v>0</v>
      </c>
      <c r="H379" s="151" t="n">
        <f aca="false">EXP(-G379/'13_Mapa_Liq'!$B$7)</f>
        <v>1</v>
      </c>
      <c r="I379" s="151" t="n">
        <f aca="false">E379*F379*H379</f>
        <v>0</v>
      </c>
      <c r="J379" s="151" t="n">
        <f aca="false">E379*(1-F379)*H379</f>
        <v>0</v>
      </c>
      <c r="K379" s="151" t="n">
        <f aca="false">IF(COUNT('12_Datos_5m'!E380:E$504)=0,1000000000000,MIN('12_Datos_5m'!E380:E$504))</f>
        <v>1000000000000</v>
      </c>
      <c r="L379" s="151" t="n">
        <f aca="false">IF(COUNT('12_Datos_5m'!D380:D$504)=0,0,MAX('12_Datos_5m'!D380:D$504))</f>
        <v>0</v>
      </c>
      <c r="M379" s="151" t="str">
        <f aca="false">IF(ISNUMBER(B379),B379*(1-1/'13_Mapa_Liq'!$B$15+'13_Mapa_Liq'!$B$6),"")</f>
        <v/>
      </c>
      <c r="N379" s="151" t="n">
        <f aca="false">IF(ISNUMBER(B379),IF(K379&gt;M379,I379*'13_Mapa_Liq'!$C$15,0),0)</f>
        <v>0</v>
      </c>
      <c r="O379" s="151" t="str">
        <f aca="false">IF(ISNUMBER(B379),B379*(1+1/'13_Mapa_Liq'!$B$15-'13_Mapa_Liq'!$B$6),"")</f>
        <v/>
      </c>
      <c r="P379" s="151" t="n">
        <f aca="false">IF(ISNUMBER(B379),IF(L379&lt;O379,J379*'13_Mapa_Liq'!$C$15,0),0)</f>
        <v>0</v>
      </c>
      <c r="Q379" s="151" t="str">
        <f aca="false">IF(ISNUMBER(B379),B379*(1-1/'13_Mapa_Liq'!$B$16+'13_Mapa_Liq'!$B$6),"")</f>
        <v/>
      </c>
      <c r="R379" s="151" t="n">
        <f aca="false">IF(ISNUMBER(B379),IF(K379&gt;Q379,I379*'13_Mapa_Liq'!$C$16,0),0)</f>
        <v>0</v>
      </c>
      <c r="S379" s="151" t="str">
        <f aca="false">IF(ISNUMBER(B379),B379*(1+1/'13_Mapa_Liq'!$B$16-'13_Mapa_Liq'!$B$6),"")</f>
        <v/>
      </c>
      <c r="T379" s="151" t="n">
        <f aca="false">IF(ISNUMBER(B379),IF(L379&lt;S379,J379*'13_Mapa_Liq'!$C$16,0),0)</f>
        <v>0</v>
      </c>
      <c r="U379" s="151" t="str">
        <f aca="false">IF(ISNUMBER(B379),B379*(1-1/'13_Mapa_Liq'!$B$17+'13_Mapa_Liq'!$B$6),"")</f>
        <v/>
      </c>
      <c r="V379" s="151" t="n">
        <f aca="false">IF(ISNUMBER(B379),IF(K379&gt;U379,I379*'13_Mapa_Liq'!$C$17,0),0)</f>
        <v>0</v>
      </c>
      <c r="W379" s="151" t="str">
        <f aca="false">IF(ISNUMBER(B379),B379*(1+1/'13_Mapa_Liq'!$B$17-'13_Mapa_Liq'!$B$6),"")</f>
        <v/>
      </c>
      <c r="X379" s="151" t="n">
        <f aca="false">IF(ISNUMBER(B379),IF(L379&lt;W379,J379*'13_Mapa_Liq'!$C$17,0),0)</f>
        <v>0</v>
      </c>
      <c r="Y379" s="151" t="str">
        <f aca="false">IF(ISNUMBER(B379),B379*(1-1/'13_Mapa_Liq'!$B$18+'13_Mapa_Liq'!$B$6),"")</f>
        <v/>
      </c>
      <c r="Z379" s="151" t="n">
        <f aca="false">IF(ISNUMBER(B379),IF(K379&gt;Y379,I379*'13_Mapa_Liq'!$C$18,0),0)</f>
        <v>0</v>
      </c>
      <c r="AA379" s="151" t="str">
        <f aca="false">IF(ISNUMBER(B379),B379*(1+1/'13_Mapa_Liq'!$B$18-'13_Mapa_Liq'!$B$6),"")</f>
        <v/>
      </c>
      <c r="AB379" s="151" t="n">
        <f aca="false">IF(ISNUMBER(B379),IF(L379&lt;AA379,J379*'13_Mapa_Liq'!$C$18,0),0)</f>
        <v>0</v>
      </c>
      <c r="AC379" s="151" t="str">
        <f aca="false">IF(ISNUMBER(B379),B379*(1-1/'13_Mapa_Liq'!$B$19+'13_Mapa_Liq'!$B$6),"")</f>
        <v/>
      </c>
      <c r="AD379" s="151" t="n">
        <f aca="false">IF(ISNUMBER(B379),IF(K379&gt;AC379,I379*'13_Mapa_Liq'!$C$19,0),0)</f>
        <v>0</v>
      </c>
      <c r="AE379" s="151" t="str">
        <f aca="false">IF(ISNUMBER(B379),B379*(1+1/'13_Mapa_Liq'!$B$19-'13_Mapa_Liq'!$B$6),"")</f>
        <v/>
      </c>
      <c r="AF379" s="151" t="n">
        <f aca="false">IF(ISNUMBER(B379),IF(L379&lt;AE379,J379*'13_Mapa_Liq'!$C$19,0),0)</f>
        <v>0</v>
      </c>
      <c r="AG379" s="151"/>
      <c r="AH379" s="151" t="n">
        <f aca="false">IF(ISNUMBER(B379),E379*F379*((K379&lt;=M379)*'13_Mapa_Liq'!$C$15+(K379&lt;=Q379)*'13_Mapa_Liq'!$C$16+(K379&lt;=U379)*'13_Mapa_Liq'!$C$17+(K379&lt;=Y379)*'13_Mapa_Liq'!$C$18+(K379&lt;=AC379)*'13_Mapa_Liq'!$C$19),0)</f>
        <v>0</v>
      </c>
      <c r="AI379" s="151" t="n">
        <f aca="false">IF(ISNUMBER(B379),E379*(1-F379)*((L379&gt;=O379)*'13_Mapa_Liq'!$C$15+(L379&gt;=S379)*'13_Mapa_Liq'!$C$16+(L379&gt;=W379)*'13_Mapa_Liq'!$C$17+(L379&gt;=AA379)*'13_Mapa_Liq'!$C$18+(L379&gt;=AE379)*'13_Mapa_Liq'!$C$19),0)</f>
        <v>0</v>
      </c>
    </row>
    <row r="380" customFormat="false" ht="15" hidden="false" customHeight="false" outlineLevel="0" collapsed="false">
      <c r="A380" s="151" t="str">
        <f aca="false">IF(ISNUMBER('12_Datos_5m'!F380),ROW()-4,"")</f>
        <v/>
      </c>
      <c r="B380" s="151" t="str">
        <f aca="false">IF(ISNUMBER('12_Datos_5m'!F380),'12_Datos_5m'!F380,"")</f>
        <v/>
      </c>
      <c r="C380" s="151" t="str">
        <f aca="false">IF(ISNUMBER('12_Datos_5m'!A380),'12_Datos_5m'!A380,"")</f>
        <v/>
      </c>
      <c r="D380" s="151" t="n">
        <f aca="false">IF(AND(ISNUMBER('12_Datos_5m'!I380),ISNUMBER('12_Datos_5m'!I379)),'12_Datos_5m'!I380-'12_Datos_5m'!I379,0)</f>
        <v>0</v>
      </c>
      <c r="E380" s="151" t="n">
        <f aca="false">MAX(0,D380)</f>
        <v>0</v>
      </c>
      <c r="F380" s="151" t="n">
        <f aca="false">IF(AND(ISNUMBER('12_Datos_5m'!G380),N('12_Datos_5m'!G380)&gt;0),'12_Datos_5m'!H380/'12_Datos_5m'!G380,0.5)</f>
        <v>0.5</v>
      </c>
      <c r="G380" s="151" t="n">
        <f aca="false">IF(ISNUMBER(C380),($C$2-C380)/3600000,0)</f>
        <v>0</v>
      </c>
      <c r="H380" s="151" t="n">
        <f aca="false">EXP(-G380/'13_Mapa_Liq'!$B$7)</f>
        <v>1</v>
      </c>
      <c r="I380" s="151" t="n">
        <f aca="false">E380*F380*H380</f>
        <v>0</v>
      </c>
      <c r="J380" s="151" t="n">
        <f aca="false">E380*(1-F380)*H380</f>
        <v>0</v>
      </c>
      <c r="K380" s="151" t="n">
        <f aca="false">IF(COUNT('12_Datos_5m'!E381:E$504)=0,1000000000000,MIN('12_Datos_5m'!E381:E$504))</f>
        <v>1000000000000</v>
      </c>
      <c r="L380" s="151" t="n">
        <f aca="false">IF(COUNT('12_Datos_5m'!D381:D$504)=0,0,MAX('12_Datos_5m'!D381:D$504))</f>
        <v>0</v>
      </c>
      <c r="M380" s="151" t="str">
        <f aca="false">IF(ISNUMBER(B380),B380*(1-1/'13_Mapa_Liq'!$B$15+'13_Mapa_Liq'!$B$6),"")</f>
        <v/>
      </c>
      <c r="N380" s="151" t="n">
        <f aca="false">IF(ISNUMBER(B380),IF(K380&gt;M380,I380*'13_Mapa_Liq'!$C$15,0),0)</f>
        <v>0</v>
      </c>
      <c r="O380" s="151" t="str">
        <f aca="false">IF(ISNUMBER(B380),B380*(1+1/'13_Mapa_Liq'!$B$15-'13_Mapa_Liq'!$B$6),"")</f>
        <v/>
      </c>
      <c r="P380" s="151" t="n">
        <f aca="false">IF(ISNUMBER(B380),IF(L380&lt;O380,J380*'13_Mapa_Liq'!$C$15,0),0)</f>
        <v>0</v>
      </c>
      <c r="Q380" s="151" t="str">
        <f aca="false">IF(ISNUMBER(B380),B380*(1-1/'13_Mapa_Liq'!$B$16+'13_Mapa_Liq'!$B$6),"")</f>
        <v/>
      </c>
      <c r="R380" s="151" t="n">
        <f aca="false">IF(ISNUMBER(B380),IF(K380&gt;Q380,I380*'13_Mapa_Liq'!$C$16,0),0)</f>
        <v>0</v>
      </c>
      <c r="S380" s="151" t="str">
        <f aca="false">IF(ISNUMBER(B380),B380*(1+1/'13_Mapa_Liq'!$B$16-'13_Mapa_Liq'!$B$6),"")</f>
        <v/>
      </c>
      <c r="T380" s="151" t="n">
        <f aca="false">IF(ISNUMBER(B380),IF(L380&lt;S380,J380*'13_Mapa_Liq'!$C$16,0),0)</f>
        <v>0</v>
      </c>
      <c r="U380" s="151" t="str">
        <f aca="false">IF(ISNUMBER(B380),B380*(1-1/'13_Mapa_Liq'!$B$17+'13_Mapa_Liq'!$B$6),"")</f>
        <v/>
      </c>
      <c r="V380" s="151" t="n">
        <f aca="false">IF(ISNUMBER(B380),IF(K380&gt;U380,I380*'13_Mapa_Liq'!$C$17,0),0)</f>
        <v>0</v>
      </c>
      <c r="W380" s="151" t="str">
        <f aca="false">IF(ISNUMBER(B380),B380*(1+1/'13_Mapa_Liq'!$B$17-'13_Mapa_Liq'!$B$6),"")</f>
        <v/>
      </c>
      <c r="X380" s="151" t="n">
        <f aca="false">IF(ISNUMBER(B380),IF(L380&lt;W380,J380*'13_Mapa_Liq'!$C$17,0),0)</f>
        <v>0</v>
      </c>
      <c r="Y380" s="151" t="str">
        <f aca="false">IF(ISNUMBER(B380),B380*(1-1/'13_Mapa_Liq'!$B$18+'13_Mapa_Liq'!$B$6),"")</f>
        <v/>
      </c>
      <c r="Z380" s="151" t="n">
        <f aca="false">IF(ISNUMBER(B380),IF(K380&gt;Y380,I380*'13_Mapa_Liq'!$C$18,0),0)</f>
        <v>0</v>
      </c>
      <c r="AA380" s="151" t="str">
        <f aca="false">IF(ISNUMBER(B380),B380*(1+1/'13_Mapa_Liq'!$B$18-'13_Mapa_Liq'!$B$6),"")</f>
        <v/>
      </c>
      <c r="AB380" s="151" t="n">
        <f aca="false">IF(ISNUMBER(B380),IF(L380&lt;AA380,J380*'13_Mapa_Liq'!$C$18,0),0)</f>
        <v>0</v>
      </c>
      <c r="AC380" s="151" t="str">
        <f aca="false">IF(ISNUMBER(B380),B380*(1-1/'13_Mapa_Liq'!$B$19+'13_Mapa_Liq'!$B$6),"")</f>
        <v/>
      </c>
      <c r="AD380" s="151" t="n">
        <f aca="false">IF(ISNUMBER(B380),IF(K380&gt;AC380,I380*'13_Mapa_Liq'!$C$19,0),0)</f>
        <v>0</v>
      </c>
      <c r="AE380" s="151" t="str">
        <f aca="false">IF(ISNUMBER(B380),B380*(1+1/'13_Mapa_Liq'!$B$19-'13_Mapa_Liq'!$B$6),"")</f>
        <v/>
      </c>
      <c r="AF380" s="151" t="n">
        <f aca="false">IF(ISNUMBER(B380),IF(L380&lt;AE380,J380*'13_Mapa_Liq'!$C$19,0),0)</f>
        <v>0</v>
      </c>
      <c r="AG380" s="151"/>
      <c r="AH380" s="151" t="n">
        <f aca="false">IF(ISNUMBER(B380),E380*F380*((K380&lt;=M380)*'13_Mapa_Liq'!$C$15+(K380&lt;=Q380)*'13_Mapa_Liq'!$C$16+(K380&lt;=U380)*'13_Mapa_Liq'!$C$17+(K380&lt;=Y380)*'13_Mapa_Liq'!$C$18+(K380&lt;=AC380)*'13_Mapa_Liq'!$C$19),0)</f>
        <v>0</v>
      </c>
      <c r="AI380" s="151" t="n">
        <f aca="false">IF(ISNUMBER(B380),E380*(1-F380)*((L380&gt;=O380)*'13_Mapa_Liq'!$C$15+(L380&gt;=S380)*'13_Mapa_Liq'!$C$16+(L380&gt;=W380)*'13_Mapa_Liq'!$C$17+(L380&gt;=AA380)*'13_Mapa_Liq'!$C$18+(L380&gt;=AE380)*'13_Mapa_Liq'!$C$19),0)</f>
        <v>0</v>
      </c>
    </row>
    <row r="381" customFormat="false" ht="15" hidden="false" customHeight="false" outlineLevel="0" collapsed="false">
      <c r="A381" s="151" t="str">
        <f aca="false">IF(ISNUMBER('12_Datos_5m'!F381),ROW()-4,"")</f>
        <v/>
      </c>
      <c r="B381" s="151" t="str">
        <f aca="false">IF(ISNUMBER('12_Datos_5m'!F381),'12_Datos_5m'!F381,"")</f>
        <v/>
      </c>
      <c r="C381" s="151" t="str">
        <f aca="false">IF(ISNUMBER('12_Datos_5m'!A381),'12_Datos_5m'!A381,"")</f>
        <v/>
      </c>
      <c r="D381" s="151" t="n">
        <f aca="false">IF(AND(ISNUMBER('12_Datos_5m'!I381),ISNUMBER('12_Datos_5m'!I380)),'12_Datos_5m'!I381-'12_Datos_5m'!I380,0)</f>
        <v>0</v>
      </c>
      <c r="E381" s="151" t="n">
        <f aca="false">MAX(0,D381)</f>
        <v>0</v>
      </c>
      <c r="F381" s="151" t="n">
        <f aca="false">IF(AND(ISNUMBER('12_Datos_5m'!G381),N('12_Datos_5m'!G381)&gt;0),'12_Datos_5m'!H381/'12_Datos_5m'!G381,0.5)</f>
        <v>0.5</v>
      </c>
      <c r="G381" s="151" t="n">
        <f aca="false">IF(ISNUMBER(C381),($C$2-C381)/3600000,0)</f>
        <v>0</v>
      </c>
      <c r="H381" s="151" t="n">
        <f aca="false">EXP(-G381/'13_Mapa_Liq'!$B$7)</f>
        <v>1</v>
      </c>
      <c r="I381" s="151" t="n">
        <f aca="false">E381*F381*H381</f>
        <v>0</v>
      </c>
      <c r="J381" s="151" t="n">
        <f aca="false">E381*(1-F381)*H381</f>
        <v>0</v>
      </c>
      <c r="K381" s="151" t="n">
        <f aca="false">IF(COUNT('12_Datos_5m'!E382:E$504)=0,1000000000000,MIN('12_Datos_5m'!E382:E$504))</f>
        <v>1000000000000</v>
      </c>
      <c r="L381" s="151" t="n">
        <f aca="false">IF(COUNT('12_Datos_5m'!D382:D$504)=0,0,MAX('12_Datos_5m'!D382:D$504))</f>
        <v>0</v>
      </c>
      <c r="M381" s="151" t="str">
        <f aca="false">IF(ISNUMBER(B381),B381*(1-1/'13_Mapa_Liq'!$B$15+'13_Mapa_Liq'!$B$6),"")</f>
        <v/>
      </c>
      <c r="N381" s="151" t="n">
        <f aca="false">IF(ISNUMBER(B381),IF(K381&gt;M381,I381*'13_Mapa_Liq'!$C$15,0),0)</f>
        <v>0</v>
      </c>
      <c r="O381" s="151" t="str">
        <f aca="false">IF(ISNUMBER(B381),B381*(1+1/'13_Mapa_Liq'!$B$15-'13_Mapa_Liq'!$B$6),"")</f>
        <v/>
      </c>
      <c r="P381" s="151" t="n">
        <f aca="false">IF(ISNUMBER(B381),IF(L381&lt;O381,J381*'13_Mapa_Liq'!$C$15,0),0)</f>
        <v>0</v>
      </c>
      <c r="Q381" s="151" t="str">
        <f aca="false">IF(ISNUMBER(B381),B381*(1-1/'13_Mapa_Liq'!$B$16+'13_Mapa_Liq'!$B$6),"")</f>
        <v/>
      </c>
      <c r="R381" s="151" t="n">
        <f aca="false">IF(ISNUMBER(B381),IF(K381&gt;Q381,I381*'13_Mapa_Liq'!$C$16,0),0)</f>
        <v>0</v>
      </c>
      <c r="S381" s="151" t="str">
        <f aca="false">IF(ISNUMBER(B381),B381*(1+1/'13_Mapa_Liq'!$B$16-'13_Mapa_Liq'!$B$6),"")</f>
        <v/>
      </c>
      <c r="T381" s="151" t="n">
        <f aca="false">IF(ISNUMBER(B381),IF(L381&lt;S381,J381*'13_Mapa_Liq'!$C$16,0),0)</f>
        <v>0</v>
      </c>
      <c r="U381" s="151" t="str">
        <f aca="false">IF(ISNUMBER(B381),B381*(1-1/'13_Mapa_Liq'!$B$17+'13_Mapa_Liq'!$B$6),"")</f>
        <v/>
      </c>
      <c r="V381" s="151" t="n">
        <f aca="false">IF(ISNUMBER(B381),IF(K381&gt;U381,I381*'13_Mapa_Liq'!$C$17,0),0)</f>
        <v>0</v>
      </c>
      <c r="W381" s="151" t="str">
        <f aca="false">IF(ISNUMBER(B381),B381*(1+1/'13_Mapa_Liq'!$B$17-'13_Mapa_Liq'!$B$6),"")</f>
        <v/>
      </c>
      <c r="X381" s="151" t="n">
        <f aca="false">IF(ISNUMBER(B381),IF(L381&lt;W381,J381*'13_Mapa_Liq'!$C$17,0),0)</f>
        <v>0</v>
      </c>
      <c r="Y381" s="151" t="str">
        <f aca="false">IF(ISNUMBER(B381),B381*(1-1/'13_Mapa_Liq'!$B$18+'13_Mapa_Liq'!$B$6),"")</f>
        <v/>
      </c>
      <c r="Z381" s="151" t="n">
        <f aca="false">IF(ISNUMBER(B381),IF(K381&gt;Y381,I381*'13_Mapa_Liq'!$C$18,0),0)</f>
        <v>0</v>
      </c>
      <c r="AA381" s="151" t="str">
        <f aca="false">IF(ISNUMBER(B381),B381*(1+1/'13_Mapa_Liq'!$B$18-'13_Mapa_Liq'!$B$6),"")</f>
        <v/>
      </c>
      <c r="AB381" s="151" t="n">
        <f aca="false">IF(ISNUMBER(B381),IF(L381&lt;AA381,J381*'13_Mapa_Liq'!$C$18,0),0)</f>
        <v>0</v>
      </c>
      <c r="AC381" s="151" t="str">
        <f aca="false">IF(ISNUMBER(B381),B381*(1-1/'13_Mapa_Liq'!$B$19+'13_Mapa_Liq'!$B$6),"")</f>
        <v/>
      </c>
      <c r="AD381" s="151" t="n">
        <f aca="false">IF(ISNUMBER(B381),IF(K381&gt;AC381,I381*'13_Mapa_Liq'!$C$19,0),0)</f>
        <v>0</v>
      </c>
      <c r="AE381" s="151" t="str">
        <f aca="false">IF(ISNUMBER(B381),B381*(1+1/'13_Mapa_Liq'!$B$19-'13_Mapa_Liq'!$B$6),"")</f>
        <v/>
      </c>
      <c r="AF381" s="151" t="n">
        <f aca="false">IF(ISNUMBER(B381),IF(L381&lt;AE381,J381*'13_Mapa_Liq'!$C$19,0),0)</f>
        <v>0</v>
      </c>
      <c r="AG381" s="151"/>
      <c r="AH381" s="151" t="n">
        <f aca="false">IF(ISNUMBER(B381),E381*F381*((K381&lt;=M381)*'13_Mapa_Liq'!$C$15+(K381&lt;=Q381)*'13_Mapa_Liq'!$C$16+(K381&lt;=U381)*'13_Mapa_Liq'!$C$17+(K381&lt;=Y381)*'13_Mapa_Liq'!$C$18+(K381&lt;=AC381)*'13_Mapa_Liq'!$C$19),0)</f>
        <v>0</v>
      </c>
      <c r="AI381" s="151" t="n">
        <f aca="false">IF(ISNUMBER(B381),E381*(1-F381)*((L381&gt;=O381)*'13_Mapa_Liq'!$C$15+(L381&gt;=S381)*'13_Mapa_Liq'!$C$16+(L381&gt;=W381)*'13_Mapa_Liq'!$C$17+(L381&gt;=AA381)*'13_Mapa_Liq'!$C$18+(L381&gt;=AE381)*'13_Mapa_Liq'!$C$19),0)</f>
        <v>0</v>
      </c>
    </row>
    <row r="382" customFormat="false" ht="15" hidden="false" customHeight="false" outlineLevel="0" collapsed="false">
      <c r="A382" s="151" t="str">
        <f aca="false">IF(ISNUMBER('12_Datos_5m'!F382),ROW()-4,"")</f>
        <v/>
      </c>
      <c r="B382" s="151" t="str">
        <f aca="false">IF(ISNUMBER('12_Datos_5m'!F382),'12_Datos_5m'!F382,"")</f>
        <v/>
      </c>
      <c r="C382" s="151" t="str">
        <f aca="false">IF(ISNUMBER('12_Datos_5m'!A382),'12_Datos_5m'!A382,"")</f>
        <v/>
      </c>
      <c r="D382" s="151" t="n">
        <f aca="false">IF(AND(ISNUMBER('12_Datos_5m'!I382),ISNUMBER('12_Datos_5m'!I381)),'12_Datos_5m'!I382-'12_Datos_5m'!I381,0)</f>
        <v>0</v>
      </c>
      <c r="E382" s="151" t="n">
        <f aca="false">MAX(0,D382)</f>
        <v>0</v>
      </c>
      <c r="F382" s="151" t="n">
        <f aca="false">IF(AND(ISNUMBER('12_Datos_5m'!G382),N('12_Datos_5m'!G382)&gt;0),'12_Datos_5m'!H382/'12_Datos_5m'!G382,0.5)</f>
        <v>0.5</v>
      </c>
      <c r="G382" s="151" t="n">
        <f aca="false">IF(ISNUMBER(C382),($C$2-C382)/3600000,0)</f>
        <v>0</v>
      </c>
      <c r="H382" s="151" t="n">
        <f aca="false">EXP(-G382/'13_Mapa_Liq'!$B$7)</f>
        <v>1</v>
      </c>
      <c r="I382" s="151" t="n">
        <f aca="false">E382*F382*H382</f>
        <v>0</v>
      </c>
      <c r="J382" s="151" t="n">
        <f aca="false">E382*(1-F382)*H382</f>
        <v>0</v>
      </c>
      <c r="K382" s="151" t="n">
        <f aca="false">IF(COUNT('12_Datos_5m'!E383:E$504)=0,1000000000000,MIN('12_Datos_5m'!E383:E$504))</f>
        <v>1000000000000</v>
      </c>
      <c r="L382" s="151" t="n">
        <f aca="false">IF(COUNT('12_Datos_5m'!D383:D$504)=0,0,MAX('12_Datos_5m'!D383:D$504))</f>
        <v>0</v>
      </c>
      <c r="M382" s="151" t="str">
        <f aca="false">IF(ISNUMBER(B382),B382*(1-1/'13_Mapa_Liq'!$B$15+'13_Mapa_Liq'!$B$6),"")</f>
        <v/>
      </c>
      <c r="N382" s="151" t="n">
        <f aca="false">IF(ISNUMBER(B382),IF(K382&gt;M382,I382*'13_Mapa_Liq'!$C$15,0),0)</f>
        <v>0</v>
      </c>
      <c r="O382" s="151" t="str">
        <f aca="false">IF(ISNUMBER(B382),B382*(1+1/'13_Mapa_Liq'!$B$15-'13_Mapa_Liq'!$B$6),"")</f>
        <v/>
      </c>
      <c r="P382" s="151" t="n">
        <f aca="false">IF(ISNUMBER(B382),IF(L382&lt;O382,J382*'13_Mapa_Liq'!$C$15,0),0)</f>
        <v>0</v>
      </c>
      <c r="Q382" s="151" t="str">
        <f aca="false">IF(ISNUMBER(B382),B382*(1-1/'13_Mapa_Liq'!$B$16+'13_Mapa_Liq'!$B$6),"")</f>
        <v/>
      </c>
      <c r="R382" s="151" t="n">
        <f aca="false">IF(ISNUMBER(B382),IF(K382&gt;Q382,I382*'13_Mapa_Liq'!$C$16,0),0)</f>
        <v>0</v>
      </c>
      <c r="S382" s="151" t="str">
        <f aca="false">IF(ISNUMBER(B382),B382*(1+1/'13_Mapa_Liq'!$B$16-'13_Mapa_Liq'!$B$6),"")</f>
        <v/>
      </c>
      <c r="T382" s="151" t="n">
        <f aca="false">IF(ISNUMBER(B382),IF(L382&lt;S382,J382*'13_Mapa_Liq'!$C$16,0),0)</f>
        <v>0</v>
      </c>
      <c r="U382" s="151" t="str">
        <f aca="false">IF(ISNUMBER(B382),B382*(1-1/'13_Mapa_Liq'!$B$17+'13_Mapa_Liq'!$B$6),"")</f>
        <v/>
      </c>
      <c r="V382" s="151" t="n">
        <f aca="false">IF(ISNUMBER(B382),IF(K382&gt;U382,I382*'13_Mapa_Liq'!$C$17,0),0)</f>
        <v>0</v>
      </c>
      <c r="W382" s="151" t="str">
        <f aca="false">IF(ISNUMBER(B382),B382*(1+1/'13_Mapa_Liq'!$B$17-'13_Mapa_Liq'!$B$6),"")</f>
        <v/>
      </c>
      <c r="X382" s="151" t="n">
        <f aca="false">IF(ISNUMBER(B382),IF(L382&lt;W382,J382*'13_Mapa_Liq'!$C$17,0),0)</f>
        <v>0</v>
      </c>
      <c r="Y382" s="151" t="str">
        <f aca="false">IF(ISNUMBER(B382),B382*(1-1/'13_Mapa_Liq'!$B$18+'13_Mapa_Liq'!$B$6),"")</f>
        <v/>
      </c>
      <c r="Z382" s="151" t="n">
        <f aca="false">IF(ISNUMBER(B382),IF(K382&gt;Y382,I382*'13_Mapa_Liq'!$C$18,0),0)</f>
        <v>0</v>
      </c>
      <c r="AA382" s="151" t="str">
        <f aca="false">IF(ISNUMBER(B382),B382*(1+1/'13_Mapa_Liq'!$B$18-'13_Mapa_Liq'!$B$6),"")</f>
        <v/>
      </c>
      <c r="AB382" s="151" t="n">
        <f aca="false">IF(ISNUMBER(B382),IF(L382&lt;AA382,J382*'13_Mapa_Liq'!$C$18,0),0)</f>
        <v>0</v>
      </c>
      <c r="AC382" s="151" t="str">
        <f aca="false">IF(ISNUMBER(B382),B382*(1-1/'13_Mapa_Liq'!$B$19+'13_Mapa_Liq'!$B$6),"")</f>
        <v/>
      </c>
      <c r="AD382" s="151" t="n">
        <f aca="false">IF(ISNUMBER(B382),IF(K382&gt;AC382,I382*'13_Mapa_Liq'!$C$19,0),0)</f>
        <v>0</v>
      </c>
      <c r="AE382" s="151" t="str">
        <f aca="false">IF(ISNUMBER(B382),B382*(1+1/'13_Mapa_Liq'!$B$19-'13_Mapa_Liq'!$B$6),"")</f>
        <v/>
      </c>
      <c r="AF382" s="151" t="n">
        <f aca="false">IF(ISNUMBER(B382),IF(L382&lt;AE382,J382*'13_Mapa_Liq'!$C$19,0),0)</f>
        <v>0</v>
      </c>
      <c r="AG382" s="151"/>
      <c r="AH382" s="151" t="n">
        <f aca="false">IF(ISNUMBER(B382),E382*F382*((K382&lt;=M382)*'13_Mapa_Liq'!$C$15+(K382&lt;=Q382)*'13_Mapa_Liq'!$C$16+(K382&lt;=U382)*'13_Mapa_Liq'!$C$17+(K382&lt;=Y382)*'13_Mapa_Liq'!$C$18+(K382&lt;=AC382)*'13_Mapa_Liq'!$C$19),0)</f>
        <v>0</v>
      </c>
      <c r="AI382" s="151" t="n">
        <f aca="false">IF(ISNUMBER(B382),E382*(1-F382)*((L382&gt;=O382)*'13_Mapa_Liq'!$C$15+(L382&gt;=S382)*'13_Mapa_Liq'!$C$16+(L382&gt;=W382)*'13_Mapa_Liq'!$C$17+(L382&gt;=AA382)*'13_Mapa_Liq'!$C$18+(L382&gt;=AE382)*'13_Mapa_Liq'!$C$19),0)</f>
        <v>0</v>
      </c>
    </row>
    <row r="383" customFormat="false" ht="15" hidden="false" customHeight="false" outlineLevel="0" collapsed="false">
      <c r="A383" s="151" t="str">
        <f aca="false">IF(ISNUMBER('12_Datos_5m'!F383),ROW()-4,"")</f>
        <v/>
      </c>
      <c r="B383" s="151" t="str">
        <f aca="false">IF(ISNUMBER('12_Datos_5m'!F383),'12_Datos_5m'!F383,"")</f>
        <v/>
      </c>
      <c r="C383" s="151" t="str">
        <f aca="false">IF(ISNUMBER('12_Datos_5m'!A383),'12_Datos_5m'!A383,"")</f>
        <v/>
      </c>
      <c r="D383" s="151" t="n">
        <f aca="false">IF(AND(ISNUMBER('12_Datos_5m'!I383),ISNUMBER('12_Datos_5m'!I382)),'12_Datos_5m'!I383-'12_Datos_5m'!I382,0)</f>
        <v>0</v>
      </c>
      <c r="E383" s="151" t="n">
        <f aca="false">MAX(0,D383)</f>
        <v>0</v>
      </c>
      <c r="F383" s="151" t="n">
        <f aca="false">IF(AND(ISNUMBER('12_Datos_5m'!G383),N('12_Datos_5m'!G383)&gt;0),'12_Datos_5m'!H383/'12_Datos_5m'!G383,0.5)</f>
        <v>0.5</v>
      </c>
      <c r="G383" s="151" t="n">
        <f aca="false">IF(ISNUMBER(C383),($C$2-C383)/3600000,0)</f>
        <v>0</v>
      </c>
      <c r="H383" s="151" t="n">
        <f aca="false">EXP(-G383/'13_Mapa_Liq'!$B$7)</f>
        <v>1</v>
      </c>
      <c r="I383" s="151" t="n">
        <f aca="false">E383*F383*H383</f>
        <v>0</v>
      </c>
      <c r="J383" s="151" t="n">
        <f aca="false">E383*(1-F383)*H383</f>
        <v>0</v>
      </c>
      <c r="K383" s="151" t="n">
        <f aca="false">IF(COUNT('12_Datos_5m'!E384:E$504)=0,1000000000000,MIN('12_Datos_5m'!E384:E$504))</f>
        <v>1000000000000</v>
      </c>
      <c r="L383" s="151" t="n">
        <f aca="false">IF(COUNT('12_Datos_5m'!D384:D$504)=0,0,MAX('12_Datos_5m'!D384:D$504))</f>
        <v>0</v>
      </c>
      <c r="M383" s="151" t="str">
        <f aca="false">IF(ISNUMBER(B383),B383*(1-1/'13_Mapa_Liq'!$B$15+'13_Mapa_Liq'!$B$6),"")</f>
        <v/>
      </c>
      <c r="N383" s="151" t="n">
        <f aca="false">IF(ISNUMBER(B383),IF(K383&gt;M383,I383*'13_Mapa_Liq'!$C$15,0),0)</f>
        <v>0</v>
      </c>
      <c r="O383" s="151" t="str">
        <f aca="false">IF(ISNUMBER(B383),B383*(1+1/'13_Mapa_Liq'!$B$15-'13_Mapa_Liq'!$B$6),"")</f>
        <v/>
      </c>
      <c r="P383" s="151" t="n">
        <f aca="false">IF(ISNUMBER(B383),IF(L383&lt;O383,J383*'13_Mapa_Liq'!$C$15,0),0)</f>
        <v>0</v>
      </c>
      <c r="Q383" s="151" t="str">
        <f aca="false">IF(ISNUMBER(B383),B383*(1-1/'13_Mapa_Liq'!$B$16+'13_Mapa_Liq'!$B$6),"")</f>
        <v/>
      </c>
      <c r="R383" s="151" t="n">
        <f aca="false">IF(ISNUMBER(B383),IF(K383&gt;Q383,I383*'13_Mapa_Liq'!$C$16,0),0)</f>
        <v>0</v>
      </c>
      <c r="S383" s="151" t="str">
        <f aca="false">IF(ISNUMBER(B383),B383*(1+1/'13_Mapa_Liq'!$B$16-'13_Mapa_Liq'!$B$6),"")</f>
        <v/>
      </c>
      <c r="T383" s="151" t="n">
        <f aca="false">IF(ISNUMBER(B383),IF(L383&lt;S383,J383*'13_Mapa_Liq'!$C$16,0),0)</f>
        <v>0</v>
      </c>
      <c r="U383" s="151" t="str">
        <f aca="false">IF(ISNUMBER(B383),B383*(1-1/'13_Mapa_Liq'!$B$17+'13_Mapa_Liq'!$B$6),"")</f>
        <v/>
      </c>
      <c r="V383" s="151" t="n">
        <f aca="false">IF(ISNUMBER(B383),IF(K383&gt;U383,I383*'13_Mapa_Liq'!$C$17,0),0)</f>
        <v>0</v>
      </c>
      <c r="W383" s="151" t="str">
        <f aca="false">IF(ISNUMBER(B383),B383*(1+1/'13_Mapa_Liq'!$B$17-'13_Mapa_Liq'!$B$6),"")</f>
        <v/>
      </c>
      <c r="X383" s="151" t="n">
        <f aca="false">IF(ISNUMBER(B383),IF(L383&lt;W383,J383*'13_Mapa_Liq'!$C$17,0),0)</f>
        <v>0</v>
      </c>
      <c r="Y383" s="151" t="str">
        <f aca="false">IF(ISNUMBER(B383),B383*(1-1/'13_Mapa_Liq'!$B$18+'13_Mapa_Liq'!$B$6),"")</f>
        <v/>
      </c>
      <c r="Z383" s="151" t="n">
        <f aca="false">IF(ISNUMBER(B383),IF(K383&gt;Y383,I383*'13_Mapa_Liq'!$C$18,0),0)</f>
        <v>0</v>
      </c>
      <c r="AA383" s="151" t="str">
        <f aca="false">IF(ISNUMBER(B383),B383*(1+1/'13_Mapa_Liq'!$B$18-'13_Mapa_Liq'!$B$6),"")</f>
        <v/>
      </c>
      <c r="AB383" s="151" t="n">
        <f aca="false">IF(ISNUMBER(B383),IF(L383&lt;AA383,J383*'13_Mapa_Liq'!$C$18,0),0)</f>
        <v>0</v>
      </c>
      <c r="AC383" s="151" t="str">
        <f aca="false">IF(ISNUMBER(B383),B383*(1-1/'13_Mapa_Liq'!$B$19+'13_Mapa_Liq'!$B$6),"")</f>
        <v/>
      </c>
      <c r="AD383" s="151" t="n">
        <f aca="false">IF(ISNUMBER(B383),IF(K383&gt;AC383,I383*'13_Mapa_Liq'!$C$19,0),0)</f>
        <v>0</v>
      </c>
      <c r="AE383" s="151" t="str">
        <f aca="false">IF(ISNUMBER(B383),B383*(1+1/'13_Mapa_Liq'!$B$19-'13_Mapa_Liq'!$B$6),"")</f>
        <v/>
      </c>
      <c r="AF383" s="151" t="n">
        <f aca="false">IF(ISNUMBER(B383),IF(L383&lt;AE383,J383*'13_Mapa_Liq'!$C$19,0),0)</f>
        <v>0</v>
      </c>
      <c r="AG383" s="151"/>
      <c r="AH383" s="151" t="n">
        <f aca="false">IF(ISNUMBER(B383),E383*F383*((K383&lt;=M383)*'13_Mapa_Liq'!$C$15+(K383&lt;=Q383)*'13_Mapa_Liq'!$C$16+(K383&lt;=U383)*'13_Mapa_Liq'!$C$17+(K383&lt;=Y383)*'13_Mapa_Liq'!$C$18+(K383&lt;=AC383)*'13_Mapa_Liq'!$C$19),0)</f>
        <v>0</v>
      </c>
      <c r="AI383" s="151" t="n">
        <f aca="false">IF(ISNUMBER(B383),E383*(1-F383)*((L383&gt;=O383)*'13_Mapa_Liq'!$C$15+(L383&gt;=S383)*'13_Mapa_Liq'!$C$16+(L383&gt;=W383)*'13_Mapa_Liq'!$C$17+(L383&gt;=AA383)*'13_Mapa_Liq'!$C$18+(L383&gt;=AE383)*'13_Mapa_Liq'!$C$19),0)</f>
        <v>0</v>
      </c>
    </row>
    <row r="384" customFormat="false" ht="15" hidden="false" customHeight="false" outlineLevel="0" collapsed="false">
      <c r="A384" s="151" t="str">
        <f aca="false">IF(ISNUMBER('12_Datos_5m'!F384),ROW()-4,"")</f>
        <v/>
      </c>
      <c r="B384" s="151" t="str">
        <f aca="false">IF(ISNUMBER('12_Datos_5m'!F384),'12_Datos_5m'!F384,"")</f>
        <v/>
      </c>
      <c r="C384" s="151" t="str">
        <f aca="false">IF(ISNUMBER('12_Datos_5m'!A384),'12_Datos_5m'!A384,"")</f>
        <v/>
      </c>
      <c r="D384" s="151" t="n">
        <f aca="false">IF(AND(ISNUMBER('12_Datos_5m'!I384),ISNUMBER('12_Datos_5m'!I383)),'12_Datos_5m'!I384-'12_Datos_5m'!I383,0)</f>
        <v>0</v>
      </c>
      <c r="E384" s="151" t="n">
        <f aca="false">MAX(0,D384)</f>
        <v>0</v>
      </c>
      <c r="F384" s="151" t="n">
        <f aca="false">IF(AND(ISNUMBER('12_Datos_5m'!G384),N('12_Datos_5m'!G384)&gt;0),'12_Datos_5m'!H384/'12_Datos_5m'!G384,0.5)</f>
        <v>0.5</v>
      </c>
      <c r="G384" s="151" t="n">
        <f aca="false">IF(ISNUMBER(C384),($C$2-C384)/3600000,0)</f>
        <v>0</v>
      </c>
      <c r="H384" s="151" t="n">
        <f aca="false">EXP(-G384/'13_Mapa_Liq'!$B$7)</f>
        <v>1</v>
      </c>
      <c r="I384" s="151" t="n">
        <f aca="false">E384*F384*H384</f>
        <v>0</v>
      </c>
      <c r="J384" s="151" t="n">
        <f aca="false">E384*(1-F384)*H384</f>
        <v>0</v>
      </c>
      <c r="K384" s="151" t="n">
        <f aca="false">IF(COUNT('12_Datos_5m'!E385:E$504)=0,1000000000000,MIN('12_Datos_5m'!E385:E$504))</f>
        <v>1000000000000</v>
      </c>
      <c r="L384" s="151" t="n">
        <f aca="false">IF(COUNT('12_Datos_5m'!D385:D$504)=0,0,MAX('12_Datos_5m'!D385:D$504))</f>
        <v>0</v>
      </c>
      <c r="M384" s="151" t="str">
        <f aca="false">IF(ISNUMBER(B384),B384*(1-1/'13_Mapa_Liq'!$B$15+'13_Mapa_Liq'!$B$6),"")</f>
        <v/>
      </c>
      <c r="N384" s="151" t="n">
        <f aca="false">IF(ISNUMBER(B384),IF(K384&gt;M384,I384*'13_Mapa_Liq'!$C$15,0),0)</f>
        <v>0</v>
      </c>
      <c r="O384" s="151" t="str">
        <f aca="false">IF(ISNUMBER(B384),B384*(1+1/'13_Mapa_Liq'!$B$15-'13_Mapa_Liq'!$B$6),"")</f>
        <v/>
      </c>
      <c r="P384" s="151" t="n">
        <f aca="false">IF(ISNUMBER(B384),IF(L384&lt;O384,J384*'13_Mapa_Liq'!$C$15,0),0)</f>
        <v>0</v>
      </c>
      <c r="Q384" s="151" t="str">
        <f aca="false">IF(ISNUMBER(B384),B384*(1-1/'13_Mapa_Liq'!$B$16+'13_Mapa_Liq'!$B$6),"")</f>
        <v/>
      </c>
      <c r="R384" s="151" t="n">
        <f aca="false">IF(ISNUMBER(B384),IF(K384&gt;Q384,I384*'13_Mapa_Liq'!$C$16,0),0)</f>
        <v>0</v>
      </c>
      <c r="S384" s="151" t="str">
        <f aca="false">IF(ISNUMBER(B384),B384*(1+1/'13_Mapa_Liq'!$B$16-'13_Mapa_Liq'!$B$6),"")</f>
        <v/>
      </c>
      <c r="T384" s="151" t="n">
        <f aca="false">IF(ISNUMBER(B384),IF(L384&lt;S384,J384*'13_Mapa_Liq'!$C$16,0),0)</f>
        <v>0</v>
      </c>
      <c r="U384" s="151" t="str">
        <f aca="false">IF(ISNUMBER(B384),B384*(1-1/'13_Mapa_Liq'!$B$17+'13_Mapa_Liq'!$B$6),"")</f>
        <v/>
      </c>
      <c r="V384" s="151" t="n">
        <f aca="false">IF(ISNUMBER(B384),IF(K384&gt;U384,I384*'13_Mapa_Liq'!$C$17,0),0)</f>
        <v>0</v>
      </c>
      <c r="W384" s="151" t="str">
        <f aca="false">IF(ISNUMBER(B384),B384*(1+1/'13_Mapa_Liq'!$B$17-'13_Mapa_Liq'!$B$6),"")</f>
        <v/>
      </c>
      <c r="X384" s="151" t="n">
        <f aca="false">IF(ISNUMBER(B384),IF(L384&lt;W384,J384*'13_Mapa_Liq'!$C$17,0),0)</f>
        <v>0</v>
      </c>
      <c r="Y384" s="151" t="str">
        <f aca="false">IF(ISNUMBER(B384),B384*(1-1/'13_Mapa_Liq'!$B$18+'13_Mapa_Liq'!$B$6),"")</f>
        <v/>
      </c>
      <c r="Z384" s="151" t="n">
        <f aca="false">IF(ISNUMBER(B384),IF(K384&gt;Y384,I384*'13_Mapa_Liq'!$C$18,0),0)</f>
        <v>0</v>
      </c>
      <c r="AA384" s="151" t="str">
        <f aca="false">IF(ISNUMBER(B384),B384*(1+1/'13_Mapa_Liq'!$B$18-'13_Mapa_Liq'!$B$6),"")</f>
        <v/>
      </c>
      <c r="AB384" s="151" t="n">
        <f aca="false">IF(ISNUMBER(B384),IF(L384&lt;AA384,J384*'13_Mapa_Liq'!$C$18,0),0)</f>
        <v>0</v>
      </c>
      <c r="AC384" s="151" t="str">
        <f aca="false">IF(ISNUMBER(B384),B384*(1-1/'13_Mapa_Liq'!$B$19+'13_Mapa_Liq'!$B$6),"")</f>
        <v/>
      </c>
      <c r="AD384" s="151" t="n">
        <f aca="false">IF(ISNUMBER(B384),IF(K384&gt;AC384,I384*'13_Mapa_Liq'!$C$19,0),0)</f>
        <v>0</v>
      </c>
      <c r="AE384" s="151" t="str">
        <f aca="false">IF(ISNUMBER(B384),B384*(1+1/'13_Mapa_Liq'!$B$19-'13_Mapa_Liq'!$B$6),"")</f>
        <v/>
      </c>
      <c r="AF384" s="151" t="n">
        <f aca="false">IF(ISNUMBER(B384),IF(L384&lt;AE384,J384*'13_Mapa_Liq'!$C$19,0),0)</f>
        <v>0</v>
      </c>
      <c r="AG384" s="151"/>
      <c r="AH384" s="151" t="n">
        <f aca="false">IF(ISNUMBER(B384),E384*F384*((K384&lt;=M384)*'13_Mapa_Liq'!$C$15+(K384&lt;=Q384)*'13_Mapa_Liq'!$C$16+(K384&lt;=U384)*'13_Mapa_Liq'!$C$17+(K384&lt;=Y384)*'13_Mapa_Liq'!$C$18+(K384&lt;=AC384)*'13_Mapa_Liq'!$C$19),0)</f>
        <v>0</v>
      </c>
      <c r="AI384" s="151" t="n">
        <f aca="false">IF(ISNUMBER(B384),E384*(1-F384)*((L384&gt;=O384)*'13_Mapa_Liq'!$C$15+(L384&gt;=S384)*'13_Mapa_Liq'!$C$16+(L384&gt;=W384)*'13_Mapa_Liq'!$C$17+(L384&gt;=AA384)*'13_Mapa_Liq'!$C$18+(L384&gt;=AE384)*'13_Mapa_Liq'!$C$19),0)</f>
        <v>0</v>
      </c>
    </row>
    <row r="385" customFormat="false" ht="15" hidden="false" customHeight="false" outlineLevel="0" collapsed="false">
      <c r="A385" s="151" t="str">
        <f aca="false">IF(ISNUMBER('12_Datos_5m'!F385),ROW()-4,"")</f>
        <v/>
      </c>
      <c r="B385" s="151" t="str">
        <f aca="false">IF(ISNUMBER('12_Datos_5m'!F385),'12_Datos_5m'!F385,"")</f>
        <v/>
      </c>
      <c r="C385" s="151" t="str">
        <f aca="false">IF(ISNUMBER('12_Datos_5m'!A385),'12_Datos_5m'!A385,"")</f>
        <v/>
      </c>
      <c r="D385" s="151" t="n">
        <f aca="false">IF(AND(ISNUMBER('12_Datos_5m'!I385),ISNUMBER('12_Datos_5m'!I384)),'12_Datos_5m'!I385-'12_Datos_5m'!I384,0)</f>
        <v>0</v>
      </c>
      <c r="E385" s="151" t="n">
        <f aca="false">MAX(0,D385)</f>
        <v>0</v>
      </c>
      <c r="F385" s="151" t="n">
        <f aca="false">IF(AND(ISNUMBER('12_Datos_5m'!G385),N('12_Datos_5m'!G385)&gt;0),'12_Datos_5m'!H385/'12_Datos_5m'!G385,0.5)</f>
        <v>0.5</v>
      </c>
      <c r="G385" s="151" t="n">
        <f aca="false">IF(ISNUMBER(C385),($C$2-C385)/3600000,0)</f>
        <v>0</v>
      </c>
      <c r="H385" s="151" t="n">
        <f aca="false">EXP(-G385/'13_Mapa_Liq'!$B$7)</f>
        <v>1</v>
      </c>
      <c r="I385" s="151" t="n">
        <f aca="false">E385*F385*H385</f>
        <v>0</v>
      </c>
      <c r="J385" s="151" t="n">
        <f aca="false">E385*(1-F385)*H385</f>
        <v>0</v>
      </c>
      <c r="K385" s="151" t="n">
        <f aca="false">IF(COUNT('12_Datos_5m'!E386:E$504)=0,1000000000000,MIN('12_Datos_5m'!E386:E$504))</f>
        <v>1000000000000</v>
      </c>
      <c r="L385" s="151" t="n">
        <f aca="false">IF(COUNT('12_Datos_5m'!D386:D$504)=0,0,MAX('12_Datos_5m'!D386:D$504))</f>
        <v>0</v>
      </c>
      <c r="M385" s="151" t="str">
        <f aca="false">IF(ISNUMBER(B385),B385*(1-1/'13_Mapa_Liq'!$B$15+'13_Mapa_Liq'!$B$6),"")</f>
        <v/>
      </c>
      <c r="N385" s="151" t="n">
        <f aca="false">IF(ISNUMBER(B385),IF(K385&gt;M385,I385*'13_Mapa_Liq'!$C$15,0),0)</f>
        <v>0</v>
      </c>
      <c r="O385" s="151" t="str">
        <f aca="false">IF(ISNUMBER(B385),B385*(1+1/'13_Mapa_Liq'!$B$15-'13_Mapa_Liq'!$B$6),"")</f>
        <v/>
      </c>
      <c r="P385" s="151" t="n">
        <f aca="false">IF(ISNUMBER(B385),IF(L385&lt;O385,J385*'13_Mapa_Liq'!$C$15,0),0)</f>
        <v>0</v>
      </c>
      <c r="Q385" s="151" t="str">
        <f aca="false">IF(ISNUMBER(B385),B385*(1-1/'13_Mapa_Liq'!$B$16+'13_Mapa_Liq'!$B$6),"")</f>
        <v/>
      </c>
      <c r="R385" s="151" t="n">
        <f aca="false">IF(ISNUMBER(B385),IF(K385&gt;Q385,I385*'13_Mapa_Liq'!$C$16,0),0)</f>
        <v>0</v>
      </c>
      <c r="S385" s="151" t="str">
        <f aca="false">IF(ISNUMBER(B385),B385*(1+1/'13_Mapa_Liq'!$B$16-'13_Mapa_Liq'!$B$6),"")</f>
        <v/>
      </c>
      <c r="T385" s="151" t="n">
        <f aca="false">IF(ISNUMBER(B385),IF(L385&lt;S385,J385*'13_Mapa_Liq'!$C$16,0),0)</f>
        <v>0</v>
      </c>
      <c r="U385" s="151" t="str">
        <f aca="false">IF(ISNUMBER(B385),B385*(1-1/'13_Mapa_Liq'!$B$17+'13_Mapa_Liq'!$B$6),"")</f>
        <v/>
      </c>
      <c r="V385" s="151" t="n">
        <f aca="false">IF(ISNUMBER(B385),IF(K385&gt;U385,I385*'13_Mapa_Liq'!$C$17,0),0)</f>
        <v>0</v>
      </c>
      <c r="W385" s="151" t="str">
        <f aca="false">IF(ISNUMBER(B385),B385*(1+1/'13_Mapa_Liq'!$B$17-'13_Mapa_Liq'!$B$6),"")</f>
        <v/>
      </c>
      <c r="X385" s="151" t="n">
        <f aca="false">IF(ISNUMBER(B385),IF(L385&lt;W385,J385*'13_Mapa_Liq'!$C$17,0),0)</f>
        <v>0</v>
      </c>
      <c r="Y385" s="151" t="str">
        <f aca="false">IF(ISNUMBER(B385),B385*(1-1/'13_Mapa_Liq'!$B$18+'13_Mapa_Liq'!$B$6),"")</f>
        <v/>
      </c>
      <c r="Z385" s="151" t="n">
        <f aca="false">IF(ISNUMBER(B385),IF(K385&gt;Y385,I385*'13_Mapa_Liq'!$C$18,0),0)</f>
        <v>0</v>
      </c>
      <c r="AA385" s="151" t="str">
        <f aca="false">IF(ISNUMBER(B385),B385*(1+1/'13_Mapa_Liq'!$B$18-'13_Mapa_Liq'!$B$6),"")</f>
        <v/>
      </c>
      <c r="AB385" s="151" t="n">
        <f aca="false">IF(ISNUMBER(B385),IF(L385&lt;AA385,J385*'13_Mapa_Liq'!$C$18,0),0)</f>
        <v>0</v>
      </c>
      <c r="AC385" s="151" t="str">
        <f aca="false">IF(ISNUMBER(B385),B385*(1-1/'13_Mapa_Liq'!$B$19+'13_Mapa_Liq'!$B$6),"")</f>
        <v/>
      </c>
      <c r="AD385" s="151" t="n">
        <f aca="false">IF(ISNUMBER(B385),IF(K385&gt;AC385,I385*'13_Mapa_Liq'!$C$19,0),0)</f>
        <v>0</v>
      </c>
      <c r="AE385" s="151" t="str">
        <f aca="false">IF(ISNUMBER(B385),B385*(1+1/'13_Mapa_Liq'!$B$19-'13_Mapa_Liq'!$B$6),"")</f>
        <v/>
      </c>
      <c r="AF385" s="151" t="n">
        <f aca="false">IF(ISNUMBER(B385),IF(L385&lt;AE385,J385*'13_Mapa_Liq'!$C$19,0),0)</f>
        <v>0</v>
      </c>
      <c r="AG385" s="151"/>
      <c r="AH385" s="151" t="n">
        <f aca="false">IF(ISNUMBER(B385),E385*F385*((K385&lt;=M385)*'13_Mapa_Liq'!$C$15+(K385&lt;=Q385)*'13_Mapa_Liq'!$C$16+(K385&lt;=U385)*'13_Mapa_Liq'!$C$17+(K385&lt;=Y385)*'13_Mapa_Liq'!$C$18+(K385&lt;=AC385)*'13_Mapa_Liq'!$C$19),0)</f>
        <v>0</v>
      </c>
      <c r="AI385" s="151" t="n">
        <f aca="false">IF(ISNUMBER(B385),E385*(1-F385)*((L385&gt;=O385)*'13_Mapa_Liq'!$C$15+(L385&gt;=S385)*'13_Mapa_Liq'!$C$16+(L385&gt;=W385)*'13_Mapa_Liq'!$C$17+(L385&gt;=AA385)*'13_Mapa_Liq'!$C$18+(L385&gt;=AE385)*'13_Mapa_Liq'!$C$19),0)</f>
        <v>0</v>
      </c>
    </row>
    <row r="386" customFormat="false" ht="15" hidden="false" customHeight="false" outlineLevel="0" collapsed="false">
      <c r="A386" s="151" t="str">
        <f aca="false">IF(ISNUMBER('12_Datos_5m'!F386),ROW()-4,"")</f>
        <v/>
      </c>
      <c r="B386" s="151" t="str">
        <f aca="false">IF(ISNUMBER('12_Datos_5m'!F386),'12_Datos_5m'!F386,"")</f>
        <v/>
      </c>
      <c r="C386" s="151" t="str">
        <f aca="false">IF(ISNUMBER('12_Datos_5m'!A386),'12_Datos_5m'!A386,"")</f>
        <v/>
      </c>
      <c r="D386" s="151" t="n">
        <f aca="false">IF(AND(ISNUMBER('12_Datos_5m'!I386),ISNUMBER('12_Datos_5m'!I385)),'12_Datos_5m'!I386-'12_Datos_5m'!I385,0)</f>
        <v>0</v>
      </c>
      <c r="E386" s="151" t="n">
        <f aca="false">MAX(0,D386)</f>
        <v>0</v>
      </c>
      <c r="F386" s="151" t="n">
        <f aca="false">IF(AND(ISNUMBER('12_Datos_5m'!G386),N('12_Datos_5m'!G386)&gt;0),'12_Datos_5m'!H386/'12_Datos_5m'!G386,0.5)</f>
        <v>0.5</v>
      </c>
      <c r="G386" s="151" t="n">
        <f aca="false">IF(ISNUMBER(C386),($C$2-C386)/3600000,0)</f>
        <v>0</v>
      </c>
      <c r="H386" s="151" t="n">
        <f aca="false">EXP(-G386/'13_Mapa_Liq'!$B$7)</f>
        <v>1</v>
      </c>
      <c r="I386" s="151" t="n">
        <f aca="false">E386*F386*H386</f>
        <v>0</v>
      </c>
      <c r="J386" s="151" t="n">
        <f aca="false">E386*(1-F386)*H386</f>
        <v>0</v>
      </c>
      <c r="K386" s="151" t="n">
        <f aca="false">IF(COUNT('12_Datos_5m'!E387:E$504)=0,1000000000000,MIN('12_Datos_5m'!E387:E$504))</f>
        <v>1000000000000</v>
      </c>
      <c r="L386" s="151" t="n">
        <f aca="false">IF(COUNT('12_Datos_5m'!D387:D$504)=0,0,MAX('12_Datos_5m'!D387:D$504))</f>
        <v>0</v>
      </c>
      <c r="M386" s="151" t="str">
        <f aca="false">IF(ISNUMBER(B386),B386*(1-1/'13_Mapa_Liq'!$B$15+'13_Mapa_Liq'!$B$6),"")</f>
        <v/>
      </c>
      <c r="N386" s="151" t="n">
        <f aca="false">IF(ISNUMBER(B386),IF(K386&gt;M386,I386*'13_Mapa_Liq'!$C$15,0),0)</f>
        <v>0</v>
      </c>
      <c r="O386" s="151" t="str">
        <f aca="false">IF(ISNUMBER(B386),B386*(1+1/'13_Mapa_Liq'!$B$15-'13_Mapa_Liq'!$B$6),"")</f>
        <v/>
      </c>
      <c r="P386" s="151" t="n">
        <f aca="false">IF(ISNUMBER(B386),IF(L386&lt;O386,J386*'13_Mapa_Liq'!$C$15,0),0)</f>
        <v>0</v>
      </c>
      <c r="Q386" s="151" t="str">
        <f aca="false">IF(ISNUMBER(B386),B386*(1-1/'13_Mapa_Liq'!$B$16+'13_Mapa_Liq'!$B$6),"")</f>
        <v/>
      </c>
      <c r="R386" s="151" t="n">
        <f aca="false">IF(ISNUMBER(B386),IF(K386&gt;Q386,I386*'13_Mapa_Liq'!$C$16,0),0)</f>
        <v>0</v>
      </c>
      <c r="S386" s="151" t="str">
        <f aca="false">IF(ISNUMBER(B386),B386*(1+1/'13_Mapa_Liq'!$B$16-'13_Mapa_Liq'!$B$6),"")</f>
        <v/>
      </c>
      <c r="T386" s="151" t="n">
        <f aca="false">IF(ISNUMBER(B386),IF(L386&lt;S386,J386*'13_Mapa_Liq'!$C$16,0),0)</f>
        <v>0</v>
      </c>
      <c r="U386" s="151" t="str">
        <f aca="false">IF(ISNUMBER(B386),B386*(1-1/'13_Mapa_Liq'!$B$17+'13_Mapa_Liq'!$B$6),"")</f>
        <v/>
      </c>
      <c r="V386" s="151" t="n">
        <f aca="false">IF(ISNUMBER(B386),IF(K386&gt;U386,I386*'13_Mapa_Liq'!$C$17,0),0)</f>
        <v>0</v>
      </c>
      <c r="W386" s="151" t="str">
        <f aca="false">IF(ISNUMBER(B386),B386*(1+1/'13_Mapa_Liq'!$B$17-'13_Mapa_Liq'!$B$6),"")</f>
        <v/>
      </c>
      <c r="X386" s="151" t="n">
        <f aca="false">IF(ISNUMBER(B386),IF(L386&lt;W386,J386*'13_Mapa_Liq'!$C$17,0),0)</f>
        <v>0</v>
      </c>
      <c r="Y386" s="151" t="str">
        <f aca="false">IF(ISNUMBER(B386),B386*(1-1/'13_Mapa_Liq'!$B$18+'13_Mapa_Liq'!$B$6),"")</f>
        <v/>
      </c>
      <c r="Z386" s="151" t="n">
        <f aca="false">IF(ISNUMBER(B386),IF(K386&gt;Y386,I386*'13_Mapa_Liq'!$C$18,0),0)</f>
        <v>0</v>
      </c>
      <c r="AA386" s="151" t="str">
        <f aca="false">IF(ISNUMBER(B386),B386*(1+1/'13_Mapa_Liq'!$B$18-'13_Mapa_Liq'!$B$6),"")</f>
        <v/>
      </c>
      <c r="AB386" s="151" t="n">
        <f aca="false">IF(ISNUMBER(B386),IF(L386&lt;AA386,J386*'13_Mapa_Liq'!$C$18,0),0)</f>
        <v>0</v>
      </c>
      <c r="AC386" s="151" t="str">
        <f aca="false">IF(ISNUMBER(B386),B386*(1-1/'13_Mapa_Liq'!$B$19+'13_Mapa_Liq'!$B$6),"")</f>
        <v/>
      </c>
      <c r="AD386" s="151" t="n">
        <f aca="false">IF(ISNUMBER(B386),IF(K386&gt;AC386,I386*'13_Mapa_Liq'!$C$19,0),0)</f>
        <v>0</v>
      </c>
      <c r="AE386" s="151" t="str">
        <f aca="false">IF(ISNUMBER(B386),B386*(1+1/'13_Mapa_Liq'!$B$19-'13_Mapa_Liq'!$B$6),"")</f>
        <v/>
      </c>
      <c r="AF386" s="151" t="n">
        <f aca="false">IF(ISNUMBER(B386),IF(L386&lt;AE386,J386*'13_Mapa_Liq'!$C$19,0),0)</f>
        <v>0</v>
      </c>
      <c r="AG386" s="151"/>
      <c r="AH386" s="151" t="n">
        <f aca="false">IF(ISNUMBER(B386),E386*F386*((K386&lt;=M386)*'13_Mapa_Liq'!$C$15+(K386&lt;=Q386)*'13_Mapa_Liq'!$C$16+(K386&lt;=U386)*'13_Mapa_Liq'!$C$17+(K386&lt;=Y386)*'13_Mapa_Liq'!$C$18+(K386&lt;=AC386)*'13_Mapa_Liq'!$C$19),0)</f>
        <v>0</v>
      </c>
      <c r="AI386" s="151" t="n">
        <f aca="false">IF(ISNUMBER(B386),E386*(1-F386)*((L386&gt;=O386)*'13_Mapa_Liq'!$C$15+(L386&gt;=S386)*'13_Mapa_Liq'!$C$16+(L386&gt;=W386)*'13_Mapa_Liq'!$C$17+(L386&gt;=AA386)*'13_Mapa_Liq'!$C$18+(L386&gt;=AE386)*'13_Mapa_Liq'!$C$19),0)</f>
        <v>0</v>
      </c>
    </row>
    <row r="387" customFormat="false" ht="15" hidden="false" customHeight="false" outlineLevel="0" collapsed="false">
      <c r="A387" s="151" t="str">
        <f aca="false">IF(ISNUMBER('12_Datos_5m'!F387),ROW()-4,"")</f>
        <v/>
      </c>
      <c r="B387" s="151" t="str">
        <f aca="false">IF(ISNUMBER('12_Datos_5m'!F387),'12_Datos_5m'!F387,"")</f>
        <v/>
      </c>
      <c r="C387" s="151" t="str">
        <f aca="false">IF(ISNUMBER('12_Datos_5m'!A387),'12_Datos_5m'!A387,"")</f>
        <v/>
      </c>
      <c r="D387" s="151" t="n">
        <f aca="false">IF(AND(ISNUMBER('12_Datos_5m'!I387),ISNUMBER('12_Datos_5m'!I386)),'12_Datos_5m'!I387-'12_Datos_5m'!I386,0)</f>
        <v>0</v>
      </c>
      <c r="E387" s="151" t="n">
        <f aca="false">MAX(0,D387)</f>
        <v>0</v>
      </c>
      <c r="F387" s="151" t="n">
        <f aca="false">IF(AND(ISNUMBER('12_Datos_5m'!G387),N('12_Datos_5m'!G387)&gt;0),'12_Datos_5m'!H387/'12_Datos_5m'!G387,0.5)</f>
        <v>0.5</v>
      </c>
      <c r="G387" s="151" t="n">
        <f aca="false">IF(ISNUMBER(C387),($C$2-C387)/3600000,0)</f>
        <v>0</v>
      </c>
      <c r="H387" s="151" t="n">
        <f aca="false">EXP(-G387/'13_Mapa_Liq'!$B$7)</f>
        <v>1</v>
      </c>
      <c r="I387" s="151" t="n">
        <f aca="false">E387*F387*H387</f>
        <v>0</v>
      </c>
      <c r="J387" s="151" t="n">
        <f aca="false">E387*(1-F387)*H387</f>
        <v>0</v>
      </c>
      <c r="K387" s="151" t="n">
        <f aca="false">IF(COUNT('12_Datos_5m'!E388:E$504)=0,1000000000000,MIN('12_Datos_5m'!E388:E$504))</f>
        <v>1000000000000</v>
      </c>
      <c r="L387" s="151" t="n">
        <f aca="false">IF(COUNT('12_Datos_5m'!D388:D$504)=0,0,MAX('12_Datos_5m'!D388:D$504))</f>
        <v>0</v>
      </c>
      <c r="M387" s="151" t="str">
        <f aca="false">IF(ISNUMBER(B387),B387*(1-1/'13_Mapa_Liq'!$B$15+'13_Mapa_Liq'!$B$6),"")</f>
        <v/>
      </c>
      <c r="N387" s="151" t="n">
        <f aca="false">IF(ISNUMBER(B387),IF(K387&gt;M387,I387*'13_Mapa_Liq'!$C$15,0),0)</f>
        <v>0</v>
      </c>
      <c r="O387" s="151" t="str">
        <f aca="false">IF(ISNUMBER(B387),B387*(1+1/'13_Mapa_Liq'!$B$15-'13_Mapa_Liq'!$B$6),"")</f>
        <v/>
      </c>
      <c r="P387" s="151" t="n">
        <f aca="false">IF(ISNUMBER(B387),IF(L387&lt;O387,J387*'13_Mapa_Liq'!$C$15,0),0)</f>
        <v>0</v>
      </c>
      <c r="Q387" s="151" t="str">
        <f aca="false">IF(ISNUMBER(B387),B387*(1-1/'13_Mapa_Liq'!$B$16+'13_Mapa_Liq'!$B$6),"")</f>
        <v/>
      </c>
      <c r="R387" s="151" t="n">
        <f aca="false">IF(ISNUMBER(B387),IF(K387&gt;Q387,I387*'13_Mapa_Liq'!$C$16,0),0)</f>
        <v>0</v>
      </c>
      <c r="S387" s="151" t="str">
        <f aca="false">IF(ISNUMBER(B387),B387*(1+1/'13_Mapa_Liq'!$B$16-'13_Mapa_Liq'!$B$6),"")</f>
        <v/>
      </c>
      <c r="T387" s="151" t="n">
        <f aca="false">IF(ISNUMBER(B387),IF(L387&lt;S387,J387*'13_Mapa_Liq'!$C$16,0),0)</f>
        <v>0</v>
      </c>
      <c r="U387" s="151" t="str">
        <f aca="false">IF(ISNUMBER(B387),B387*(1-1/'13_Mapa_Liq'!$B$17+'13_Mapa_Liq'!$B$6),"")</f>
        <v/>
      </c>
      <c r="V387" s="151" t="n">
        <f aca="false">IF(ISNUMBER(B387),IF(K387&gt;U387,I387*'13_Mapa_Liq'!$C$17,0),0)</f>
        <v>0</v>
      </c>
      <c r="W387" s="151" t="str">
        <f aca="false">IF(ISNUMBER(B387),B387*(1+1/'13_Mapa_Liq'!$B$17-'13_Mapa_Liq'!$B$6),"")</f>
        <v/>
      </c>
      <c r="X387" s="151" t="n">
        <f aca="false">IF(ISNUMBER(B387),IF(L387&lt;W387,J387*'13_Mapa_Liq'!$C$17,0),0)</f>
        <v>0</v>
      </c>
      <c r="Y387" s="151" t="str">
        <f aca="false">IF(ISNUMBER(B387),B387*(1-1/'13_Mapa_Liq'!$B$18+'13_Mapa_Liq'!$B$6),"")</f>
        <v/>
      </c>
      <c r="Z387" s="151" t="n">
        <f aca="false">IF(ISNUMBER(B387),IF(K387&gt;Y387,I387*'13_Mapa_Liq'!$C$18,0),0)</f>
        <v>0</v>
      </c>
      <c r="AA387" s="151" t="str">
        <f aca="false">IF(ISNUMBER(B387),B387*(1+1/'13_Mapa_Liq'!$B$18-'13_Mapa_Liq'!$B$6),"")</f>
        <v/>
      </c>
      <c r="AB387" s="151" t="n">
        <f aca="false">IF(ISNUMBER(B387),IF(L387&lt;AA387,J387*'13_Mapa_Liq'!$C$18,0),0)</f>
        <v>0</v>
      </c>
      <c r="AC387" s="151" t="str">
        <f aca="false">IF(ISNUMBER(B387),B387*(1-1/'13_Mapa_Liq'!$B$19+'13_Mapa_Liq'!$B$6),"")</f>
        <v/>
      </c>
      <c r="AD387" s="151" t="n">
        <f aca="false">IF(ISNUMBER(B387),IF(K387&gt;AC387,I387*'13_Mapa_Liq'!$C$19,0),0)</f>
        <v>0</v>
      </c>
      <c r="AE387" s="151" t="str">
        <f aca="false">IF(ISNUMBER(B387),B387*(1+1/'13_Mapa_Liq'!$B$19-'13_Mapa_Liq'!$B$6),"")</f>
        <v/>
      </c>
      <c r="AF387" s="151" t="n">
        <f aca="false">IF(ISNUMBER(B387),IF(L387&lt;AE387,J387*'13_Mapa_Liq'!$C$19,0),0)</f>
        <v>0</v>
      </c>
      <c r="AG387" s="151"/>
      <c r="AH387" s="151" t="n">
        <f aca="false">IF(ISNUMBER(B387),E387*F387*((K387&lt;=M387)*'13_Mapa_Liq'!$C$15+(K387&lt;=Q387)*'13_Mapa_Liq'!$C$16+(K387&lt;=U387)*'13_Mapa_Liq'!$C$17+(K387&lt;=Y387)*'13_Mapa_Liq'!$C$18+(K387&lt;=AC387)*'13_Mapa_Liq'!$C$19),0)</f>
        <v>0</v>
      </c>
      <c r="AI387" s="151" t="n">
        <f aca="false">IF(ISNUMBER(B387),E387*(1-F387)*((L387&gt;=O387)*'13_Mapa_Liq'!$C$15+(L387&gt;=S387)*'13_Mapa_Liq'!$C$16+(L387&gt;=W387)*'13_Mapa_Liq'!$C$17+(L387&gt;=AA387)*'13_Mapa_Liq'!$C$18+(L387&gt;=AE387)*'13_Mapa_Liq'!$C$19),0)</f>
        <v>0</v>
      </c>
    </row>
    <row r="388" customFormat="false" ht="15" hidden="false" customHeight="false" outlineLevel="0" collapsed="false">
      <c r="A388" s="151" t="str">
        <f aca="false">IF(ISNUMBER('12_Datos_5m'!F388),ROW()-4,"")</f>
        <v/>
      </c>
      <c r="B388" s="151" t="str">
        <f aca="false">IF(ISNUMBER('12_Datos_5m'!F388),'12_Datos_5m'!F388,"")</f>
        <v/>
      </c>
      <c r="C388" s="151" t="str">
        <f aca="false">IF(ISNUMBER('12_Datos_5m'!A388),'12_Datos_5m'!A388,"")</f>
        <v/>
      </c>
      <c r="D388" s="151" t="n">
        <f aca="false">IF(AND(ISNUMBER('12_Datos_5m'!I388),ISNUMBER('12_Datos_5m'!I387)),'12_Datos_5m'!I388-'12_Datos_5m'!I387,0)</f>
        <v>0</v>
      </c>
      <c r="E388" s="151" t="n">
        <f aca="false">MAX(0,D388)</f>
        <v>0</v>
      </c>
      <c r="F388" s="151" t="n">
        <f aca="false">IF(AND(ISNUMBER('12_Datos_5m'!G388),N('12_Datos_5m'!G388)&gt;0),'12_Datos_5m'!H388/'12_Datos_5m'!G388,0.5)</f>
        <v>0.5</v>
      </c>
      <c r="G388" s="151" t="n">
        <f aca="false">IF(ISNUMBER(C388),($C$2-C388)/3600000,0)</f>
        <v>0</v>
      </c>
      <c r="H388" s="151" t="n">
        <f aca="false">EXP(-G388/'13_Mapa_Liq'!$B$7)</f>
        <v>1</v>
      </c>
      <c r="I388" s="151" t="n">
        <f aca="false">E388*F388*H388</f>
        <v>0</v>
      </c>
      <c r="J388" s="151" t="n">
        <f aca="false">E388*(1-F388)*H388</f>
        <v>0</v>
      </c>
      <c r="K388" s="151" t="n">
        <f aca="false">IF(COUNT('12_Datos_5m'!E389:E$504)=0,1000000000000,MIN('12_Datos_5m'!E389:E$504))</f>
        <v>1000000000000</v>
      </c>
      <c r="L388" s="151" t="n">
        <f aca="false">IF(COUNT('12_Datos_5m'!D389:D$504)=0,0,MAX('12_Datos_5m'!D389:D$504))</f>
        <v>0</v>
      </c>
      <c r="M388" s="151" t="str">
        <f aca="false">IF(ISNUMBER(B388),B388*(1-1/'13_Mapa_Liq'!$B$15+'13_Mapa_Liq'!$B$6),"")</f>
        <v/>
      </c>
      <c r="N388" s="151" t="n">
        <f aca="false">IF(ISNUMBER(B388),IF(K388&gt;M388,I388*'13_Mapa_Liq'!$C$15,0),0)</f>
        <v>0</v>
      </c>
      <c r="O388" s="151" t="str">
        <f aca="false">IF(ISNUMBER(B388),B388*(1+1/'13_Mapa_Liq'!$B$15-'13_Mapa_Liq'!$B$6),"")</f>
        <v/>
      </c>
      <c r="P388" s="151" t="n">
        <f aca="false">IF(ISNUMBER(B388),IF(L388&lt;O388,J388*'13_Mapa_Liq'!$C$15,0),0)</f>
        <v>0</v>
      </c>
      <c r="Q388" s="151" t="str">
        <f aca="false">IF(ISNUMBER(B388),B388*(1-1/'13_Mapa_Liq'!$B$16+'13_Mapa_Liq'!$B$6),"")</f>
        <v/>
      </c>
      <c r="R388" s="151" t="n">
        <f aca="false">IF(ISNUMBER(B388),IF(K388&gt;Q388,I388*'13_Mapa_Liq'!$C$16,0),0)</f>
        <v>0</v>
      </c>
      <c r="S388" s="151" t="str">
        <f aca="false">IF(ISNUMBER(B388),B388*(1+1/'13_Mapa_Liq'!$B$16-'13_Mapa_Liq'!$B$6),"")</f>
        <v/>
      </c>
      <c r="T388" s="151" t="n">
        <f aca="false">IF(ISNUMBER(B388),IF(L388&lt;S388,J388*'13_Mapa_Liq'!$C$16,0),0)</f>
        <v>0</v>
      </c>
      <c r="U388" s="151" t="str">
        <f aca="false">IF(ISNUMBER(B388),B388*(1-1/'13_Mapa_Liq'!$B$17+'13_Mapa_Liq'!$B$6),"")</f>
        <v/>
      </c>
      <c r="V388" s="151" t="n">
        <f aca="false">IF(ISNUMBER(B388),IF(K388&gt;U388,I388*'13_Mapa_Liq'!$C$17,0),0)</f>
        <v>0</v>
      </c>
      <c r="W388" s="151" t="str">
        <f aca="false">IF(ISNUMBER(B388),B388*(1+1/'13_Mapa_Liq'!$B$17-'13_Mapa_Liq'!$B$6),"")</f>
        <v/>
      </c>
      <c r="X388" s="151" t="n">
        <f aca="false">IF(ISNUMBER(B388),IF(L388&lt;W388,J388*'13_Mapa_Liq'!$C$17,0),0)</f>
        <v>0</v>
      </c>
      <c r="Y388" s="151" t="str">
        <f aca="false">IF(ISNUMBER(B388),B388*(1-1/'13_Mapa_Liq'!$B$18+'13_Mapa_Liq'!$B$6),"")</f>
        <v/>
      </c>
      <c r="Z388" s="151" t="n">
        <f aca="false">IF(ISNUMBER(B388),IF(K388&gt;Y388,I388*'13_Mapa_Liq'!$C$18,0),0)</f>
        <v>0</v>
      </c>
      <c r="AA388" s="151" t="str">
        <f aca="false">IF(ISNUMBER(B388),B388*(1+1/'13_Mapa_Liq'!$B$18-'13_Mapa_Liq'!$B$6),"")</f>
        <v/>
      </c>
      <c r="AB388" s="151" t="n">
        <f aca="false">IF(ISNUMBER(B388),IF(L388&lt;AA388,J388*'13_Mapa_Liq'!$C$18,0),0)</f>
        <v>0</v>
      </c>
      <c r="AC388" s="151" t="str">
        <f aca="false">IF(ISNUMBER(B388),B388*(1-1/'13_Mapa_Liq'!$B$19+'13_Mapa_Liq'!$B$6),"")</f>
        <v/>
      </c>
      <c r="AD388" s="151" t="n">
        <f aca="false">IF(ISNUMBER(B388),IF(K388&gt;AC388,I388*'13_Mapa_Liq'!$C$19,0),0)</f>
        <v>0</v>
      </c>
      <c r="AE388" s="151" t="str">
        <f aca="false">IF(ISNUMBER(B388),B388*(1+1/'13_Mapa_Liq'!$B$19-'13_Mapa_Liq'!$B$6),"")</f>
        <v/>
      </c>
      <c r="AF388" s="151" t="n">
        <f aca="false">IF(ISNUMBER(B388),IF(L388&lt;AE388,J388*'13_Mapa_Liq'!$C$19,0),0)</f>
        <v>0</v>
      </c>
      <c r="AG388" s="151"/>
      <c r="AH388" s="151" t="n">
        <f aca="false">IF(ISNUMBER(B388),E388*F388*((K388&lt;=M388)*'13_Mapa_Liq'!$C$15+(K388&lt;=Q388)*'13_Mapa_Liq'!$C$16+(K388&lt;=U388)*'13_Mapa_Liq'!$C$17+(K388&lt;=Y388)*'13_Mapa_Liq'!$C$18+(K388&lt;=AC388)*'13_Mapa_Liq'!$C$19),0)</f>
        <v>0</v>
      </c>
      <c r="AI388" s="151" t="n">
        <f aca="false">IF(ISNUMBER(B388),E388*(1-F388)*((L388&gt;=O388)*'13_Mapa_Liq'!$C$15+(L388&gt;=S388)*'13_Mapa_Liq'!$C$16+(L388&gt;=W388)*'13_Mapa_Liq'!$C$17+(L388&gt;=AA388)*'13_Mapa_Liq'!$C$18+(L388&gt;=AE388)*'13_Mapa_Liq'!$C$19),0)</f>
        <v>0</v>
      </c>
    </row>
    <row r="389" customFormat="false" ht="15" hidden="false" customHeight="false" outlineLevel="0" collapsed="false">
      <c r="A389" s="151" t="str">
        <f aca="false">IF(ISNUMBER('12_Datos_5m'!F389),ROW()-4,"")</f>
        <v/>
      </c>
      <c r="B389" s="151" t="str">
        <f aca="false">IF(ISNUMBER('12_Datos_5m'!F389),'12_Datos_5m'!F389,"")</f>
        <v/>
      </c>
      <c r="C389" s="151" t="str">
        <f aca="false">IF(ISNUMBER('12_Datos_5m'!A389),'12_Datos_5m'!A389,"")</f>
        <v/>
      </c>
      <c r="D389" s="151" t="n">
        <f aca="false">IF(AND(ISNUMBER('12_Datos_5m'!I389),ISNUMBER('12_Datos_5m'!I388)),'12_Datos_5m'!I389-'12_Datos_5m'!I388,0)</f>
        <v>0</v>
      </c>
      <c r="E389" s="151" t="n">
        <f aca="false">MAX(0,D389)</f>
        <v>0</v>
      </c>
      <c r="F389" s="151" t="n">
        <f aca="false">IF(AND(ISNUMBER('12_Datos_5m'!G389),N('12_Datos_5m'!G389)&gt;0),'12_Datos_5m'!H389/'12_Datos_5m'!G389,0.5)</f>
        <v>0.5</v>
      </c>
      <c r="G389" s="151" t="n">
        <f aca="false">IF(ISNUMBER(C389),($C$2-C389)/3600000,0)</f>
        <v>0</v>
      </c>
      <c r="H389" s="151" t="n">
        <f aca="false">EXP(-G389/'13_Mapa_Liq'!$B$7)</f>
        <v>1</v>
      </c>
      <c r="I389" s="151" t="n">
        <f aca="false">E389*F389*H389</f>
        <v>0</v>
      </c>
      <c r="J389" s="151" t="n">
        <f aca="false">E389*(1-F389)*H389</f>
        <v>0</v>
      </c>
      <c r="K389" s="151" t="n">
        <f aca="false">IF(COUNT('12_Datos_5m'!E390:E$504)=0,1000000000000,MIN('12_Datos_5m'!E390:E$504))</f>
        <v>1000000000000</v>
      </c>
      <c r="L389" s="151" t="n">
        <f aca="false">IF(COUNT('12_Datos_5m'!D390:D$504)=0,0,MAX('12_Datos_5m'!D390:D$504))</f>
        <v>0</v>
      </c>
      <c r="M389" s="151" t="str">
        <f aca="false">IF(ISNUMBER(B389),B389*(1-1/'13_Mapa_Liq'!$B$15+'13_Mapa_Liq'!$B$6),"")</f>
        <v/>
      </c>
      <c r="N389" s="151" t="n">
        <f aca="false">IF(ISNUMBER(B389),IF(K389&gt;M389,I389*'13_Mapa_Liq'!$C$15,0),0)</f>
        <v>0</v>
      </c>
      <c r="O389" s="151" t="str">
        <f aca="false">IF(ISNUMBER(B389),B389*(1+1/'13_Mapa_Liq'!$B$15-'13_Mapa_Liq'!$B$6),"")</f>
        <v/>
      </c>
      <c r="P389" s="151" t="n">
        <f aca="false">IF(ISNUMBER(B389),IF(L389&lt;O389,J389*'13_Mapa_Liq'!$C$15,0),0)</f>
        <v>0</v>
      </c>
      <c r="Q389" s="151" t="str">
        <f aca="false">IF(ISNUMBER(B389),B389*(1-1/'13_Mapa_Liq'!$B$16+'13_Mapa_Liq'!$B$6),"")</f>
        <v/>
      </c>
      <c r="R389" s="151" t="n">
        <f aca="false">IF(ISNUMBER(B389),IF(K389&gt;Q389,I389*'13_Mapa_Liq'!$C$16,0),0)</f>
        <v>0</v>
      </c>
      <c r="S389" s="151" t="str">
        <f aca="false">IF(ISNUMBER(B389),B389*(1+1/'13_Mapa_Liq'!$B$16-'13_Mapa_Liq'!$B$6),"")</f>
        <v/>
      </c>
      <c r="T389" s="151" t="n">
        <f aca="false">IF(ISNUMBER(B389),IF(L389&lt;S389,J389*'13_Mapa_Liq'!$C$16,0),0)</f>
        <v>0</v>
      </c>
      <c r="U389" s="151" t="str">
        <f aca="false">IF(ISNUMBER(B389),B389*(1-1/'13_Mapa_Liq'!$B$17+'13_Mapa_Liq'!$B$6),"")</f>
        <v/>
      </c>
      <c r="V389" s="151" t="n">
        <f aca="false">IF(ISNUMBER(B389),IF(K389&gt;U389,I389*'13_Mapa_Liq'!$C$17,0),0)</f>
        <v>0</v>
      </c>
      <c r="W389" s="151" t="str">
        <f aca="false">IF(ISNUMBER(B389),B389*(1+1/'13_Mapa_Liq'!$B$17-'13_Mapa_Liq'!$B$6),"")</f>
        <v/>
      </c>
      <c r="X389" s="151" t="n">
        <f aca="false">IF(ISNUMBER(B389),IF(L389&lt;W389,J389*'13_Mapa_Liq'!$C$17,0),0)</f>
        <v>0</v>
      </c>
      <c r="Y389" s="151" t="str">
        <f aca="false">IF(ISNUMBER(B389),B389*(1-1/'13_Mapa_Liq'!$B$18+'13_Mapa_Liq'!$B$6),"")</f>
        <v/>
      </c>
      <c r="Z389" s="151" t="n">
        <f aca="false">IF(ISNUMBER(B389),IF(K389&gt;Y389,I389*'13_Mapa_Liq'!$C$18,0),0)</f>
        <v>0</v>
      </c>
      <c r="AA389" s="151" t="str">
        <f aca="false">IF(ISNUMBER(B389),B389*(1+1/'13_Mapa_Liq'!$B$18-'13_Mapa_Liq'!$B$6),"")</f>
        <v/>
      </c>
      <c r="AB389" s="151" t="n">
        <f aca="false">IF(ISNUMBER(B389),IF(L389&lt;AA389,J389*'13_Mapa_Liq'!$C$18,0),0)</f>
        <v>0</v>
      </c>
      <c r="AC389" s="151" t="str">
        <f aca="false">IF(ISNUMBER(B389),B389*(1-1/'13_Mapa_Liq'!$B$19+'13_Mapa_Liq'!$B$6),"")</f>
        <v/>
      </c>
      <c r="AD389" s="151" t="n">
        <f aca="false">IF(ISNUMBER(B389),IF(K389&gt;AC389,I389*'13_Mapa_Liq'!$C$19,0),0)</f>
        <v>0</v>
      </c>
      <c r="AE389" s="151" t="str">
        <f aca="false">IF(ISNUMBER(B389),B389*(1+1/'13_Mapa_Liq'!$B$19-'13_Mapa_Liq'!$B$6),"")</f>
        <v/>
      </c>
      <c r="AF389" s="151" t="n">
        <f aca="false">IF(ISNUMBER(B389),IF(L389&lt;AE389,J389*'13_Mapa_Liq'!$C$19,0),0)</f>
        <v>0</v>
      </c>
      <c r="AG389" s="151"/>
      <c r="AH389" s="151" t="n">
        <f aca="false">IF(ISNUMBER(B389),E389*F389*((K389&lt;=M389)*'13_Mapa_Liq'!$C$15+(K389&lt;=Q389)*'13_Mapa_Liq'!$C$16+(K389&lt;=U389)*'13_Mapa_Liq'!$C$17+(K389&lt;=Y389)*'13_Mapa_Liq'!$C$18+(K389&lt;=AC389)*'13_Mapa_Liq'!$C$19),0)</f>
        <v>0</v>
      </c>
      <c r="AI389" s="151" t="n">
        <f aca="false">IF(ISNUMBER(B389),E389*(1-F389)*((L389&gt;=O389)*'13_Mapa_Liq'!$C$15+(L389&gt;=S389)*'13_Mapa_Liq'!$C$16+(L389&gt;=W389)*'13_Mapa_Liq'!$C$17+(L389&gt;=AA389)*'13_Mapa_Liq'!$C$18+(L389&gt;=AE389)*'13_Mapa_Liq'!$C$19),0)</f>
        <v>0</v>
      </c>
    </row>
    <row r="390" customFormat="false" ht="15" hidden="false" customHeight="false" outlineLevel="0" collapsed="false">
      <c r="A390" s="151" t="str">
        <f aca="false">IF(ISNUMBER('12_Datos_5m'!F390),ROW()-4,"")</f>
        <v/>
      </c>
      <c r="B390" s="151" t="str">
        <f aca="false">IF(ISNUMBER('12_Datos_5m'!F390),'12_Datos_5m'!F390,"")</f>
        <v/>
      </c>
      <c r="C390" s="151" t="str">
        <f aca="false">IF(ISNUMBER('12_Datos_5m'!A390),'12_Datos_5m'!A390,"")</f>
        <v/>
      </c>
      <c r="D390" s="151" t="n">
        <f aca="false">IF(AND(ISNUMBER('12_Datos_5m'!I390),ISNUMBER('12_Datos_5m'!I389)),'12_Datos_5m'!I390-'12_Datos_5m'!I389,0)</f>
        <v>0</v>
      </c>
      <c r="E390" s="151" t="n">
        <f aca="false">MAX(0,D390)</f>
        <v>0</v>
      </c>
      <c r="F390" s="151" t="n">
        <f aca="false">IF(AND(ISNUMBER('12_Datos_5m'!G390),N('12_Datos_5m'!G390)&gt;0),'12_Datos_5m'!H390/'12_Datos_5m'!G390,0.5)</f>
        <v>0.5</v>
      </c>
      <c r="G390" s="151" t="n">
        <f aca="false">IF(ISNUMBER(C390),($C$2-C390)/3600000,0)</f>
        <v>0</v>
      </c>
      <c r="H390" s="151" t="n">
        <f aca="false">EXP(-G390/'13_Mapa_Liq'!$B$7)</f>
        <v>1</v>
      </c>
      <c r="I390" s="151" t="n">
        <f aca="false">E390*F390*H390</f>
        <v>0</v>
      </c>
      <c r="J390" s="151" t="n">
        <f aca="false">E390*(1-F390)*H390</f>
        <v>0</v>
      </c>
      <c r="K390" s="151" t="n">
        <f aca="false">IF(COUNT('12_Datos_5m'!E391:E$504)=0,1000000000000,MIN('12_Datos_5m'!E391:E$504))</f>
        <v>1000000000000</v>
      </c>
      <c r="L390" s="151" t="n">
        <f aca="false">IF(COUNT('12_Datos_5m'!D391:D$504)=0,0,MAX('12_Datos_5m'!D391:D$504))</f>
        <v>0</v>
      </c>
      <c r="M390" s="151" t="str">
        <f aca="false">IF(ISNUMBER(B390),B390*(1-1/'13_Mapa_Liq'!$B$15+'13_Mapa_Liq'!$B$6),"")</f>
        <v/>
      </c>
      <c r="N390" s="151" t="n">
        <f aca="false">IF(ISNUMBER(B390),IF(K390&gt;M390,I390*'13_Mapa_Liq'!$C$15,0),0)</f>
        <v>0</v>
      </c>
      <c r="O390" s="151" t="str">
        <f aca="false">IF(ISNUMBER(B390),B390*(1+1/'13_Mapa_Liq'!$B$15-'13_Mapa_Liq'!$B$6),"")</f>
        <v/>
      </c>
      <c r="P390" s="151" t="n">
        <f aca="false">IF(ISNUMBER(B390),IF(L390&lt;O390,J390*'13_Mapa_Liq'!$C$15,0),0)</f>
        <v>0</v>
      </c>
      <c r="Q390" s="151" t="str">
        <f aca="false">IF(ISNUMBER(B390),B390*(1-1/'13_Mapa_Liq'!$B$16+'13_Mapa_Liq'!$B$6),"")</f>
        <v/>
      </c>
      <c r="R390" s="151" t="n">
        <f aca="false">IF(ISNUMBER(B390),IF(K390&gt;Q390,I390*'13_Mapa_Liq'!$C$16,0),0)</f>
        <v>0</v>
      </c>
      <c r="S390" s="151" t="str">
        <f aca="false">IF(ISNUMBER(B390),B390*(1+1/'13_Mapa_Liq'!$B$16-'13_Mapa_Liq'!$B$6),"")</f>
        <v/>
      </c>
      <c r="T390" s="151" t="n">
        <f aca="false">IF(ISNUMBER(B390),IF(L390&lt;S390,J390*'13_Mapa_Liq'!$C$16,0),0)</f>
        <v>0</v>
      </c>
      <c r="U390" s="151" t="str">
        <f aca="false">IF(ISNUMBER(B390),B390*(1-1/'13_Mapa_Liq'!$B$17+'13_Mapa_Liq'!$B$6),"")</f>
        <v/>
      </c>
      <c r="V390" s="151" t="n">
        <f aca="false">IF(ISNUMBER(B390),IF(K390&gt;U390,I390*'13_Mapa_Liq'!$C$17,0),0)</f>
        <v>0</v>
      </c>
      <c r="W390" s="151" t="str">
        <f aca="false">IF(ISNUMBER(B390),B390*(1+1/'13_Mapa_Liq'!$B$17-'13_Mapa_Liq'!$B$6),"")</f>
        <v/>
      </c>
      <c r="X390" s="151" t="n">
        <f aca="false">IF(ISNUMBER(B390),IF(L390&lt;W390,J390*'13_Mapa_Liq'!$C$17,0),0)</f>
        <v>0</v>
      </c>
      <c r="Y390" s="151" t="str">
        <f aca="false">IF(ISNUMBER(B390),B390*(1-1/'13_Mapa_Liq'!$B$18+'13_Mapa_Liq'!$B$6),"")</f>
        <v/>
      </c>
      <c r="Z390" s="151" t="n">
        <f aca="false">IF(ISNUMBER(B390),IF(K390&gt;Y390,I390*'13_Mapa_Liq'!$C$18,0),0)</f>
        <v>0</v>
      </c>
      <c r="AA390" s="151" t="str">
        <f aca="false">IF(ISNUMBER(B390),B390*(1+1/'13_Mapa_Liq'!$B$18-'13_Mapa_Liq'!$B$6),"")</f>
        <v/>
      </c>
      <c r="AB390" s="151" t="n">
        <f aca="false">IF(ISNUMBER(B390),IF(L390&lt;AA390,J390*'13_Mapa_Liq'!$C$18,0),0)</f>
        <v>0</v>
      </c>
      <c r="AC390" s="151" t="str">
        <f aca="false">IF(ISNUMBER(B390),B390*(1-1/'13_Mapa_Liq'!$B$19+'13_Mapa_Liq'!$B$6),"")</f>
        <v/>
      </c>
      <c r="AD390" s="151" t="n">
        <f aca="false">IF(ISNUMBER(B390),IF(K390&gt;AC390,I390*'13_Mapa_Liq'!$C$19,0),0)</f>
        <v>0</v>
      </c>
      <c r="AE390" s="151" t="str">
        <f aca="false">IF(ISNUMBER(B390),B390*(1+1/'13_Mapa_Liq'!$B$19-'13_Mapa_Liq'!$B$6),"")</f>
        <v/>
      </c>
      <c r="AF390" s="151" t="n">
        <f aca="false">IF(ISNUMBER(B390),IF(L390&lt;AE390,J390*'13_Mapa_Liq'!$C$19,0),0)</f>
        <v>0</v>
      </c>
      <c r="AG390" s="151"/>
      <c r="AH390" s="151" t="n">
        <f aca="false">IF(ISNUMBER(B390),E390*F390*((K390&lt;=M390)*'13_Mapa_Liq'!$C$15+(K390&lt;=Q390)*'13_Mapa_Liq'!$C$16+(K390&lt;=U390)*'13_Mapa_Liq'!$C$17+(K390&lt;=Y390)*'13_Mapa_Liq'!$C$18+(K390&lt;=AC390)*'13_Mapa_Liq'!$C$19),0)</f>
        <v>0</v>
      </c>
      <c r="AI390" s="151" t="n">
        <f aca="false">IF(ISNUMBER(B390),E390*(1-F390)*((L390&gt;=O390)*'13_Mapa_Liq'!$C$15+(L390&gt;=S390)*'13_Mapa_Liq'!$C$16+(L390&gt;=W390)*'13_Mapa_Liq'!$C$17+(L390&gt;=AA390)*'13_Mapa_Liq'!$C$18+(L390&gt;=AE390)*'13_Mapa_Liq'!$C$19),0)</f>
        <v>0</v>
      </c>
    </row>
    <row r="391" customFormat="false" ht="15" hidden="false" customHeight="false" outlineLevel="0" collapsed="false">
      <c r="A391" s="151" t="str">
        <f aca="false">IF(ISNUMBER('12_Datos_5m'!F391),ROW()-4,"")</f>
        <v/>
      </c>
      <c r="B391" s="151" t="str">
        <f aca="false">IF(ISNUMBER('12_Datos_5m'!F391),'12_Datos_5m'!F391,"")</f>
        <v/>
      </c>
      <c r="C391" s="151" t="str">
        <f aca="false">IF(ISNUMBER('12_Datos_5m'!A391),'12_Datos_5m'!A391,"")</f>
        <v/>
      </c>
      <c r="D391" s="151" t="n">
        <f aca="false">IF(AND(ISNUMBER('12_Datos_5m'!I391),ISNUMBER('12_Datos_5m'!I390)),'12_Datos_5m'!I391-'12_Datos_5m'!I390,0)</f>
        <v>0</v>
      </c>
      <c r="E391" s="151" t="n">
        <f aca="false">MAX(0,D391)</f>
        <v>0</v>
      </c>
      <c r="F391" s="151" t="n">
        <f aca="false">IF(AND(ISNUMBER('12_Datos_5m'!G391),N('12_Datos_5m'!G391)&gt;0),'12_Datos_5m'!H391/'12_Datos_5m'!G391,0.5)</f>
        <v>0.5</v>
      </c>
      <c r="G391" s="151" t="n">
        <f aca="false">IF(ISNUMBER(C391),($C$2-C391)/3600000,0)</f>
        <v>0</v>
      </c>
      <c r="H391" s="151" t="n">
        <f aca="false">EXP(-G391/'13_Mapa_Liq'!$B$7)</f>
        <v>1</v>
      </c>
      <c r="I391" s="151" t="n">
        <f aca="false">E391*F391*H391</f>
        <v>0</v>
      </c>
      <c r="J391" s="151" t="n">
        <f aca="false">E391*(1-F391)*H391</f>
        <v>0</v>
      </c>
      <c r="K391" s="151" t="n">
        <f aca="false">IF(COUNT('12_Datos_5m'!E392:E$504)=0,1000000000000,MIN('12_Datos_5m'!E392:E$504))</f>
        <v>1000000000000</v>
      </c>
      <c r="L391" s="151" t="n">
        <f aca="false">IF(COUNT('12_Datos_5m'!D392:D$504)=0,0,MAX('12_Datos_5m'!D392:D$504))</f>
        <v>0</v>
      </c>
      <c r="M391" s="151" t="str">
        <f aca="false">IF(ISNUMBER(B391),B391*(1-1/'13_Mapa_Liq'!$B$15+'13_Mapa_Liq'!$B$6),"")</f>
        <v/>
      </c>
      <c r="N391" s="151" t="n">
        <f aca="false">IF(ISNUMBER(B391),IF(K391&gt;M391,I391*'13_Mapa_Liq'!$C$15,0),0)</f>
        <v>0</v>
      </c>
      <c r="O391" s="151" t="str">
        <f aca="false">IF(ISNUMBER(B391),B391*(1+1/'13_Mapa_Liq'!$B$15-'13_Mapa_Liq'!$B$6),"")</f>
        <v/>
      </c>
      <c r="P391" s="151" t="n">
        <f aca="false">IF(ISNUMBER(B391),IF(L391&lt;O391,J391*'13_Mapa_Liq'!$C$15,0),0)</f>
        <v>0</v>
      </c>
      <c r="Q391" s="151" t="str">
        <f aca="false">IF(ISNUMBER(B391),B391*(1-1/'13_Mapa_Liq'!$B$16+'13_Mapa_Liq'!$B$6),"")</f>
        <v/>
      </c>
      <c r="R391" s="151" t="n">
        <f aca="false">IF(ISNUMBER(B391),IF(K391&gt;Q391,I391*'13_Mapa_Liq'!$C$16,0),0)</f>
        <v>0</v>
      </c>
      <c r="S391" s="151" t="str">
        <f aca="false">IF(ISNUMBER(B391),B391*(1+1/'13_Mapa_Liq'!$B$16-'13_Mapa_Liq'!$B$6),"")</f>
        <v/>
      </c>
      <c r="T391" s="151" t="n">
        <f aca="false">IF(ISNUMBER(B391),IF(L391&lt;S391,J391*'13_Mapa_Liq'!$C$16,0),0)</f>
        <v>0</v>
      </c>
      <c r="U391" s="151" t="str">
        <f aca="false">IF(ISNUMBER(B391),B391*(1-1/'13_Mapa_Liq'!$B$17+'13_Mapa_Liq'!$B$6),"")</f>
        <v/>
      </c>
      <c r="V391" s="151" t="n">
        <f aca="false">IF(ISNUMBER(B391),IF(K391&gt;U391,I391*'13_Mapa_Liq'!$C$17,0),0)</f>
        <v>0</v>
      </c>
      <c r="W391" s="151" t="str">
        <f aca="false">IF(ISNUMBER(B391),B391*(1+1/'13_Mapa_Liq'!$B$17-'13_Mapa_Liq'!$B$6),"")</f>
        <v/>
      </c>
      <c r="X391" s="151" t="n">
        <f aca="false">IF(ISNUMBER(B391),IF(L391&lt;W391,J391*'13_Mapa_Liq'!$C$17,0),0)</f>
        <v>0</v>
      </c>
      <c r="Y391" s="151" t="str">
        <f aca="false">IF(ISNUMBER(B391),B391*(1-1/'13_Mapa_Liq'!$B$18+'13_Mapa_Liq'!$B$6),"")</f>
        <v/>
      </c>
      <c r="Z391" s="151" t="n">
        <f aca="false">IF(ISNUMBER(B391),IF(K391&gt;Y391,I391*'13_Mapa_Liq'!$C$18,0),0)</f>
        <v>0</v>
      </c>
      <c r="AA391" s="151" t="str">
        <f aca="false">IF(ISNUMBER(B391),B391*(1+1/'13_Mapa_Liq'!$B$18-'13_Mapa_Liq'!$B$6),"")</f>
        <v/>
      </c>
      <c r="AB391" s="151" t="n">
        <f aca="false">IF(ISNUMBER(B391),IF(L391&lt;AA391,J391*'13_Mapa_Liq'!$C$18,0),0)</f>
        <v>0</v>
      </c>
      <c r="AC391" s="151" t="str">
        <f aca="false">IF(ISNUMBER(B391),B391*(1-1/'13_Mapa_Liq'!$B$19+'13_Mapa_Liq'!$B$6),"")</f>
        <v/>
      </c>
      <c r="AD391" s="151" t="n">
        <f aca="false">IF(ISNUMBER(B391),IF(K391&gt;AC391,I391*'13_Mapa_Liq'!$C$19,0),0)</f>
        <v>0</v>
      </c>
      <c r="AE391" s="151" t="str">
        <f aca="false">IF(ISNUMBER(B391),B391*(1+1/'13_Mapa_Liq'!$B$19-'13_Mapa_Liq'!$B$6),"")</f>
        <v/>
      </c>
      <c r="AF391" s="151" t="n">
        <f aca="false">IF(ISNUMBER(B391),IF(L391&lt;AE391,J391*'13_Mapa_Liq'!$C$19,0),0)</f>
        <v>0</v>
      </c>
      <c r="AG391" s="151"/>
      <c r="AH391" s="151" t="n">
        <f aca="false">IF(ISNUMBER(B391),E391*F391*((K391&lt;=M391)*'13_Mapa_Liq'!$C$15+(K391&lt;=Q391)*'13_Mapa_Liq'!$C$16+(K391&lt;=U391)*'13_Mapa_Liq'!$C$17+(K391&lt;=Y391)*'13_Mapa_Liq'!$C$18+(K391&lt;=AC391)*'13_Mapa_Liq'!$C$19),0)</f>
        <v>0</v>
      </c>
      <c r="AI391" s="151" t="n">
        <f aca="false">IF(ISNUMBER(B391),E391*(1-F391)*((L391&gt;=O391)*'13_Mapa_Liq'!$C$15+(L391&gt;=S391)*'13_Mapa_Liq'!$C$16+(L391&gt;=W391)*'13_Mapa_Liq'!$C$17+(L391&gt;=AA391)*'13_Mapa_Liq'!$C$18+(L391&gt;=AE391)*'13_Mapa_Liq'!$C$19),0)</f>
        <v>0</v>
      </c>
    </row>
    <row r="392" customFormat="false" ht="15" hidden="false" customHeight="false" outlineLevel="0" collapsed="false">
      <c r="A392" s="151" t="str">
        <f aca="false">IF(ISNUMBER('12_Datos_5m'!F392),ROW()-4,"")</f>
        <v/>
      </c>
      <c r="B392" s="151" t="str">
        <f aca="false">IF(ISNUMBER('12_Datos_5m'!F392),'12_Datos_5m'!F392,"")</f>
        <v/>
      </c>
      <c r="C392" s="151" t="str">
        <f aca="false">IF(ISNUMBER('12_Datos_5m'!A392),'12_Datos_5m'!A392,"")</f>
        <v/>
      </c>
      <c r="D392" s="151" t="n">
        <f aca="false">IF(AND(ISNUMBER('12_Datos_5m'!I392),ISNUMBER('12_Datos_5m'!I391)),'12_Datos_5m'!I392-'12_Datos_5m'!I391,0)</f>
        <v>0</v>
      </c>
      <c r="E392" s="151" t="n">
        <f aca="false">MAX(0,D392)</f>
        <v>0</v>
      </c>
      <c r="F392" s="151" t="n">
        <f aca="false">IF(AND(ISNUMBER('12_Datos_5m'!G392),N('12_Datos_5m'!G392)&gt;0),'12_Datos_5m'!H392/'12_Datos_5m'!G392,0.5)</f>
        <v>0.5</v>
      </c>
      <c r="G392" s="151" t="n">
        <f aca="false">IF(ISNUMBER(C392),($C$2-C392)/3600000,0)</f>
        <v>0</v>
      </c>
      <c r="H392" s="151" t="n">
        <f aca="false">EXP(-G392/'13_Mapa_Liq'!$B$7)</f>
        <v>1</v>
      </c>
      <c r="I392" s="151" t="n">
        <f aca="false">E392*F392*H392</f>
        <v>0</v>
      </c>
      <c r="J392" s="151" t="n">
        <f aca="false">E392*(1-F392)*H392</f>
        <v>0</v>
      </c>
      <c r="K392" s="151" t="n">
        <f aca="false">IF(COUNT('12_Datos_5m'!E393:E$504)=0,1000000000000,MIN('12_Datos_5m'!E393:E$504))</f>
        <v>1000000000000</v>
      </c>
      <c r="L392" s="151" t="n">
        <f aca="false">IF(COUNT('12_Datos_5m'!D393:D$504)=0,0,MAX('12_Datos_5m'!D393:D$504))</f>
        <v>0</v>
      </c>
      <c r="M392" s="151" t="str">
        <f aca="false">IF(ISNUMBER(B392),B392*(1-1/'13_Mapa_Liq'!$B$15+'13_Mapa_Liq'!$B$6),"")</f>
        <v/>
      </c>
      <c r="N392" s="151" t="n">
        <f aca="false">IF(ISNUMBER(B392),IF(K392&gt;M392,I392*'13_Mapa_Liq'!$C$15,0),0)</f>
        <v>0</v>
      </c>
      <c r="O392" s="151" t="str">
        <f aca="false">IF(ISNUMBER(B392),B392*(1+1/'13_Mapa_Liq'!$B$15-'13_Mapa_Liq'!$B$6),"")</f>
        <v/>
      </c>
      <c r="P392" s="151" t="n">
        <f aca="false">IF(ISNUMBER(B392),IF(L392&lt;O392,J392*'13_Mapa_Liq'!$C$15,0),0)</f>
        <v>0</v>
      </c>
      <c r="Q392" s="151" t="str">
        <f aca="false">IF(ISNUMBER(B392),B392*(1-1/'13_Mapa_Liq'!$B$16+'13_Mapa_Liq'!$B$6),"")</f>
        <v/>
      </c>
      <c r="R392" s="151" t="n">
        <f aca="false">IF(ISNUMBER(B392),IF(K392&gt;Q392,I392*'13_Mapa_Liq'!$C$16,0),0)</f>
        <v>0</v>
      </c>
      <c r="S392" s="151" t="str">
        <f aca="false">IF(ISNUMBER(B392),B392*(1+1/'13_Mapa_Liq'!$B$16-'13_Mapa_Liq'!$B$6),"")</f>
        <v/>
      </c>
      <c r="T392" s="151" t="n">
        <f aca="false">IF(ISNUMBER(B392),IF(L392&lt;S392,J392*'13_Mapa_Liq'!$C$16,0),0)</f>
        <v>0</v>
      </c>
      <c r="U392" s="151" t="str">
        <f aca="false">IF(ISNUMBER(B392),B392*(1-1/'13_Mapa_Liq'!$B$17+'13_Mapa_Liq'!$B$6),"")</f>
        <v/>
      </c>
      <c r="V392" s="151" t="n">
        <f aca="false">IF(ISNUMBER(B392),IF(K392&gt;U392,I392*'13_Mapa_Liq'!$C$17,0),0)</f>
        <v>0</v>
      </c>
      <c r="W392" s="151" t="str">
        <f aca="false">IF(ISNUMBER(B392),B392*(1+1/'13_Mapa_Liq'!$B$17-'13_Mapa_Liq'!$B$6),"")</f>
        <v/>
      </c>
      <c r="X392" s="151" t="n">
        <f aca="false">IF(ISNUMBER(B392),IF(L392&lt;W392,J392*'13_Mapa_Liq'!$C$17,0),0)</f>
        <v>0</v>
      </c>
      <c r="Y392" s="151" t="str">
        <f aca="false">IF(ISNUMBER(B392),B392*(1-1/'13_Mapa_Liq'!$B$18+'13_Mapa_Liq'!$B$6),"")</f>
        <v/>
      </c>
      <c r="Z392" s="151" t="n">
        <f aca="false">IF(ISNUMBER(B392),IF(K392&gt;Y392,I392*'13_Mapa_Liq'!$C$18,0),0)</f>
        <v>0</v>
      </c>
      <c r="AA392" s="151" t="str">
        <f aca="false">IF(ISNUMBER(B392),B392*(1+1/'13_Mapa_Liq'!$B$18-'13_Mapa_Liq'!$B$6),"")</f>
        <v/>
      </c>
      <c r="AB392" s="151" t="n">
        <f aca="false">IF(ISNUMBER(B392),IF(L392&lt;AA392,J392*'13_Mapa_Liq'!$C$18,0),0)</f>
        <v>0</v>
      </c>
      <c r="AC392" s="151" t="str">
        <f aca="false">IF(ISNUMBER(B392),B392*(1-1/'13_Mapa_Liq'!$B$19+'13_Mapa_Liq'!$B$6),"")</f>
        <v/>
      </c>
      <c r="AD392" s="151" t="n">
        <f aca="false">IF(ISNUMBER(B392),IF(K392&gt;AC392,I392*'13_Mapa_Liq'!$C$19,0),0)</f>
        <v>0</v>
      </c>
      <c r="AE392" s="151" t="str">
        <f aca="false">IF(ISNUMBER(B392),B392*(1+1/'13_Mapa_Liq'!$B$19-'13_Mapa_Liq'!$B$6),"")</f>
        <v/>
      </c>
      <c r="AF392" s="151" t="n">
        <f aca="false">IF(ISNUMBER(B392),IF(L392&lt;AE392,J392*'13_Mapa_Liq'!$C$19,0),0)</f>
        <v>0</v>
      </c>
      <c r="AG392" s="151"/>
      <c r="AH392" s="151" t="n">
        <f aca="false">IF(ISNUMBER(B392),E392*F392*((K392&lt;=M392)*'13_Mapa_Liq'!$C$15+(K392&lt;=Q392)*'13_Mapa_Liq'!$C$16+(K392&lt;=U392)*'13_Mapa_Liq'!$C$17+(K392&lt;=Y392)*'13_Mapa_Liq'!$C$18+(K392&lt;=AC392)*'13_Mapa_Liq'!$C$19),0)</f>
        <v>0</v>
      </c>
      <c r="AI392" s="151" t="n">
        <f aca="false">IF(ISNUMBER(B392),E392*(1-F392)*((L392&gt;=O392)*'13_Mapa_Liq'!$C$15+(L392&gt;=S392)*'13_Mapa_Liq'!$C$16+(L392&gt;=W392)*'13_Mapa_Liq'!$C$17+(L392&gt;=AA392)*'13_Mapa_Liq'!$C$18+(L392&gt;=AE392)*'13_Mapa_Liq'!$C$19),0)</f>
        <v>0</v>
      </c>
    </row>
    <row r="393" customFormat="false" ht="15" hidden="false" customHeight="false" outlineLevel="0" collapsed="false">
      <c r="A393" s="151" t="str">
        <f aca="false">IF(ISNUMBER('12_Datos_5m'!F393),ROW()-4,"")</f>
        <v/>
      </c>
      <c r="B393" s="151" t="str">
        <f aca="false">IF(ISNUMBER('12_Datos_5m'!F393),'12_Datos_5m'!F393,"")</f>
        <v/>
      </c>
      <c r="C393" s="151" t="str">
        <f aca="false">IF(ISNUMBER('12_Datos_5m'!A393),'12_Datos_5m'!A393,"")</f>
        <v/>
      </c>
      <c r="D393" s="151" t="n">
        <f aca="false">IF(AND(ISNUMBER('12_Datos_5m'!I393),ISNUMBER('12_Datos_5m'!I392)),'12_Datos_5m'!I393-'12_Datos_5m'!I392,0)</f>
        <v>0</v>
      </c>
      <c r="E393" s="151" t="n">
        <f aca="false">MAX(0,D393)</f>
        <v>0</v>
      </c>
      <c r="F393" s="151" t="n">
        <f aca="false">IF(AND(ISNUMBER('12_Datos_5m'!G393),N('12_Datos_5m'!G393)&gt;0),'12_Datos_5m'!H393/'12_Datos_5m'!G393,0.5)</f>
        <v>0.5</v>
      </c>
      <c r="G393" s="151" t="n">
        <f aca="false">IF(ISNUMBER(C393),($C$2-C393)/3600000,0)</f>
        <v>0</v>
      </c>
      <c r="H393" s="151" t="n">
        <f aca="false">EXP(-G393/'13_Mapa_Liq'!$B$7)</f>
        <v>1</v>
      </c>
      <c r="I393" s="151" t="n">
        <f aca="false">E393*F393*H393</f>
        <v>0</v>
      </c>
      <c r="J393" s="151" t="n">
        <f aca="false">E393*(1-F393)*H393</f>
        <v>0</v>
      </c>
      <c r="K393" s="151" t="n">
        <f aca="false">IF(COUNT('12_Datos_5m'!E394:E$504)=0,1000000000000,MIN('12_Datos_5m'!E394:E$504))</f>
        <v>1000000000000</v>
      </c>
      <c r="L393" s="151" t="n">
        <f aca="false">IF(COUNT('12_Datos_5m'!D394:D$504)=0,0,MAX('12_Datos_5m'!D394:D$504))</f>
        <v>0</v>
      </c>
      <c r="M393" s="151" t="str">
        <f aca="false">IF(ISNUMBER(B393),B393*(1-1/'13_Mapa_Liq'!$B$15+'13_Mapa_Liq'!$B$6),"")</f>
        <v/>
      </c>
      <c r="N393" s="151" t="n">
        <f aca="false">IF(ISNUMBER(B393),IF(K393&gt;M393,I393*'13_Mapa_Liq'!$C$15,0),0)</f>
        <v>0</v>
      </c>
      <c r="O393" s="151" t="str">
        <f aca="false">IF(ISNUMBER(B393),B393*(1+1/'13_Mapa_Liq'!$B$15-'13_Mapa_Liq'!$B$6),"")</f>
        <v/>
      </c>
      <c r="P393" s="151" t="n">
        <f aca="false">IF(ISNUMBER(B393),IF(L393&lt;O393,J393*'13_Mapa_Liq'!$C$15,0),0)</f>
        <v>0</v>
      </c>
      <c r="Q393" s="151" t="str">
        <f aca="false">IF(ISNUMBER(B393),B393*(1-1/'13_Mapa_Liq'!$B$16+'13_Mapa_Liq'!$B$6),"")</f>
        <v/>
      </c>
      <c r="R393" s="151" t="n">
        <f aca="false">IF(ISNUMBER(B393),IF(K393&gt;Q393,I393*'13_Mapa_Liq'!$C$16,0),0)</f>
        <v>0</v>
      </c>
      <c r="S393" s="151" t="str">
        <f aca="false">IF(ISNUMBER(B393),B393*(1+1/'13_Mapa_Liq'!$B$16-'13_Mapa_Liq'!$B$6),"")</f>
        <v/>
      </c>
      <c r="T393" s="151" t="n">
        <f aca="false">IF(ISNUMBER(B393),IF(L393&lt;S393,J393*'13_Mapa_Liq'!$C$16,0),0)</f>
        <v>0</v>
      </c>
      <c r="U393" s="151" t="str">
        <f aca="false">IF(ISNUMBER(B393),B393*(1-1/'13_Mapa_Liq'!$B$17+'13_Mapa_Liq'!$B$6),"")</f>
        <v/>
      </c>
      <c r="V393" s="151" t="n">
        <f aca="false">IF(ISNUMBER(B393),IF(K393&gt;U393,I393*'13_Mapa_Liq'!$C$17,0),0)</f>
        <v>0</v>
      </c>
      <c r="W393" s="151" t="str">
        <f aca="false">IF(ISNUMBER(B393),B393*(1+1/'13_Mapa_Liq'!$B$17-'13_Mapa_Liq'!$B$6),"")</f>
        <v/>
      </c>
      <c r="X393" s="151" t="n">
        <f aca="false">IF(ISNUMBER(B393),IF(L393&lt;W393,J393*'13_Mapa_Liq'!$C$17,0),0)</f>
        <v>0</v>
      </c>
      <c r="Y393" s="151" t="str">
        <f aca="false">IF(ISNUMBER(B393),B393*(1-1/'13_Mapa_Liq'!$B$18+'13_Mapa_Liq'!$B$6),"")</f>
        <v/>
      </c>
      <c r="Z393" s="151" t="n">
        <f aca="false">IF(ISNUMBER(B393),IF(K393&gt;Y393,I393*'13_Mapa_Liq'!$C$18,0),0)</f>
        <v>0</v>
      </c>
      <c r="AA393" s="151" t="str">
        <f aca="false">IF(ISNUMBER(B393),B393*(1+1/'13_Mapa_Liq'!$B$18-'13_Mapa_Liq'!$B$6),"")</f>
        <v/>
      </c>
      <c r="AB393" s="151" t="n">
        <f aca="false">IF(ISNUMBER(B393),IF(L393&lt;AA393,J393*'13_Mapa_Liq'!$C$18,0),0)</f>
        <v>0</v>
      </c>
      <c r="AC393" s="151" t="str">
        <f aca="false">IF(ISNUMBER(B393),B393*(1-1/'13_Mapa_Liq'!$B$19+'13_Mapa_Liq'!$B$6),"")</f>
        <v/>
      </c>
      <c r="AD393" s="151" t="n">
        <f aca="false">IF(ISNUMBER(B393),IF(K393&gt;AC393,I393*'13_Mapa_Liq'!$C$19,0),0)</f>
        <v>0</v>
      </c>
      <c r="AE393" s="151" t="str">
        <f aca="false">IF(ISNUMBER(B393),B393*(1+1/'13_Mapa_Liq'!$B$19-'13_Mapa_Liq'!$B$6),"")</f>
        <v/>
      </c>
      <c r="AF393" s="151" t="n">
        <f aca="false">IF(ISNUMBER(B393),IF(L393&lt;AE393,J393*'13_Mapa_Liq'!$C$19,0),0)</f>
        <v>0</v>
      </c>
      <c r="AG393" s="151"/>
      <c r="AH393" s="151" t="n">
        <f aca="false">IF(ISNUMBER(B393),E393*F393*((K393&lt;=M393)*'13_Mapa_Liq'!$C$15+(K393&lt;=Q393)*'13_Mapa_Liq'!$C$16+(K393&lt;=U393)*'13_Mapa_Liq'!$C$17+(K393&lt;=Y393)*'13_Mapa_Liq'!$C$18+(K393&lt;=AC393)*'13_Mapa_Liq'!$C$19),0)</f>
        <v>0</v>
      </c>
      <c r="AI393" s="151" t="n">
        <f aca="false">IF(ISNUMBER(B393),E393*(1-F393)*((L393&gt;=O393)*'13_Mapa_Liq'!$C$15+(L393&gt;=S393)*'13_Mapa_Liq'!$C$16+(L393&gt;=W393)*'13_Mapa_Liq'!$C$17+(L393&gt;=AA393)*'13_Mapa_Liq'!$C$18+(L393&gt;=AE393)*'13_Mapa_Liq'!$C$19),0)</f>
        <v>0</v>
      </c>
    </row>
    <row r="394" customFormat="false" ht="15" hidden="false" customHeight="false" outlineLevel="0" collapsed="false">
      <c r="A394" s="151" t="str">
        <f aca="false">IF(ISNUMBER('12_Datos_5m'!F394),ROW()-4,"")</f>
        <v/>
      </c>
      <c r="B394" s="151" t="str">
        <f aca="false">IF(ISNUMBER('12_Datos_5m'!F394),'12_Datos_5m'!F394,"")</f>
        <v/>
      </c>
      <c r="C394" s="151" t="str">
        <f aca="false">IF(ISNUMBER('12_Datos_5m'!A394),'12_Datos_5m'!A394,"")</f>
        <v/>
      </c>
      <c r="D394" s="151" t="n">
        <f aca="false">IF(AND(ISNUMBER('12_Datos_5m'!I394),ISNUMBER('12_Datos_5m'!I393)),'12_Datos_5m'!I394-'12_Datos_5m'!I393,0)</f>
        <v>0</v>
      </c>
      <c r="E394" s="151" t="n">
        <f aca="false">MAX(0,D394)</f>
        <v>0</v>
      </c>
      <c r="F394" s="151" t="n">
        <f aca="false">IF(AND(ISNUMBER('12_Datos_5m'!G394),N('12_Datos_5m'!G394)&gt;0),'12_Datos_5m'!H394/'12_Datos_5m'!G394,0.5)</f>
        <v>0.5</v>
      </c>
      <c r="G394" s="151" t="n">
        <f aca="false">IF(ISNUMBER(C394),($C$2-C394)/3600000,0)</f>
        <v>0</v>
      </c>
      <c r="H394" s="151" t="n">
        <f aca="false">EXP(-G394/'13_Mapa_Liq'!$B$7)</f>
        <v>1</v>
      </c>
      <c r="I394" s="151" t="n">
        <f aca="false">E394*F394*H394</f>
        <v>0</v>
      </c>
      <c r="J394" s="151" t="n">
        <f aca="false">E394*(1-F394)*H394</f>
        <v>0</v>
      </c>
      <c r="K394" s="151" t="n">
        <f aca="false">IF(COUNT('12_Datos_5m'!E395:E$504)=0,1000000000000,MIN('12_Datos_5m'!E395:E$504))</f>
        <v>1000000000000</v>
      </c>
      <c r="L394" s="151" t="n">
        <f aca="false">IF(COUNT('12_Datos_5m'!D395:D$504)=0,0,MAX('12_Datos_5m'!D395:D$504))</f>
        <v>0</v>
      </c>
      <c r="M394" s="151" t="str">
        <f aca="false">IF(ISNUMBER(B394),B394*(1-1/'13_Mapa_Liq'!$B$15+'13_Mapa_Liq'!$B$6),"")</f>
        <v/>
      </c>
      <c r="N394" s="151" t="n">
        <f aca="false">IF(ISNUMBER(B394),IF(K394&gt;M394,I394*'13_Mapa_Liq'!$C$15,0),0)</f>
        <v>0</v>
      </c>
      <c r="O394" s="151" t="str">
        <f aca="false">IF(ISNUMBER(B394),B394*(1+1/'13_Mapa_Liq'!$B$15-'13_Mapa_Liq'!$B$6),"")</f>
        <v/>
      </c>
      <c r="P394" s="151" t="n">
        <f aca="false">IF(ISNUMBER(B394),IF(L394&lt;O394,J394*'13_Mapa_Liq'!$C$15,0),0)</f>
        <v>0</v>
      </c>
      <c r="Q394" s="151" t="str">
        <f aca="false">IF(ISNUMBER(B394),B394*(1-1/'13_Mapa_Liq'!$B$16+'13_Mapa_Liq'!$B$6),"")</f>
        <v/>
      </c>
      <c r="R394" s="151" t="n">
        <f aca="false">IF(ISNUMBER(B394),IF(K394&gt;Q394,I394*'13_Mapa_Liq'!$C$16,0),0)</f>
        <v>0</v>
      </c>
      <c r="S394" s="151" t="str">
        <f aca="false">IF(ISNUMBER(B394),B394*(1+1/'13_Mapa_Liq'!$B$16-'13_Mapa_Liq'!$B$6),"")</f>
        <v/>
      </c>
      <c r="T394" s="151" t="n">
        <f aca="false">IF(ISNUMBER(B394),IF(L394&lt;S394,J394*'13_Mapa_Liq'!$C$16,0),0)</f>
        <v>0</v>
      </c>
      <c r="U394" s="151" t="str">
        <f aca="false">IF(ISNUMBER(B394),B394*(1-1/'13_Mapa_Liq'!$B$17+'13_Mapa_Liq'!$B$6),"")</f>
        <v/>
      </c>
      <c r="V394" s="151" t="n">
        <f aca="false">IF(ISNUMBER(B394),IF(K394&gt;U394,I394*'13_Mapa_Liq'!$C$17,0),0)</f>
        <v>0</v>
      </c>
      <c r="W394" s="151" t="str">
        <f aca="false">IF(ISNUMBER(B394),B394*(1+1/'13_Mapa_Liq'!$B$17-'13_Mapa_Liq'!$B$6),"")</f>
        <v/>
      </c>
      <c r="X394" s="151" t="n">
        <f aca="false">IF(ISNUMBER(B394),IF(L394&lt;W394,J394*'13_Mapa_Liq'!$C$17,0),0)</f>
        <v>0</v>
      </c>
      <c r="Y394" s="151" t="str">
        <f aca="false">IF(ISNUMBER(B394),B394*(1-1/'13_Mapa_Liq'!$B$18+'13_Mapa_Liq'!$B$6),"")</f>
        <v/>
      </c>
      <c r="Z394" s="151" t="n">
        <f aca="false">IF(ISNUMBER(B394),IF(K394&gt;Y394,I394*'13_Mapa_Liq'!$C$18,0),0)</f>
        <v>0</v>
      </c>
      <c r="AA394" s="151" t="str">
        <f aca="false">IF(ISNUMBER(B394),B394*(1+1/'13_Mapa_Liq'!$B$18-'13_Mapa_Liq'!$B$6),"")</f>
        <v/>
      </c>
      <c r="AB394" s="151" t="n">
        <f aca="false">IF(ISNUMBER(B394),IF(L394&lt;AA394,J394*'13_Mapa_Liq'!$C$18,0),0)</f>
        <v>0</v>
      </c>
      <c r="AC394" s="151" t="str">
        <f aca="false">IF(ISNUMBER(B394),B394*(1-1/'13_Mapa_Liq'!$B$19+'13_Mapa_Liq'!$B$6),"")</f>
        <v/>
      </c>
      <c r="AD394" s="151" t="n">
        <f aca="false">IF(ISNUMBER(B394),IF(K394&gt;AC394,I394*'13_Mapa_Liq'!$C$19,0),0)</f>
        <v>0</v>
      </c>
      <c r="AE394" s="151" t="str">
        <f aca="false">IF(ISNUMBER(B394),B394*(1+1/'13_Mapa_Liq'!$B$19-'13_Mapa_Liq'!$B$6),"")</f>
        <v/>
      </c>
      <c r="AF394" s="151" t="n">
        <f aca="false">IF(ISNUMBER(B394),IF(L394&lt;AE394,J394*'13_Mapa_Liq'!$C$19,0),0)</f>
        <v>0</v>
      </c>
      <c r="AG394" s="151"/>
      <c r="AH394" s="151" t="n">
        <f aca="false">IF(ISNUMBER(B394),E394*F394*((K394&lt;=M394)*'13_Mapa_Liq'!$C$15+(K394&lt;=Q394)*'13_Mapa_Liq'!$C$16+(K394&lt;=U394)*'13_Mapa_Liq'!$C$17+(K394&lt;=Y394)*'13_Mapa_Liq'!$C$18+(K394&lt;=AC394)*'13_Mapa_Liq'!$C$19),0)</f>
        <v>0</v>
      </c>
      <c r="AI394" s="151" t="n">
        <f aca="false">IF(ISNUMBER(B394),E394*(1-F394)*((L394&gt;=O394)*'13_Mapa_Liq'!$C$15+(L394&gt;=S394)*'13_Mapa_Liq'!$C$16+(L394&gt;=W394)*'13_Mapa_Liq'!$C$17+(L394&gt;=AA394)*'13_Mapa_Liq'!$C$18+(L394&gt;=AE394)*'13_Mapa_Liq'!$C$19),0)</f>
        <v>0</v>
      </c>
    </row>
    <row r="395" customFormat="false" ht="15" hidden="false" customHeight="false" outlineLevel="0" collapsed="false">
      <c r="A395" s="151" t="str">
        <f aca="false">IF(ISNUMBER('12_Datos_5m'!F395),ROW()-4,"")</f>
        <v/>
      </c>
      <c r="B395" s="151" t="str">
        <f aca="false">IF(ISNUMBER('12_Datos_5m'!F395),'12_Datos_5m'!F395,"")</f>
        <v/>
      </c>
      <c r="C395" s="151" t="str">
        <f aca="false">IF(ISNUMBER('12_Datos_5m'!A395),'12_Datos_5m'!A395,"")</f>
        <v/>
      </c>
      <c r="D395" s="151" t="n">
        <f aca="false">IF(AND(ISNUMBER('12_Datos_5m'!I395),ISNUMBER('12_Datos_5m'!I394)),'12_Datos_5m'!I395-'12_Datos_5m'!I394,0)</f>
        <v>0</v>
      </c>
      <c r="E395" s="151" t="n">
        <f aca="false">MAX(0,D395)</f>
        <v>0</v>
      </c>
      <c r="F395" s="151" t="n">
        <f aca="false">IF(AND(ISNUMBER('12_Datos_5m'!G395),N('12_Datos_5m'!G395)&gt;0),'12_Datos_5m'!H395/'12_Datos_5m'!G395,0.5)</f>
        <v>0.5</v>
      </c>
      <c r="G395" s="151" t="n">
        <f aca="false">IF(ISNUMBER(C395),($C$2-C395)/3600000,0)</f>
        <v>0</v>
      </c>
      <c r="H395" s="151" t="n">
        <f aca="false">EXP(-G395/'13_Mapa_Liq'!$B$7)</f>
        <v>1</v>
      </c>
      <c r="I395" s="151" t="n">
        <f aca="false">E395*F395*H395</f>
        <v>0</v>
      </c>
      <c r="J395" s="151" t="n">
        <f aca="false">E395*(1-F395)*H395</f>
        <v>0</v>
      </c>
      <c r="K395" s="151" t="n">
        <f aca="false">IF(COUNT('12_Datos_5m'!E396:E$504)=0,1000000000000,MIN('12_Datos_5m'!E396:E$504))</f>
        <v>1000000000000</v>
      </c>
      <c r="L395" s="151" t="n">
        <f aca="false">IF(COUNT('12_Datos_5m'!D396:D$504)=0,0,MAX('12_Datos_5m'!D396:D$504))</f>
        <v>0</v>
      </c>
      <c r="M395" s="151" t="str">
        <f aca="false">IF(ISNUMBER(B395),B395*(1-1/'13_Mapa_Liq'!$B$15+'13_Mapa_Liq'!$B$6),"")</f>
        <v/>
      </c>
      <c r="N395" s="151" t="n">
        <f aca="false">IF(ISNUMBER(B395),IF(K395&gt;M395,I395*'13_Mapa_Liq'!$C$15,0),0)</f>
        <v>0</v>
      </c>
      <c r="O395" s="151" t="str">
        <f aca="false">IF(ISNUMBER(B395),B395*(1+1/'13_Mapa_Liq'!$B$15-'13_Mapa_Liq'!$B$6),"")</f>
        <v/>
      </c>
      <c r="P395" s="151" t="n">
        <f aca="false">IF(ISNUMBER(B395),IF(L395&lt;O395,J395*'13_Mapa_Liq'!$C$15,0),0)</f>
        <v>0</v>
      </c>
      <c r="Q395" s="151" t="str">
        <f aca="false">IF(ISNUMBER(B395),B395*(1-1/'13_Mapa_Liq'!$B$16+'13_Mapa_Liq'!$B$6),"")</f>
        <v/>
      </c>
      <c r="R395" s="151" t="n">
        <f aca="false">IF(ISNUMBER(B395),IF(K395&gt;Q395,I395*'13_Mapa_Liq'!$C$16,0),0)</f>
        <v>0</v>
      </c>
      <c r="S395" s="151" t="str">
        <f aca="false">IF(ISNUMBER(B395),B395*(1+1/'13_Mapa_Liq'!$B$16-'13_Mapa_Liq'!$B$6),"")</f>
        <v/>
      </c>
      <c r="T395" s="151" t="n">
        <f aca="false">IF(ISNUMBER(B395),IF(L395&lt;S395,J395*'13_Mapa_Liq'!$C$16,0),0)</f>
        <v>0</v>
      </c>
      <c r="U395" s="151" t="str">
        <f aca="false">IF(ISNUMBER(B395),B395*(1-1/'13_Mapa_Liq'!$B$17+'13_Mapa_Liq'!$B$6),"")</f>
        <v/>
      </c>
      <c r="V395" s="151" t="n">
        <f aca="false">IF(ISNUMBER(B395),IF(K395&gt;U395,I395*'13_Mapa_Liq'!$C$17,0),0)</f>
        <v>0</v>
      </c>
      <c r="W395" s="151" t="str">
        <f aca="false">IF(ISNUMBER(B395),B395*(1+1/'13_Mapa_Liq'!$B$17-'13_Mapa_Liq'!$B$6),"")</f>
        <v/>
      </c>
      <c r="X395" s="151" t="n">
        <f aca="false">IF(ISNUMBER(B395),IF(L395&lt;W395,J395*'13_Mapa_Liq'!$C$17,0),0)</f>
        <v>0</v>
      </c>
      <c r="Y395" s="151" t="str">
        <f aca="false">IF(ISNUMBER(B395),B395*(1-1/'13_Mapa_Liq'!$B$18+'13_Mapa_Liq'!$B$6),"")</f>
        <v/>
      </c>
      <c r="Z395" s="151" t="n">
        <f aca="false">IF(ISNUMBER(B395),IF(K395&gt;Y395,I395*'13_Mapa_Liq'!$C$18,0),0)</f>
        <v>0</v>
      </c>
      <c r="AA395" s="151" t="str">
        <f aca="false">IF(ISNUMBER(B395),B395*(1+1/'13_Mapa_Liq'!$B$18-'13_Mapa_Liq'!$B$6),"")</f>
        <v/>
      </c>
      <c r="AB395" s="151" t="n">
        <f aca="false">IF(ISNUMBER(B395),IF(L395&lt;AA395,J395*'13_Mapa_Liq'!$C$18,0),0)</f>
        <v>0</v>
      </c>
      <c r="AC395" s="151" t="str">
        <f aca="false">IF(ISNUMBER(B395),B395*(1-1/'13_Mapa_Liq'!$B$19+'13_Mapa_Liq'!$B$6),"")</f>
        <v/>
      </c>
      <c r="AD395" s="151" t="n">
        <f aca="false">IF(ISNUMBER(B395),IF(K395&gt;AC395,I395*'13_Mapa_Liq'!$C$19,0),0)</f>
        <v>0</v>
      </c>
      <c r="AE395" s="151" t="str">
        <f aca="false">IF(ISNUMBER(B395),B395*(1+1/'13_Mapa_Liq'!$B$19-'13_Mapa_Liq'!$B$6),"")</f>
        <v/>
      </c>
      <c r="AF395" s="151" t="n">
        <f aca="false">IF(ISNUMBER(B395),IF(L395&lt;AE395,J395*'13_Mapa_Liq'!$C$19,0),0)</f>
        <v>0</v>
      </c>
      <c r="AG395" s="151"/>
      <c r="AH395" s="151" t="n">
        <f aca="false">IF(ISNUMBER(B395),E395*F395*((K395&lt;=M395)*'13_Mapa_Liq'!$C$15+(K395&lt;=Q395)*'13_Mapa_Liq'!$C$16+(K395&lt;=U395)*'13_Mapa_Liq'!$C$17+(K395&lt;=Y395)*'13_Mapa_Liq'!$C$18+(K395&lt;=AC395)*'13_Mapa_Liq'!$C$19),0)</f>
        <v>0</v>
      </c>
      <c r="AI395" s="151" t="n">
        <f aca="false">IF(ISNUMBER(B395),E395*(1-F395)*((L395&gt;=O395)*'13_Mapa_Liq'!$C$15+(L395&gt;=S395)*'13_Mapa_Liq'!$C$16+(L395&gt;=W395)*'13_Mapa_Liq'!$C$17+(L395&gt;=AA395)*'13_Mapa_Liq'!$C$18+(L395&gt;=AE395)*'13_Mapa_Liq'!$C$19),0)</f>
        <v>0</v>
      </c>
    </row>
    <row r="396" customFormat="false" ht="15" hidden="false" customHeight="false" outlineLevel="0" collapsed="false">
      <c r="A396" s="151" t="str">
        <f aca="false">IF(ISNUMBER('12_Datos_5m'!F396),ROW()-4,"")</f>
        <v/>
      </c>
      <c r="B396" s="151" t="str">
        <f aca="false">IF(ISNUMBER('12_Datos_5m'!F396),'12_Datos_5m'!F396,"")</f>
        <v/>
      </c>
      <c r="C396" s="151" t="str">
        <f aca="false">IF(ISNUMBER('12_Datos_5m'!A396),'12_Datos_5m'!A396,"")</f>
        <v/>
      </c>
      <c r="D396" s="151" t="n">
        <f aca="false">IF(AND(ISNUMBER('12_Datos_5m'!I396),ISNUMBER('12_Datos_5m'!I395)),'12_Datos_5m'!I396-'12_Datos_5m'!I395,0)</f>
        <v>0</v>
      </c>
      <c r="E396" s="151" t="n">
        <f aca="false">MAX(0,D396)</f>
        <v>0</v>
      </c>
      <c r="F396" s="151" t="n">
        <f aca="false">IF(AND(ISNUMBER('12_Datos_5m'!G396),N('12_Datos_5m'!G396)&gt;0),'12_Datos_5m'!H396/'12_Datos_5m'!G396,0.5)</f>
        <v>0.5</v>
      </c>
      <c r="G396" s="151" t="n">
        <f aca="false">IF(ISNUMBER(C396),($C$2-C396)/3600000,0)</f>
        <v>0</v>
      </c>
      <c r="H396" s="151" t="n">
        <f aca="false">EXP(-G396/'13_Mapa_Liq'!$B$7)</f>
        <v>1</v>
      </c>
      <c r="I396" s="151" t="n">
        <f aca="false">E396*F396*H396</f>
        <v>0</v>
      </c>
      <c r="J396" s="151" t="n">
        <f aca="false">E396*(1-F396)*H396</f>
        <v>0</v>
      </c>
      <c r="K396" s="151" t="n">
        <f aca="false">IF(COUNT('12_Datos_5m'!E397:E$504)=0,1000000000000,MIN('12_Datos_5m'!E397:E$504))</f>
        <v>1000000000000</v>
      </c>
      <c r="L396" s="151" t="n">
        <f aca="false">IF(COUNT('12_Datos_5m'!D397:D$504)=0,0,MAX('12_Datos_5m'!D397:D$504))</f>
        <v>0</v>
      </c>
      <c r="M396" s="151" t="str">
        <f aca="false">IF(ISNUMBER(B396),B396*(1-1/'13_Mapa_Liq'!$B$15+'13_Mapa_Liq'!$B$6),"")</f>
        <v/>
      </c>
      <c r="N396" s="151" t="n">
        <f aca="false">IF(ISNUMBER(B396),IF(K396&gt;M396,I396*'13_Mapa_Liq'!$C$15,0),0)</f>
        <v>0</v>
      </c>
      <c r="O396" s="151" t="str">
        <f aca="false">IF(ISNUMBER(B396),B396*(1+1/'13_Mapa_Liq'!$B$15-'13_Mapa_Liq'!$B$6),"")</f>
        <v/>
      </c>
      <c r="P396" s="151" t="n">
        <f aca="false">IF(ISNUMBER(B396),IF(L396&lt;O396,J396*'13_Mapa_Liq'!$C$15,0),0)</f>
        <v>0</v>
      </c>
      <c r="Q396" s="151" t="str">
        <f aca="false">IF(ISNUMBER(B396),B396*(1-1/'13_Mapa_Liq'!$B$16+'13_Mapa_Liq'!$B$6),"")</f>
        <v/>
      </c>
      <c r="R396" s="151" t="n">
        <f aca="false">IF(ISNUMBER(B396),IF(K396&gt;Q396,I396*'13_Mapa_Liq'!$C$16,0),0)</f>
        <v>0</v>
      </c>
      <c r="S396" s="151" t="str">
        <f aca="false">IF(ISNUMBER(B396),B396*(1+1/'13_Mapa_Liq'!$B$16-'13_Mapa_Liq'!$B$6),"")</f>
        <v/>
      </c>
      <c r="T396" s="151" t="n">
        <f aca="false">IF(ISNUMBER(B396),IF(L396&lt;S396,J396*'13_Mapa_Liq'!$C$16,0),0)</f>
        <v>0</v>
      </c>
      <c r="U396" s="151" t="str">
        <f aca="false">IF(ISNUMBER(B396),B396*(1-1/'13_Mapa_Liq'!$B$17+'13_Mapa_Liq'!$B$6),"")</f>
        <v/>
      </c>
      <c r="V396" s="151" t="n">
        <f aca="false">IF(ISNUMBER(B396),IF(K396&gt;U396,I396*'13_Mapa_Liq'!$C$17,0),0)</f>
        <v>0</v>
      </c>
      <c r="W396" s="151" t="str">
        <f aca="false">IF(ISNUMBER(B396),B396*(1+1/'13_Mapa_Liq'!$B$17-'13_Mapa_Liq'!$B$6),"")</f>
        <v/>
      </c>
      <c r="X396" s="151" t="n">
        <f aca="false">IF(ISNUMBER(B396),IF(L396&lt;W396,J396*'13_Mapa_Liq'!$C$17,0),0)</f>
        <v>0</v>
      </c>
      <c r="Y396" s="151" t="str">
        <f aca="false">IF(ISNUMBER(B396),B396*(1-1/'13_Mapa_Liq'!$B$18+'13_Mapa_Liq'!$B$6),"")</f>
        <v/>
      </c>
      <c r="Z396" s="151" t="n">
        <f aca="false">IF(ISNUMBER(B396),IF(K396&gt;Y396,I396*'13_Mapa_Liq'!$C$18,0),0)</f>
        <v>0</v>
      </c>
      <c r="AA396" s="151" t="str">
        <f aca="false">IF(ISNUMBER(B396),B396*(1+1/'13_Mapa_Liq'!$B$18-'13_Mapa_Liq'!$B$6),"")</f>
        <v/>
      </c>
      <c r="AB396" s="151" t="n">
        <f aca="false">IF(ISNUMBER(B396),IF(L396&lt;AA396,J396*'13_Mapa_Liq'!$C$18,0),0)</f>
        <v>0</v>
      </c>
      <c r="AC396" s="151" t="str">
        <f aca="false">IF(ISNUMBER(B396),B396*(1-1/'13_Mapa_Liq'!$B$19+'13_Mapa_Liq'!$B$6),"")</f>
        <v/>
      </c>
      <c r="AD396" s="151" t="n">
        <f aca="false">IF(ISNUMBER(B396),IF(K396&gt;AC396,I396*'13_Mapa_Liq'!$C$19,0),0)</f>
        <v>0</v>
      </c>
      <c r="AE396" s="151" t="str">
        <f aca="false">IF(ISNUMBER(B396),B396*(1+1/'13_Mapa_Liq'!$B$19-'13_Mapa_Liq'!$B$6),"")</f>
        <v/>
      </c>
      <c r="AF396" s="151" t="n">
        <f aca="false">IF(ISNUMBER(B396),IF(L396&lt;AE396,J396*'13_Mapa_Liq'!$C$19,0),0)</f>
        <v>0</v>
      </c>
      <c r="AG396" s="151"/>
      <c r="AH396" s="151" t="n">
        <f aca="false">IF(ISNUMBER(B396),E396*F396*((K396&lt;=M396)*'13_Mapa_Liq'!$C$15+(K396&lt;=Q396)*'13_Mapa_Liq'!$C$16+(K396&lt;=U396)*'13_Mapa_Liq'!$C$17+(K396&lt;=Y396)*'13_Mapa_Liq'!$C$18+(K396&lt;=AC396)*'13_Mapa_Liq'!$C$19),0)</f>
        <v>0</v>
      </c>
      <c r="AI396" s="151" t="n">
        <f aca="false">IF(ISNUMBER(B396),E396*(1-F396)*((L396&gt;=O396)*'13_Mapa_Liq'!$C$15+(L396&gt;=S396)*'13_Mapa_Liq'!$C$16+(L396&gt;=W396)*'13_Mapa_Liq'!$C$17+(L396&gt;=AA396)*'13_Mapa_Liq'!$C$18+(L396&gt;=AE396)*'13_Mapa_Liq'!$C$19),0)</f>
        <v>0</v>
      </c>
    </row>
    <row r="397" customFormat="false" ht="15" hidden="false" customHeight="false" outlineLevel="0" collapsed="false">
      <c r="A397" s="151" t="str">
        <f aca="false">IF(ISNUMBER('12_Datos_5m'!F397),ROW()-4,"")</f>
        <v/>
      </c>
      <c r="B397" s="151" t="str">
        <f aca="false">IF(ISNUMBER('12_Datos_5m'!F397),'12_Datos_5m'!F397,"")</f>
        <v/>
      </c>
      <c r="C397" s="151" t="str">
        <f aca="false">IF(ISNUMBER('12_Datos_5m'!A397),'12_Datos_5m'!A397,"")</f>
        <v/>
      </c>
      <c r="D397" s="151" t="n">
        <f aca="false">IF(AND(ISNUMBER('12_Datos_5m'!I397),ISNUMBER('12_Datos_5m'!I396)),'12_Datos_5m'!I397-'12_Datos_5m'!I396,0)</f>
        <v>0</v>
      </c>
      <c r="E397" s="151" t="n">
        <f aca="false">MAX(0,D397)</f>
        <v>0</v>
      </c>
      <c r="F397" s="151" t="n">
        <f aca="false">IF(AND(ISNUMBER('12_Datos_5m'!G397),N('12_Datos_5m'!G397)&gt;0),'12_Datos_5m'!H397/'12_Datos_5m'!G397,0.5)</f>
        <v>0.5</v>
      </c>
      <c r="G397" s="151" t="n">
        <f aca="false">IF(ISNUMBER(C397),($C$2-C397)/3600000,0)</f>
        <v>0</v>
      </c>
      <c r="H397" s="151" t="n">
        <f aca="false">EXP(-G397/'13_Mapa_Liq'!$B$7)</f>
        <v>1</v>
      </c>
      <c r="I397" s="151" t="n">
        <f aca="false">E397*F397*H397</f>
        <v>0</v>
      </c>
      <c r="J397" s="151" t="n">
        <f aca="false">E397*(1-F397)*H397</f>
        <v>0</v>
      </c>
      <c r="K397" s="151" t="n">
        <f aca="false">IF(COUNT('12_Datos_5m'!E398:E$504)=0,1000000000000,MIN('12_Datos_5m'!E398:E$504))</f>
        <v>1000000000000</v>
      </c>
      <c r="L397" s="151" t="n">
        <f aca="false">IF(COUNT('12_Datos_5m'!D398:D$504)=0,0,MAX('12_Datos_5m'!D398:D$504))</f>
        <v>0</v>
      </c>
      <c r="M397" s="151" t="str">
        <f aca="false">IF(ISNUMBER(B397),B397*(1-1/'13_Mapa_Liq'!$B$15+'13_Mapa_Liq'!$B$6),"")</f>
        <v/>
      </c>
      <c r="N397" s="151" t="n">
        <f aca="false">IF(ISNUMBER(B397),IF(K397&gt;M397,I397*'13_Mapa_Liq'!$C$15,0),0)</f>
        <v>0</v>
      </c>
      <c r="O397" s="151" t="str">
        <f aca="false">IF(ISNUMBER(B397),B397*(1+1/'13_Mapa_Liq'!$B$15-'13_Mapa_Liq'!$B$6),"")</f>
        <v/>
      </c>
      <c r="P397" s="151" t="n">
        <f aca="false">IF(ISNUMBER(B397),IF(L397&lt;O397,J397*'13_Mapa_Liq'!$C$15,0),0)</f>
        <v>0</v>
      </c>
      <c r="Q397" s="151" t="str">
        <f aca="false">IF(ISNUMBER(B397),B397*(1-1/'13_Mapa_Liq'!$B$16+'13_Mapa_Liq'!$B$6),"")</f>
        <v/>
      </c>
      <c r="R397" s="151" t="n">
        <f aca="false">IF(ISNUMBER(B397),IF(K397&gt;Q397,I397*'13_Mapa_Liq'!$C$16,0),0)</f>
        <v>0</v>
      </c>
      <c r="S397" s="151" t="str">
        <f aca="false">IF(ISNUMBER(B397),B397*(1+1/'13_Mapa_Liq'!$B$16-'13_Mapa_Liq'!$B$6),"")</f>
        <v/>
      </c>
      <c r="T397" s="151" t="n">
        <f aca="false">IF(ISNUMBER(B397),IF(L397&lt;S397,J397*'13_Mapa_Liq'!$C$16,0),0)</f>
        <v>0</v>
      </c>
      <c r="U397" s="151" t="str">
        <f aca="false">IF(ISNUMBER(B397),B397*(1-1/'13_Mapa_Liq'!$B$17+'13_Mapa_Liq'!$B$6),"")</f>
        <v/>
      </c>
      <c r="V397" s="151" t="n">
        <f aca="false">IF(ISNUMBER(B397),IF(K397&gt;U397,I397*'13_Mapa_Liq'!$C$17,0),0)</f>
        <v>0</v>
      </c>
      <c r="W397" s="151" t="str">
        <f aca="false">IF(ISNUMBER(B397),B397*(1+1/'13_Mapa_Liq'!$B$17-'13_Mapa_Liq'!$B$6),"")</f>
        <v/>
      </c>
      <c r="X397" s="151" t="n">
        <f aca="false">IF(ISNUMBER(B397),IF(L397&lt;W397,J397*'13_Mapa_Liq'!$C$17,0),0)</f>
        <v>0</v>
      </c>
      <c r="Y397" s="151" t="str">
        <f aca="false">IF(ISNUMBER(B397),B397*(1-1/'13_Mapa_Liq'!$B$18+'13_Mapa_Liq'!$B$6),"")</f>
        <v/>
      </c>
      <c r="Z397" s="151" t="n">
        <f aca="false">IF(ISNUMBER(B397),IF(K397&gt;Y397,I397*'13_Mapa_Liq'!$C$18,0),0)</f>
        <v>0</v>
      </c>
      <c r="AA397" s="151" t="str">
        <f aca="false">IF(ISNUMBER(B397),B397*(1+1/'13_Mapa_Liq'!$B$18-'13_Mapa_Liq'!$B$6),"")</f>
        <v/>
      </c>
      <c r="AB397" s="151" t="n">
        <f aca="false">IF(ISNUMBER(B397),IF(L397&lt;AA397,J397*'13_Mapa_Liq'!$C$18,0),0)</f>
        <v>0</v>
      </c>
      <c r="AC397" s="151" t="str">
        <f aca="false">IF(ISNUMBER(B397),B397*(1-1/'13_Mapa_Liq'!$B$19+'13_Mapa_Liq'!$B$6),"")</f>
        <v/>
      </c>
      <c r="AD397" s="151" t="n">
        <f aca="false">IF(ISNUMBER(B397),IF(K397&gt;AC397,I397*'13_Mapa_Liq'!$C$19,0),0)</f>
        <v>0</v>
      </c>
      <c r="AE397" s="151" t="str">
        <f aca="false">IF(ISNUMBER(B397),B397*(1+1/'13_Mapa_Liq'!$B$19-'13_Mapa_Liq'!$B$6),"")</f>
        <v/>
      </c>
      <c r="AF397" s="151" t="n">
        <f aca="false">IF(ISNUMBER(B397),IF(L397&lt;AE397,J397*'13_Mapa_Liq'!$C$19,0),0)</f>
        <v>0</v>
      </c>
      <c r="AG397" s="151"/>
      <c r="AH397" s="151" t="n">
        <f aca="false">IF(ISNUMBER(B397),E397*F397*((K397&lt;=M397)*'13_Mapa_Liq'!$C$15+(K397&lt;=Q397)*'13_Mapa_Liq'!$C$16+(K397&lt;=U397)*'13_Mapa_Liq'!$C$17+(K397&lt;=Y397)*'13_Mapa_Liq'!$C$18+(K397&lt;=AC397)*'13_Mapa_Liq'!$C$19),0)</f>
        <v>0</v>
      </c>
      <c r="AI397" s="151" t="n">
        <f aca="false">IF(ISNUMBER(B397),E397*(1-F397)*((L397&gt;=O397)*'13_Mapa_Liq'!$C$15+(L397&gt;=S397)*'13_Mapa_Liq'!$C$16+(L397&gt;=W397)*'13_Mapa_Liq'!$C$17+(L397&gt;=AA397)*'13_Mapa_Liq'!$C$18+(L397&gt;=AE397)*'13_Mapa_Liq'!$C$19),0)</f>
        <v>0</v>
      </c>
    </row>
    <row r="398" customFormat="false" ht="15" hidden="false" customHeight="false" outlineLevel="0" collapsed="false">
      <c r="A398" s="151" t="str">
        <f aca="false">IF(ISNUMBER('12_Datos_5m'!F398),ROW()-4,"")</f>
        <v/>
      </c>
      <c r="B398" s="151" t="str">
        <f aca="false">IF(ISNUMBER('12_Datos_5m'!F398),'12_Datos_5m'!F398,"")</f>
        <v/>
      </c>
      <c r="C398" s="151" t="str">
        <f aca="false">IF(ISNUMBER('12_Datos_5m'!A398),'12_Datos_5m'!A398,"")</f>
        <v/>
      </c>
      <c r="D398" s="151" t="n">
        <f aca="false">IF(AND(ISNUMBER('12_Datos_5m'!I398),ISNUMBER('12_Datos_5m'!I397)),'12_Datos_5m'!I398-'12_Datos_5m'!I397,0)</f>
        <v>0</v>
      </c>
      <c r="E398" s="151" t="n">
        <f aca="false">MAX(0,D398)</f>
        <v>0</v>
      </c>
      <c r="F398" s="151" t="n">
        <f aca="false">IF(AND(ISNUMBER('12_Datos_5m'!G398),N('12_Datos_5m'!G398)&gt;0),'12_Datos_5m'!H398/'12_Datos_5m'!G398,0.5)</f>
        <v>0.5</v>
      </c>
      <c r="G398" s="151" t="n">
        <f aca="false">IF(ISNUMBER(C398),($C$2-C398)/3600000,0)</f>
        <v>0</v>
      </c>
      <c r="H398" s="151" t="n">
        <f aca="false">EXP(-G398/'13_Mapa_Liq'!$B$7)</f>
        <v>1</v>
      </c>
      <c r="I398" s="151" t="n">
        <f aca="false">E398*F398*H398</f>
        <v>0</v>
      </c>
      <c r="J398" s="151" t="n">
        <f aca="false">E398*(1-F398)*H398</f>
        <v>0</v>
      </c>
      <c r="K398" s="151" t="n">
        <f aca="false">IF(COUNT('12_Datos_5m'!E399:E$504)=0,1000000000000,MIN('12_Datos_5m'!E399:E$504))</f>
        <v>1000000000000</v>
      </c>
      <c r="L398" s="151" t="n">
        <f aca="false">IF(COUNT('12_Datos_5m'!D399:D$504)=0,0,MAX('12_Datos_5m'!D399:D$504))</f>
        <v>0</v>
      </c>
      <c r="M398" s="151" t="str">
        <f aca="false">IF(ISNUMBER(B398),B398*(1-1/'13_Mapa_Liq'!$B$15+'13_Mapa_Liq'!$B$6),"")</f>
        <v/>
      </c>
      <c r="N398" s="151" t="n">
        <f aca="false">IF(ISNUMBER(B398),IF(K398&gt;M398,I398*'13_Mapa_Liq'!$C$15,0),0)</f>
        <v>0</v>
      </c>
      <c r="O398" s="151" t="str">
        <f aca="false">IF(ISNUMBER(B398),B398*(1+1/'13_Mapa_Liq'!$B$15-'13_Mapa_Liq'!$B$6),"")</f>
        <v/>
      </c>
      <c r="P398" s="151" t="n">
        <f aca="false">IF(ISNUMBER(B398),IF(L398&lt;O398,J398*'13_Mapa_Liq'!$C$15,0),0)</f>
        <v>0</v>
      </c>
      <c r="Q398" s="151" t="str">
        <f aca="false">IF(ISNUMBER(B398),B398*(1-1/'13_Mapa_Liq'!$B$16+'13_Mapa_Liq'!$B$6),"")</f>
        <v/>
      </c>
      <c r="R398" s="151" t="n">
        <f aca="false">IF(ISNUMBER(B398),IF(K398&gt;Q398,I398*'13_Mapa_Liq'!$C$16,0),0)</f>
        <v>0</v>
      </c>
      <c r="S398" s="151" t="str">
        <f aca="false">IF(ISNUMBER(B398),B398*(1+1/'13_Mapa_Liq'!$B$16-'13_Mapa_Liq'!$B$6),"")</f>
        <v/>
      </c>
      <c r="T398" s="151" t="n">
        <f aca="false">IF(ISNUMBER(B398),IF(L398&lt;S398,J398*'13_Mapa_Liq'!$C$16,0),0)</f>
        <v>0</v>
      </c>
      <c r="U398" s="151" t="str">
        <f aca="false">IF(ISNUMBER(B398),B398*(1-1/'13_Mapa_Liq'!$B$17+'13_Mapa_Liq'!$B$6),"")</f>
        <v/>
      </c>
      <c r="V398" s="151" t="n">
        <f aca="false">IF(ISNUMBER(B398),IF(K398&gt;U398,I398*'13_Mapa_Liq'!$C$17,0),0)</f>
        <v>0</v>
      </c>
      <c r="W398" s="151" t="str">
        <f aca="false">IF(ISNUMBER(B398),B398*(1+1/'13_Mapa_Liq'!$B$17-'13_Mapa_Liq'!$B$6),"")</f>
        <v/>
      </c>
      <c r="X398" s="151" t="n">
        <f aca="false">IF(ISNUMBER(B398),IF(L398&lt;W398,J398*'13_Mapa_Liq'!$C$17,0),0)</f>
        <v>0</v>
      </c>
      <c r="Y398" s="151" t="str">
        <f aca="false">IF(ISNUMBER(B398),B398*(1-1/'13_Mapa_Liq'!$B$18+'13_Mapa_Liq'!$B$6),"")</f>
        <v/>
      </c>
      <c r="Z398" s="151" t="n">
        <f aca="false">IF(ISNUMBER(B398),IF(K398&gt;Y398,I398*'13_Mapa_Liq'!$C$18,0),0)</f>
        <v>0</v>
      </c>
      <c r="AA398" s="151" t="str">
        <f aca="false">IF(ISNUMBER(B398),B398*(1+1/'13_Mapa_Liq'!$B$18-'13_Mapa_Liq'!$B$6),"")</f>
        <v/>
      </c>
      <c r="AB398" s="151" t="n">
        <f aca="false">IF(ISNUMBER(B398),IF(L398&lt;AA398,J398*'13_Mapa_Liq'!$C$18,0),0)</f>
        <v>0</v>
      </c>
      <c r="AC398" s="151" t="str">
        <f aca="false">IF(ISNUMBER(B398),B398*(1-1/'13_Mapa_Liq'!$B$19+'13_Mapa_Liq'!$B$6),"")</f>
        <v/>
      </c>
      <c r="AD398" s="151" t="n">
        <f aca="false">IF(ISNUMBER(B398),IF(K398&gt;AC398,I398*'13_Mapa_Liq'!$C$19,0),0)</f>
        <v>0</v>
      </c>
      <c r="AE398" s="151" t="str">
        <f aca="false">IF(ISNUMBER(B398),B398*(1+1/'13_Mapa_Liq'!$B$19-'13_Mapa_Liq'!$B$6),"")</f>
        <v/>
      </c>
      <c r="AF398" s="151" t="n">
        <f aca="false">IF(ISNUMBER(B398),IF(L398&lt;AE398,J398*'13_Mapa_Liq'!$C$19,0),0)</f>
        <v>0</v>
      </c>
      <c r="AG398" s="151"/>
      <c r="AH398" s="151" t="n">
        <f aca="false">IF(ISNUMBER(B398),E398*F398*((K398&lt;=M398)*'13_Mapa_Liq'!$C$15+(K398&lt;=Q398)*'13_Mapa_Liq'!$C$16+(K398&lt;=U398)*'13_Mapa_Liq'!$C$17+(K398&lt;=Y398)*'13_Mapa_Liq'!$C$18+(K398&lt;=AC398)*'13_Mapa_Liq'!$C$19),0)</f>
        <v>0</v>
      </c>
      <c r="AI398" s="151" t="n">
        <f aca="false">IF(ISNUMBER(B398),E398*(1-F398)*((L398&gt;=O398)*'13_Mapa_Liq'!$C$15+(L398&gt;=S398)*'13_Mapa_Liq'!$C$16+(L398&gt;=W398)*'13_Mapa_Liq'!$C$17+(L398&gt;=AA398)*'13_Mapa_Liq'!$C$18+(L398&gt;=AE398)*'13_Mapa_Liq'!$C$19),0)</f>
        <v>0</v>
      </c>
    </row>
    <row r="399" customFormat="false" ht="15" hidden="false" customHeight="false" outlineLevel="0" collapsed="false">
      <c r="A399" s="151" t="str">
        <f aca="false">IF(ISNUMBER('12_Datos_5m'!F399),ROW()-4,"")</f>
        <v/>
      </c>
      <c r="B399" s="151" t="str">
        <f aca="false">IF(ISNUMBER('12_Datos_5m'!F399),'12_Datos_5m'!F399,"")</f>
        <v/>
      </c>
      <c r="C399" s="151" t="str">
        <f aca="false">IF(ISNUMBER('12_Datos_5m'!A399),'12_Datos_5m'!A399,"")</f>
        <v/>
      </c>
      <c r="D399" s="151" t="n">
        <f aca="false">IF(AND(ISNUMBER('12_Datos_5m'!I399),ISNUMBER('12_Datos_5m'!I398)),'12_Datos_5m'!I399-'12_Datos_5m'!I398,0)</f>
        <v>0</v>
      </c>
      <c r="E399" s="151" t="n">
        <f aca="false">MAX(0,D399)</f>
        <v>0</v>
      </c>
      <c r="F399" s="151" t="n">
        <f aca="false">IF(AND(ISNUMBER('12_Datos_5m'!G399),N('12_Datos_5m'!G399)&gt;0),'12_Datos_5m'!H399/'12_Datos_5m'!G399,0.5)</f>
        <v>0.5</v>
      </c>
      <c r="G399" s="151" t="n">
        <f aca="false">IF(ISNUMBER(C399),($C$2-C399)/3600000,0)</f>
        <v>0</v>
      </c>
      <c r="H399" s="151" t="n">
        <f aca="false">EXP(-G399/'13_Mapa_Liq'!$B$7)</f>
        <v>1</v>
      </c>
      <c r="I399" s="151" t="n">
        <f aca="false">E399*F399*H399</f>
        <v>0</v>
      </c>
      <c r="J399" s="151" t="n">
        <f aca="false">E399*(1-F399)*H399</f>
        <v>0</v>
      </c>
      <c r="K399" s="151" t="n">
        <f aca="false">IF(COUNT('12_Datos_5m'!E400:E$504)=0,1000000000000,MIN('12_Datos_5m'!E400:E$504))</f>
        <v>1000000000000</v>
      </c>
      <c r="L399" s="151" t="n">
        <f aca="false">IF(COUNT('12_Datos_5m'!D400:D$504)=0,0,MAX('12_Datos_5m'!D400:D$504))</f>
        <v>0</v>
      </c>
      <c r="M399" s="151" t="str">
        <f aca="false">IF(ISNUMBER(B399),B399*(1-1/'13_Mapa_Liq'!$B$15+'13_Mapa_Liq'!$B$6),"")</f>
        <v/>
      </c>
      <c r="N399" s="151" t="n">
        <f aca="false">IF(ISNUMBER(B399),IF(K399&gt;M399,I399*'13_Mapa_Liq'!$C$15,0),0)</f>
        <v>0</v>
      </c>
      <c r="O399" s="151" t="str">
        <f aca="false">IF(ISNUMBER(B399),B399*(1+1/'13_Mapa_Liq'!$B$15-'13_Mapa_Liq'!$B$6),"")</f>
        <v/>
      </c>
      <c r="P399" s="151" t="n">
        <f aca="false">IF(ISNUMBER(B399),IF(L399&lt;O399,J399*'13_Mapa_Liq'!$C$15,0),0)</f>
        <v>0</v>
      </c>
      <c r="Q399" s="151" t="str">
        <f aca="false">IF(ISNUMBER(B399),B399*(1-1/'13_Mapa_Liq'!$B$16+'13_Mapa_Liq'!$B$6),"")</f>
        <v/>
      </c>
      <c r="R399" s="151" t="n">
        <f aca="false">IF(ISNUMBER(B399),IF(K399&gt;Q399,I399*'13_Mapa_Liq'!$C$16,0),0)</f>
        <v>0</v>
      </c>
      <c r="S399" s="151" t="str">
        <f aca="false">IF(ISNUMBER(B399),B399*(1+1/'13_Mapa_Liq'!$B$16-'13_Mapa_Liq'!$B$6),"")</f>
        <v/>
      </c>
      <c r="T399" s="151" t="n">
        <f aca="false">IF(ISNUMBER(B399),IF(L399&lt;S399,J399*'13_Mapa_Liq'!$C$16,0),0)</f>
        <v>0</v>
      </c>
      <c r="U399" s="151" t="str">
        <f aca="false">IF(ISNUMBER(B399),B399*(1-1/'13_Mapa_Liq'!$B$17+'13_Mapa_Liq'!$B$6),"")</f>
        <v/>
      </c>
      <c r="V399" s="151" t="n">
        <f aca="false">IF(ISNUMBER(B399),IF(K399&gt;U399,I399*'13_Mapa_Liq'!$C$17,0),0)</f>
        <v>0</v>
      </c>
      <c r="W399" s="151" t="str">
        <f aca="false">IF(ISNUMBER(B399),B399*(1+1/'13_Mapa_Liq'!$B$17-'13_Mapa_Liq'!$B$6),"")</f>
        <v/>
      </c>
      <c r="X399" s="151" t="n">
        <f aca="false">IF(ISNUMBER(B399),IF(L399&lt;W399,J399*'13_Mapa_Liq'!$C$17,0),0)</f>
        <v>0</v>
      </c>
      <c r="Y399" s="151" t="str">
        <f aca="false">IF(ISNUMBER(B399),B399*(1-1/'13_Mapa_Liq'!$B$18+'13_Mapa_Liq'!$B$6),"")</f>
        <v/>
      </c>
      <c r="Z399" s="151" t="n">
        <f aca="false">IF(ISNUMBER(B399),IF(K399&gt;Y399,I399*'13_Mapa_Liq'!$C$18,0),0)</f>
        <v>0</v>
      </c>
      <c r="AA399" s="151" t="str">
        <f aca="false">IF(ISNUMBER(B399),B399*(1+1/'13_Mapa_Liq'!$B$18-'13_Mapa_Liq'!$B$6),"")</f>
        <v/>
      </c>
      <c r="AB399" s="151" t="n">
        <f aca="false">IF(ISNUMBER(B399),IF(L399&lt;AA399,J399*'13_Mapa_Liq'!$C$18,0),0)</f>
        <v>0</v>
      </c>
      <c r="AC399" s="151" t="str">
        <f aca="false">IF(ISNUMBER(B399),B399*(1-1/'13_Mapa_Liq'!$B$19+'13_Mapa_Liq'!$B$6),"")</f>
        <v/>
      </c>
      <c r="AD399" s="151" t="n">
        <f aca="false">IF(ISNUMBER(B399),IF(K399&gt;AC399,I399*'13_Mapa_Liq'!$C$19,0),0)</f>
        <v>0</v>
      </c>
      <c r="AE399" s="151" t="str">
        <f aca="false">IF(ISNUMBER(B399),B399*(1+1/'13_Mapa_Liq'!$B$19-'13_Mapa_Liq'!$B$6),"")</f>
        <v/>
      </c>
      <c r="AF399" s="151" t="n">
        <f aca="false">IF(ISNUMBER(B399),IF(L399&lt;AE399,J399*'13_Mapa_Liq'!$C$19,0),0)</f>
        <v>0</v>
      </c>
      <c r="AG399" s="151"/>
      <c r="AH399" s="151" t="n">
        <f aca="false">IF(ISNUMBER(B399),E399*F399*((K399&lt;=M399)*'13_Mapa_Liq'!$C$15+(K399&lt;=Q399)*'13_Mapa_Liq'!$C$16+(K399&lt;=U399)*'13_Mapa_Liq'!$C$17+(K399&lt;=Y399)*'13_Mapa_Liq'!$C$18+(K399&lt;=AC399)*'13_Mapa_Liq'!$C$19),0)</f>
        <v>0</v>
      </c>
      <c r="AI399" s="151" t="n">
        <f aca="false">IF(ISNUMBER(B399),E399*(1-F399)*((L399&gt;=O399)*'13_Mapa_Liq'!$C$15+(L399&gt;=S399)*'13_Mapa_Liq'!$C$16+(L399&gt;=W399)*'13_Mapa_Liq'!$C$17+(L399&gt;=AA399)*'13_Mapa_Liq'!$C$18+(L399&gt;=AE399)*'13_Mapa_Liq'!$C$19),0)</f>
        <v>0</v>
      </c>
    </row>
    <row r="400" customFormat="false" ht="15" hidden="false" customHeight="false" outlineLevel="0" collapsed="false">
      <c r="A400" s="151" t="str">
        <f aca="false">IF(ISNUMBER('12_Datos_5m'!F400),ROW()-4,"")</f>
        <v/>
      </c>
      <c r="B400" s="151" t="str">
        <f aca="false">IF(ISNUMBER('12_Datos_5m'!F400),'12_Datos_5m'!F400,"")</f>
        <v/>
      </c>
      <c r="C400" s="151" t="str">
        <f aca="false">IF(ISNUMBER('12_Datos_5m'!A400),'12_Datos_5m'!A400,"")</f>
        <v/>
      </c>
      <c r="D400" s="151" t="n">
        <f aca="false">IF(AND(ISNUMBER('12_Datos_5m'!I400),ISNUMBER('12_Datos_5m'!I399)),'12_Datos_5m'!I400-'12_Datos_5m'!I399,0)</f>
        <v>0</v>
      </c>
      <c r="E400" s="151" t="n">
        <f aca="false">MAX(0,D400)</f>
        <v>0</v>
      </c>
      <c r="F400" s="151" t="n">
        <f aca="false">IF(AND(ISNUMBER('12_Datos_5m'!G400),N('12_Datos_5m'!G400)&gt;0),'12_Datos_5m'!H400/'12_Datos_5m'!G400,0.5)</f>
        <v>0.5</v>
      </c>
      <c r="G400" s="151" t="n">
        <f aca="false">IF(ISNUMBER(C400),($C$2-C400)/3600000,0)</f>
        <v>0</v>
      </c>
      <c r="H400" s="151" t="n">
        <f aca="false">EXP(-G400/'13_Mapa_Liq'!$B$7)</f>
        <v>1</v>
      </c>
      <c r="I400" s="151" t="n">
        <f aca="false">E400*F400*H400</f>
        <v>0</v>
      </c>
      <c r="J400" s="151" t="n">
        <f aca="false">E400*(1-F400)*H400</f>
        <v>0</v>
      </c>
      <c r="K400" s="151" t="n">
        <f aca="false">IF(COUNT('12_Datos_5m'!E401:E$504)=0,1000000000000,MIN('12_Datos_5m'!E401:E$504))</f>
        <v>1000000000000</v>
      </c>
      <c r="L400" s="151" t="n">
        <f aca="false">IF(COUNT('12_Datos_5m'!D401:D$504)=0,0,MAX('12_Datos_5m'!D401:D$504))</f>
        <v>0</v>
      </c>
      <c r="M400" s="151" t="str">
        <f aca="false">IF(ISNUMBER(B400),B400*(1-1/'13_Mapa_Liq'!$B$15+'13_Mapa_Liq'!$B$6),"")</f>
        <v/>
      </c>
      <c r="N400" s="151" t="n">
        <f aca="false">IF(ISNUMBER(B400),IF(K400&gt;M400,I400*'13_Mapa_Liq'!$C$15,0),0)</f>
        <v>0</v>
      </c>
      <c r="O400" s="151" t="str">
        <f aca="false">IF(ISNUMBER(B400),B400*(1+1/'13_Mapa_Liq'!$B$15-'13_Mapa_Liq'!$B$6),"")</f>
        <v/>
      </c>
      <c r="P400" s="151" t="n">
        <f aca="false">IF(ISNUMBER(B400),IF(L400&lt;O400,J400*'13_Mapa_Liq'!$C$15,0),0)</f>
        <v>0</v>
      </c>
      <c r="Q400" s="151" t="str">
        <f aca="false">IF(ISNUMBER(B400),B400*(1-1/'13_Mapa_Liq'!$B$16+'13_Mapa_Liq'!$B$6),"")</f>
        <v/>
      </c>
      <c r="R400" s="151" t="n">
        <f aca="false">IF(ISNUMBER(B400),IF(K400&gt;Q400,I400*'13_Mapa_Liq'!$C$16,0),0)</f>
        <v>0</v>
      </c>
      <c r="S400" s="151" t="str">
        <f aca="false">IF(ISNUMBER(B400),B400*(1+1/'13_Mapa_Liq'!$B$16-'13_Mapa_Liq'!$B$6),"")</f>
        <v/>
      </c>
      <c r="T400" s="151" t="n">
        <f aca="false">IF(ISNUMBER(B400),IF(L400&lt;S400,J400*'13_Mapa_Liq'!$C$16,0),0)</f>
        <v>0</v>
      </c>
      <c r="U400" s="151" t="str">
        <f aca="false">IF(ISNUMBER(B400),B400*(1-1/'13_Mapa_Liq'!$B$17+'13_Mapa_Liq'!$B$6),"")</f>
        <v/>
      </c>
      <c r="V400" s="151" t="n">
        <f aca="false">IF(ISNUMBER(B400),IF(K400&gt;U400,I400*'13_Mapa_Liq'!$C$17,0),0)</f>
        <v>0</v>
      </c>
      <c r="W400" s="151" t="str">
        <f aca="false">IF(ISNUMBER(B400),B400*(1+1/'13_Mapa_Liq'!$B$17-'13_Mapa_Liq'!$B$6),"")</f>
        <v/>
      </c>
      <c r="X400" s="151" t="n">
        <f aca="false">IF(ISNUMBER(B400),IF(L400&lt;W400,J400*'13_Mapa_Liq'!$C$17,0),0)</f>
        <v>0</v>
      </c>
      <c r="Y400" s="151" t="str">
        <f aca="false">IF(ISNUMBER(B400),B400*(1-1/'13_Mapa_Liq'!$B$18+'13_Mapa_Liq'!$B$6),"")</f>
        <v/>
      </c>
      <c r="Z400" s="151" t="n">
        <f aca="false">IF(ISNUMBER(B400),IF(K400&gt;Y400,I400*'13_Mapa_Liq'!$C$18,0),0)</f>
        <v>0</v>
      </c>
      <c r="AA400" s="151" t="str">
        <f aca="false">IF(ISNUMBER(B400),B400*(1+1/'13_Mapa_Liq'!$B$18-'13_Mapa_Liq'!$B$6),"")</f>
        <v/>
      </c>
      <c r="AB400" s="151" t="n">
        <f aca="false">IF(ISNUMBER(B400),IF(L400&lt;AA400,J400*'13_Mapa_Liq'!$C$18,0),0)</f>
        <v>0</v>
      </c>
      <c r="AC400" s="151" t="str">
        <f aca="false">IF(ISNUMBER(B400),B400*(1-1/'13_Mapa_Liq'!$B$19+'13_Mapa_Liq'!$B$6),"")</f>
        <v/>
      </c>
      <c r="AD400" s="151" t="n">
        <f aca="false">IF(ISNUMBER(B400),IF(K400&gt;AC400,I400*'13_Mapa_Liq'!$C$19,0),0)</f>
        <v>0</v>
      </c>
      <c r="AE400" s="151" t="str">
        <f aca="false">IF(ISNUMBER(B400),B400*(1+1/'13_Mapa_Liq'!$B$19-'13_Mapa_Liq'!$B$6),"")</f>
        <v/>
      </c>
      <c r="AF400" s="151" t="n">
        <f aca="false">IF(ISNUMBER(B400),IF(L400&lt;AE400,J400*'13_Mapa_Liq'!$C$19,0),0)</f>
        <v>0</v>
      </c>
      <c r="AG400" s="151"/>
      <c r="AH400" s="151" t="n">
        <f aca="false">IF(ISNUMBER(B400),E400*F400*((K400&lt;=M400)*'13_Mapa_Liq'!$C$15+(K400&lt;=Q400)*'13_Mapa_Liq'!$C$16+(K400&lt;=U400)*'13_Mapa_Liq'!$C$17+(K400&lt;=Y400)*'13_Mapa_Liq'!$C$18+(K400&lt;=AC400)*'13_Mapa_Liq'!$C$19),0)</f>
        <v>0</v>
      </c>
      <c r="AI400" s="151" t="n">
        <f aca="false">IF(ISNUMBER(B400),E400*(1-F400)*((L400&gt;=O400)*'13_Mapa_Liq'!$C$15+(L400&gt;=S400)*'13_Mapa_Liq'!$C$16+(L400&gt;=W400)*'13_Mapa_Liq'!$C$17+(L400&gt;=AA400)*'13_Mapa_Liq'!$C$18+(L400&gt;=AE400)*'13_Mapa_Liq'!$C$19),0)</f>
        <v>0</v>
      </c>
    </row>
    <row r="401" customFormat="false" ht="15" hidden="false" customHeight="false" outlineLevel="0" collapsed="false">
      <c r="A401" s="151" t="str">
        <f aca="false">IF(ISNUMBER('12_Datos_5m'!F401),ROW()-4,"")</f>
        <v/>
      </c>
      <c r="B401" s="151" t="str">
        <f aca="false">IF(ISNUMBER('12_Datos_5m'!F401),'12_Datos_5m'!F401,"")</f>
        <v/>
      </c>
      <c r="C401" s="151" t="str">
        <f aca="false">IF(ISNUMBER('12_Datos_5m'!A401),'12_Datos_5m'!A401,"")</f>
        <v/>
      </c>
      <c r="D401" s="151" t="n">
        <f aca="false">IF(AND(ISNUMBER('12_Datos_5m'!I401),ISNUMBER('12_Datos_5m'!I400)),'12_Datos_5m'!I401-'12_Datos_5m'!I400,0)</f>
        <v>0</v>
      </c>
      <c r="E401" s="151" t="n">
        <f aca="false">MAX(0,D401)</f>
        <v>0</v>
      </c>
      <c r="F401" s="151" t="n">
        <f aca="false">IF(AND(ISNUMBER('12_Datos_5m'!G401),N('12_Datos_5m'!G401)&gt;0),'12_Datos_5m'!H401/'12_Datos_5m'!G401,0.5)</f>
        <v>0.5</v>
      </c>
      <c r="G401" s="151" t="n">
        <f aca="false">IF(ISNUMBER(C401),($C$2-C401)/3600000,0)</f>
        <v>0</v>
      </c>
      <c r="H401" s="151" t="n">
        <f aca="false">EXP(-G401/'13_Mapa_Liq'!$B$7)</f>
        <v>1</v>
      </c>
      <c r="I401" s="151" t="n">
        <f aca="false">E401*F401*H401</f>
        <v>0</v>
      </c>
      <c r="J401" s="151" t="n">
        <f aca="false">E401*(1-F401)*H401</f>
        <v>0</v>
      </c>
      <c r="K401" s="151" t="n">
        <f aca="false">IF(COUNT('12_Datos_5m'!E402:E$504)=0,1000000000000,MIN('12_Datos_5m'!E402:E$504))</f>
        <v>1000000000000</v>
      </c>
      <c r="L401" s="151" t="n">
        <f aca="false">IF(COUNT('12_Datos_5m'!D402:D$504)=0,0,MAX('12_Datos_5m'!D402:D$504))</f>
        <v>0</v>
      </c>
      <c r="M401" s="151" t="str">
        <f aca="false">IF(ISNUMBER(B401),B401*(1-1/'13_Mapa_Liq'!$B$15+'13_Mapa_Liq'!$B$6),"")</f>
        <v/>
      </c>
      <c r="N401" s="151" t="n">
        <f aca="false">IF(ISNUMBER(B401),IF(K401&gt;M401,I401*'13_Mapa_Liq'!$C$15,0),0)</f>
        <v>0</v>
      </c>
      <c r="O401" s="151" t="str">
        <f aca="false">IF(ISNUMBER(B401),B401*(1+1/'13_Mapa_Liq'!$B$15-'13_Mapa_Liq'!$B$6),"")</f>
        <v/>
      </c>
      <c r="P401" s="151" t="n">
        <f aca="false">IF(ISNUMBER(B401),IF(L401&lt;O401,J401*'13_Mapa_Liq'!$C$15,0),0)</f>
        <v>0</v>
      </c>
      <c r="Q401" s="151" t="str">
        <f aca="false">IF(ISNUMBER(B401),B401*(1-1/'13_Mapa_Liq'!$B$16+'13_Mapa_Liq'!$B$6),"")</f>
        <v/>
      </c>
      <c r="R401" s="151" t="n">
        <f aca="false">IF(ISNUMBER(B401),IF(K401&gt;Q401,I401*'13_Mapa_Liq'!$C$16,0),0)</f>
        <v>0</v>
      </c>
      <c r="S401" s="151" t="str">
        <f aca="false">IF(ISNUMBER(B401),B401*(1+1/'13_Mapa_Liq'!$B$16-'13_Mapa_Liq'!$B$6),"")</f>
        <v/>
      </c>
      <c r="T401" s="151" t="n">
        <f aca="false">IF(ISNUMBER(B401),IF(L401&lt;S401,J401*'13_Mapa_Liq'!$C$16,0),0)</f>
        <v>0</v>
      </c>
      <c r="U401" s="151" t="str">
        <f aca="false">IF(ISNUMBER(B401),B401*(1-1/'13_Mapa_Liq'!$B$17+'13_Mapa_Liq'!$B$6),"")</f>
        <v/>
      </c>
      <c r="V401" s="151" t="n">
        <f aca="false">IF(ISNUMBER(B401),IF(K401&gt;U401,I401*'13_Mapa_Liq'!$C$17,0),0)</f>
        <v>0</v>
      </c>
      <c r="W401" s="151" t="str">
        <f aca="false">IF(ISNUMBER(B401),B401*(1+1/'13_Mapa_Liq'!$B$17-'13_Mapa_Liq'!$B$6),"")</f>
        <v/>
      </c>
      <c r="X401" s="151" t="n">
        <f aca="false">IF(ISNUMBER(B401),IF(L401&lt;W401,J401*'13_Mapa_Liq'!$C$17,0),0)</f>
        <v>0</v>
      </c>
      <c r="Y401" s="151" t="str">
        <f aca="false">IF(ISNUMBER(B401),B401*(1-1/'13_Mapa_Liq'!$B$18+'13_Mapa_Liq'!$B$6),"")</f>
        <v/>
      </c>
      <c r="Z401" s="151" t="n">
        <f aca="false">IF(ISNUMBER(B401),IF(K401&gt;Y401,I401*'13_Mapa_Liq'!$C$18,0),0)</f>
        <v>0</v>
      </c>
      <c r="AA401" s="151" t="str">
        <f aca="false">IF(ISNUMBER(B401),B401*(1+1/'13_Mapa_Liq'!$B$18-'13_Mapa_Liq'!$B$6),"")</f>
        <v/>
      </c>
      <c r="AB401" s="151" t="n">
        <f aca="false">IF(ISNUMBER(B401),IF(L401&lt;AA401,J401*'13_Mapa_Liq'!$C$18,0),0)</f>
        <v>0</v>
      </c>
      <c r="AC401" s="151" t="str">
        <f aca="false">IF(ISNUMBER(B401),B401*(1-1/'13_Mapa_Liq'!$B$19+'13_Mapa_Liq'!$B$6),"")</f>
        <v/>
      </c>
      <c r="AD401" s="151" t="n">
        <f aca="false">IF(ISNUMBER(B401),IF(K401&gt;AC401,I401*'13_Mapa_Liq'!$C$19,0),0)</f>
        <v>0</v>
      </c>
      <c r="AE401" s="151" t="str">
        <f aca="false">IF(ISNUMBER(B401),B401*(1+1/'13_Mapa_Liq'!$B$19-'13_Mapa_Liq'!$B$6),"")</f>
        <v/>
      </c>
      <c r="AF401" s="151" t="n">
        <f aca="false">IF(ISNUMBER(B401),IF(L401&lt;AE401,J401*'13_Mapa_Liq'!$C$19,0),0)</f>
        <v>0</v>
      </c>
      <c r="AG401" s="151"/>
      <c r="AH401" s="151" t="n">
        <f aca="false">IF(ISNUMBER(B401),E401*F401*((K401&lt;=M401)*'13_Mapa_Liq'!$C$15+(K401&lt;=Q401)*'13_Mapa_Liq'!$C$16+(K401&lt;=U401)*'13_Mapa_Liq'!$C$17+(K401&lt;=Y401)*'13_Mapa_Liq'!$C$18+(K401&lt;=AC401)*'13_Mapa_Liq'!$C$19),0)</f>
        <v>0</v>
      </c>
      <c r="AI401" s="151" t="n">
        <f aca="false">IF(ISNUMBER(B401),E401*(1-F401)*((L401&gt;=O401)*'13_Mapa_Liq'!$C$15+(L401&gt;=S401)*'13_Mapa_Liq'!$C$16+(L401&gt;=W401)*'13_Mapa_Liq'!$C$17+(L401&gt;=AA401)*'13_Mapa_Liq'!$C$18+(L401&gt;=AE401)*'13_Mapa_Liq'!$C$19),0)</f>
        <v>0</v>
      </c>
    </row>
    <row r="402" customFormat="false" ht="15" hidden="false" customHeight="false" outlineLevel="0" collapsed="false">
      <c r="A402" s="151" t="str">
        <f aca="false">IF(ISNUMBER('12_Datos_5m'!F402),ROW()-4,"")</f>
        <v/>
      </c>
      <c r="B402" s="151" t="str">
        <f aca="false">IF(ISNUMBER('12_Datos_5m'!F402),'12_Datos_5m'!F402,"")</f>
        <v/>
      </c>
      <c r="C402" s="151" t="str">
        <f aca="false">IF(ISNUMBER('12_Datos_5m'!A402),'12_Datos_5m'!A402,"")</f>
        <v/>
      </c>
      <c r="D402" s="151" t="n">
        <f aca="false">IF(AND(ISNUMBER('12_Datos_5m'!I402),ISNUMBER('12_Datos_5m'!I401)),'12_Datos_5m'!I402-'12_Datos_5m'!I401,0)</f>
        <v>0</v>
      </c>
      <c r="E402" s="151" t="n">
        <f aca="false">MAX(0,D402)</f>
        <v>0</v>
      </c>
      <c r="F402" s="151" t="n">
        <f aca="false">IF(AND(ISNUMBER('12_Datos_5m'!G402),N('12_Datos_5m'!G402)&gt;0),'12_Datos_5m'!H402/'12_Datos_5m'!G402,0.5)</f>
        <v>0.5</v>
      </c>
      <c r="G402" s="151" t="n">
        <f aca="false">IF(ISNUMBER(C402),($C$2-C402)/3600000,0)</f>
        <v>0</v>
      </c>
      <c r="H402" s="151" t="n">
        <f aca="false">EXP(-G402/'13_Mapa_Liq'!$B$7)</f>
        <v>1</v>
      </c>
      <c r="I402" s="151" t="n">
        <f aca="false">E402*F402*H402</f>
        <v>0</v>
      </c>
      <c r="J402" s="151" t="n">
        <f aca="false">E402*(1-F402)*H402</f>
        <v>0</v>
      </c>
      <c r="K402" s="151" t="n">
        <f aca="false">IF(COUNT('12_Datos_5m'!E403:E$504)=0,1000000000000,MIN('12_Datos_5m'!E403:E$504))</f>
        <v>1000000000000</v>
      </c>
      <c r="L402" s="151" t="n">
        <f aca="false">IF(COUNT('12_Datos_5m'!D403:D$504)=0,0,MAX('12_Datos_5m'!D403:D$504))</f>
        <v>0</v>
      </c>
      <c r="M402" s="151" t="str">
        <f aca="false">IF(ISNUMBER(B402),B402*(1-1/'13_Mapa_Liq'!$B$15+'13_Mapa_Liq'!$B$6),"")</f>
        <v/>
      </c>
      <c r="N402" s="151" t="n">
        <f aca="false">IF(ISNUMBER(B402),IF(K402&gt;M402,I402*'13_Mapa_Liq'!$C$15,0),0)</f>
        <v>0</v>
      </c>
      <c r="O402" s="151" t="str">
        <f aca="false">IF(ISNUMBER(B402),B402*(1+1/'13_Mapa_Liq'!$B$15-'13_Mapa_Liq'!$B$6),"")</f>
        <v/>
      </c>
      <c r="P402" s="151" t="n">
        <f aca="false">IF(ISNUMBER(B402),IF(L402&lt;O402,J402*'13_Mapa_Liq'!$C$15,0),0)</f>
        <v>0</v>
      </c>
      <c r="Q402" s="151" t="str">
        <f aca="false">IF(ISNUMBER(B402),B402*(1-1/'13_Mapa_Liq'!$B$16+'13_Mapa_Liq'!$B$6),"")</f>
        <v/>
      </c>
      <c r="R402" s="151" t="n">
        <f aca="false">IF(ISNUMBER(B402),IF(K402&gt;Q402,I402*'13_Mapa_Liq'!$C$16,0),0)</f>
        <v>0</v>
      </c>
      <c r="S402" s="151" t="str">
        <f aca="false">IF(ISNUMBER(B402),B402*(1+1/'13_Mapa_Liq'!$B$16-'13_Mapa_Liq'!$B$6),"")</f>
        <v/>
      </c>
      <c r="T402" s="151" t="n">
        <f aca="false">IF(ISNUMBER(B402),IF(L402&lt;S402,J402*'13_Mapa_Liq'!$C$16,0),0)</f>
        <v>0</v>
      </c>
      <c r="U402" s="151" t="str">
        <f aca="false">IF(ISNUMBER(B402),B402*(1-1/'13_Mapa_Liq'!$B$17+'13_Mapa_Liq'!$B$6),"")</f>
        <v/>
      </c>
      <c r="V402" s="151" t="n">
        <f aca="false">IF(ISNUMBER(B402),IF(K402&gt;U402,I402*'13_Mapa_Liq'!$C$17,0),0)</f>
        <v>0</v>
      </c>
      <c r="W402" s="151" t="str">
        <f aca="false">IF(ISNUMBER(B402),B402*(1+1/'13_Mapa_Liq'!$B$17-'13_Mapa_Liq'!$B$6),"")</f>
        <v/>
      </c>
      <c r="X402" s="151" t="n">
        <f aca="false">IF(ISNUMBER(B402),IF(L402&lt;W402,J402*'13_Mapa_Liq'!$C$17,0),0)</f>
        <v>0</v>
      </c>
      <c r="Y402" s="151" t="str">
        <f aca="false">IF(ISNUMBER(B402),B402*(1-1/'13_Mapa_Liq'!$B$18+'13_Mapa_Liq'!$B$6),"")</f>
        <v/>
      </c>
      <c r="Z402" s="151" t="n">
        <f aca="false">IF(ISNUMBER(B402),IF(K402&gt;Y402,I402*'13_Mapa_Liq'!$C$18,0),0)</f>
        <v>0</v>
      </c>
      <c r="AA402" s="151" t="str">
        <f aca="false">IF(ISNUMBER(B402),B402*(1+1/'13_Mapa_Liq'!$B$18-'13_Mapa_Liq'!$B$6),"")</f>
        <v/>
      </c>
      <c r="AB402" s="151" t="n">
        <f aca="false">IF(ISNUMBER(B402),IF(L402&lt;AA402,J402*'13_Mapa_Liq'!$C$18,0),0)</f>
        <v>0</v>
      </c>
      <c r="AC402" s="151" t="str">
        <f aca="false">IF(ISNUMBER(B402),B402*(1-1/'13_Mapa_Liq'!$B$19+'13_Mapa_Liq'!$B$6),"")</f>
        <v/>
      </c>
      <c r="AD402" s="151" t="n">
        <f aca="false">IF(ISNUMBER(B402),IF(K402&gt;AC402,I402*'13_Mapa_Liq'!$C$19,0),0)</f>
        <v>0</v>
      </c>
      <c r="AE402" s="151" t="str">
        <f aca="false">IF(ISNUMBER(B402),B402*(1+1/'13_Mapa_Liq'!$B$19-'13_Mapa_Liq'!$B$6),"")</f>
        <v/>
      </c>
      <c r="AF402" s="151" t="n">
        <f aca="false">IF(ISNUMBER(B402),IF(L402&lt;AE402,J402*'13_Mapa_Liq'!$C$19,0),0)</f>
        <v>0</v>
      </c>
      <c r="AG402" s="151"/>
      <c r="AH402" s="151" t="n">
        <f aca="false">IF(ISNUMBER(B402),E402*F402*((K402&lt;=M402)*'13_Mapa_Liq'!$C$15+(K402&lt;=Q402)*'13_Mapa_Liq'!$C$16+(K402&lt;=U402)*'13_Mapa_Liq'!$C$17+(K402&lt;=Y402)*'13_Mapa_Liq'!$C$18+(K402&lt;=AC402)*'13_Mapa_Liq'!$C$19),0)</f>
        <v>0</v>
      </c>
      <c r="AI402" s="151" t="n">
        <f aca="false">IF(ISNUMBER(B402),E402*(1-F402)*((L402&gt;=O402)*'13_Mapa_Liq'!$C$15+(L402&gt;=S402)*'13_Mapa_Liq'!$C$16+(L402&gt;=W402)*'13_Mapa_Liq'!$C$17+(L402&gt;=AA402)*'13_Mapa_Liq'!$C$18+(L402&gt;=AE402)*'13_Mapa_Liq'!$C$19),0)</f>
        <v>0</v>
      </c>
    </row>
    <row r="403" customFormat="false" ht="15" hidden="false" customHeight="false" outlineLevel="0" collapsed="false">
      <c r="A403" s="151" t="str">
        <f aca="false">IF(ISNUMBER('12_Datos_5m'!F403),ROW()-4,"")</f>
        <v/>
      </c>
      <c r="B403" s="151" t="str">
        <f aca="false">IF(ISNUMBER('12_Datos_5m'!F403),'12_Datos_5m'!F403,"")</f>
        <v/>
      </c>
      <c r="C403" s="151" t="str">
        <f aca="false">IF(ISNUMBER('12_Datos_5m'!A403),'12_Datos_5m'!A403,"")</f>
        <v/>
      </c>
      <c r="D403" s="151" t="n">
        <f aca="false">IF(AND(ISNUMBER('12_Datos_5m'!I403),ISNUMBER('12_Datos_5m'!I402)),'12_Datos_5m'!I403-'12_Datos_5m'!I402,0)</f>
        <v>0</v>
      </c>
      <c r="E403" s="151" t="n">
        <f aca="false">MAX(0,D403)</f>
        <v>0</v>
      </c>
      <c r="F403" s="151" t="n">
        <f aca="false">IF(AND(ISNUMBER('12_Datos_5m'!G403),N('12_Datos_5m'!G403)&gt;0),'12_Datos_5m'!H403/'12_Datos_5m'!G403,0.5)</f>
        <v>0.5</v>
      </c>
      <c r="G403" s="151" t="n">
        <f aca="false">IF(ISNUMBER(C403),($C$2-C403)/3600000,0)</f>
        <v>0</v>
      </c>
      <c r="H403" s="151" t="n">
        <f aca="false">EXP(-G403/'13_Mapa_Liq'!$B$7)</f>
        <v>1</v>
      </c>
      <c r="I403" s="151" t="n">
        <f aca="false">E403*F403*H403</f>
        <v>0</v>
      </c>
      <c r="J403" s="151" t="n">
        <f aca="false">E403*(1-F403)*H403</f>
        <v>0</v>
      </c>
      <c r="K403" s="151" t="n">
        <f aca="false">IF(COUNT('12_Datos_5m'!E404:E$504)=0,1000000000000,MIN('12_Datos_5m'!E404:E$504))</f>
        <v>1000000000000</v>
      </c>
      <c r="L403" s="151" t="n">
        <f aca="false">IF(COUNT('12_Datos_5m'!D404:D$504)=0,0,MAX('12_Datos_5m'!D404:D$504))</f>
        <v>0</v>
      </c>
      <c r="M403" s="151" t="str">
        <f aca="false">IF(ISNUMBER(B403),B403*(1-1/'13_Mapa_Liq'!$B$15+'13_Mapa_Liq'!$B$6),"")</f>
        <v/>
      </c>
      <c r="N403" s="151" t="n">
        <f aca="false">IF(ISNUMBER(B403),IF(K403&gt;M403,I403*'13_Mapa_Liq'!$C$15,0),0)</f>
        <v>0</v>
      </c>
      <c r="O403" s="151" t="str">
        <f aca="false">IF(ISNUMBER(B403),B403*(1+1/'13_Mapa_Liq'!$B$15-'13_Mapa_Liq'!$B$6),"")</f>
        <v/>
      </c>
      <c r="P403" s="151" t="n">
        <f aca="false">IF(ISNUMBER(B403),IF(L403&lt;O403,J403*'13_Mapa_Liq'!$C$15,0),0)</f>
        <v>0</v>
      </c>
      <c r="Q403" s="151" t="str">
        <f aca="false">IF(ISNUMBER(B403),B403*(1-1/'13_Mapa_Liq'!$B$16+'13_Mapa_Liq'!$B$6),"")</f>
        <v/>
      </c>
      <c r="R403" s="151" t="n">
        <f aca="false">IF(ISNUMBER(B403),IF(K403&gt;Q403,I403*'13_Mapa_Liq'!$C$16,0),0)</f>
        <v>0</v>
      </c>
      <c r="S403" s="151" t="str">
        <f aca="false">IF(ISNUMBER(B403),B403*(1+1/'13_Mapa_Liq'!$B$16-'13_Mapa_Liq'!$B$6),"")</f>
        <v/>
      </c>
      <c r="T403" s="151" t="n">
        <f aca="false">IF(ISNUMBER(B403),IF(L403&lt;S403,J403*'13_Mapa_Liq'!$C$16,0),0)</f>
        <v>0</v>
      </c>
      <c r="U403" s="151" t="str">
        <f aca="false">IF(ISNUMBER(B403),B403*(1-1/'13_Mapa_Liq'!$B$17+'13_Mapa_Liq'!$B$6),"")</f>
        <v/>
      </c>
      <c r="V403" s="151" t="n">
        <f aca="false">IF(ISNUMBER(B403),IF(K403&gt;U403,I403*'13_Mapa_Liq'!$C$17,0),0)</f>
        <v>0</v>
      </c>
      <c r="W403" s="151" t="str">
        <f aca="false">IF(ISNUMBER(B403),B403*(1+1/'13_Mapa_Liq'!$B$17-'13_Mapa_Liq'!$B$6),"")</f>
        <v/>
      </c>
      <c r="X403" s="151" t="n">
        <f aca="false">IF(ISNUMBER(B403),IF(L403&lt;W403,J403*'13_Mapa_Liq'!$C$17,0),0)</f>
        <v>0</v>
      </c>
      <c r="Y403" s="151" t="str">
        <f aca="false">IF(ISNUMBER(B403),B403*(1-1/'13_Mapa_Liq'!$B$18+'13_Mapa_Liq'!$B$6),"")</f>
        <v/>
      </c>
      <c r="Z403" s="151" t="n">
        <f aca="false">IF(ISNUMBER(B403),IF(K403&gt;Y403,I403*'13_Mapa_Liq'!$C$18,0),0)</f>
        <v>0</v>
      </c>
      <c r="AA403" s="151" t="str">
        <f aca="false">IF(ISNUMBER(B403),B403*(1+1/'13_Mapa_Liq'!$B$18-'13_Mapa_Liq'!$B$6),"")</f>
        <v/>
      </c>
      <c r="AB403" s="151" t="n">
        <f aca="false">IF(ISNUMBER(B403),IF(L403&lt;AA403,J403*'13_Mapa_Liq'!$C$18,0),0)</f>
        <v>0</v>
      </c>
      <c r="AC403" s="151" t="str">
        <f aca="false">IF(ISNUMBER(B403),B403*(1-1/'13_Mapa_Liq'!$B$19+'13_Mapa_Liq'!$B$6),"")</f>
        <v/>
      </c>
      <c r="AD403" s="151" t="n">
        <f aca="false">IF(ISNUMBER(B403),IF(K403&gt;AC403,I403*'13_Mapa_Liq'!$C$19,0),0)</f>
        <v>0</v>
      </c>
      <c r="AE403" s="151" t="str">
        <f aca="false">IF(ISNUMBER(B403),B403*(1+1/'13_Mapa_Liq'!$B$19-'13_Mapa_Liq'!$B$6),"")</f>
        <v/>
      </c>
      <c r="AF403" s="151" t="n">
        <f aca="false">IF(ISNUMBER(B403),IF(L403&lt;AE403,J403*'13_Mapa_Liq'!$C$19,0),0)</f>
        <v>0</v>
      </c>
      <c r="AG403" s="151"/>
      <c r="AH403" s="151" t="n">
        <f aca="false">IF(ISNUMBER(B403),E403*F403*((K403&lt;=M403)*'13_Mapa_Liq'!$C$15+(K403&lt;=Q403)*'13_Mapa_Liq'!$C$16+(K403&lt;=U403)*'13_Mapa_Liq'!$C$17+(K403&lt;=Y403)*'13_Mapa_Liq'!$C$18+(K403&lt;=AC403)*'13_Mapa_Liq'!$C$19),0)</f>
        <v>0</v>
      </c>
      <c r="AI403" s="151" t="n">
        <f aca="false">IF(ISNUMBER(B403),E403*(1-F403)*((L403&gt;=O403)*'13_Mapa_Liq'!$C$15+(L403&gt;=S403)*'13_Mapa_Liq'!$C$16+(L403&gt;=W403)*'13_Mapa_Liq'!$C$17+(L403&gt;=AA403)*'13_Mapa_Liq'!$C$18+(L403&gt;=AE403)*'13_Mapa_Liq'!$C$19),0)</f>
        <v>0</v>
      </c>
    </row>
    <row r="404" customFormat="false" ht="15" hidden="false" customHeight="false" outlineLevel="0" collapsed="false">
      <c r="A404" s="151" t="str">
        <f aca="false">IF(ISNUMBER('12_Datos_5m'!F404),ROW()-4,"")</f>
        <v/>
      </c>
      <c r="B404" s="151" t="str">
        <f aca="false">IF(ISNUMBER('12_Datos_5m'!F404),'12_Datos_5m'!F404,"")</f>
        <v/>
      </c>
      <c r="C404" s="151" t="str">
        <f aca="false">IF(ISNUMBER('12_Datos_5m'!A404),'12_Datos_5m'!A404,"")</f>
        <v/>
      </c>
      <c r="D404" s="151" t="n">
        <f aca="false">IF(AND(ISNUMBER('12_Datos_5m'!I404),ISNUMBER('12_Datos_5m'!I403)),'12_Datos_5m'!I404-'12_Datos_5m'!I403,0)</f>
        <v>0</v>
      </c>
      <c r="E404" s="151" t="n">
        <f aca="false">MAX(0,D404)</f>
        <v>0</v>
      </c>
      <c r="F404" s="151" t="n">
        <f aca="false">IF(AND(ISNUMBER('12_Datos_5m'!G404),N('12_Datos_5m'!G404)&gt;0),'12_Datos_5m'!H404/'12_Datos_5m'!G404,0.5)</f>
        <v>0.5</v>
      </c>
      <c r="G404" s="151" t="n">
        <f aca="false">IF(ISNUMBER(C404),($C$2-C404)/3600000,0)</f>
        <v>0</v>
      </c>
      <c r="H404" s="151" t="n">
        <f aca="false">EXP(-G404/'13_Mapa_Liq'!$B$7)</f>
        <v>1</v>
      </c>
      <c r="I404" s="151" t="n">
        <f aca="false">E404*F404*H404</f>
        <v>0</v>
      </c>
      <c r="J404" s="151" t="n">
        <f aca="false">E404*(1-F404)*H404</f>
        <v>0</v>
      </c>
      <c r="K404" s="151" t="n">
        <f aca="false">IF(COUNT('12_Datos_5m'!E405:E$504)=0,1000000000000,MIN('12_Datos_5m'!E405:E$504))</f>
        <v>1000000000000</v>
      </c>
      <c r="L404" s="151" t="n">
        <f aca="false">IF(COUNT('12_Datos_5m'!D405:D$504)=0,0,MAX('12_Datos_5m'!D405:D$504))</f>
        <v>0</v>
      </c>
      <c r="M404" s="151" t="str">
        <f aca="false">IF(ISNUMBER(B404),B404*(1-1/'13_Mapa_Liq'!$B$15+'13_Mapa_Liq'!$B$6),"")</f>
        <v/>
      </c>
      <c r="N404" s="151" t="n">
        <f aca="false">IF(ISNUMBER(B404),IF(K404&gt;M404,I404*'13_Mapa_Liq'!$C$15,0),0)</f>
        <v>0</v>
      </c>
      <c r="O404" s="151" t="str">
        <f aca="false">IF(ISNUMBER(B404),B404*(1+1/'13_Mapa_Liq'!$B$15-'13_Mapa_Liq'!$B$6),"")</f>
        <v/>
      </c>
      <c r="P404" s="151" t="n">
        <f aca="false">IF(ISNUMBER(B404),IF(L404&lt;O404,J404*'13_Mapa_Liq'!$C$15,0),0)</f>
        <v>0</v>
      </c>
      <c r="Q404" s="151" t="str">
        <f aca="false">IF(ISNUMBER(B404),B404*(1-1/'13_Mapa_Liq'!$B$16+'13_Mapa_Liq'!$B$6),"")</f>
        <v/>
      </c>
      <c r="R404" s="151" t="n">
        <f aca="false">IF(ISNUMBER(B404),IF(K404&gt;Q404,I404*'13_Mapa_Liq'!$C$16,0),0)</f>
        <v>0</v>
      </c>
      <c r="S404" s="151" t="str">
        <f aca="false">IF(ISNUMBER(B404),B404*(1+1/'13_Mapa_Liq'!$B$16-'13_Mapa_Liq'!$B$6),"")</f>
        <v/>
      </c>
      <c r="T404" s="151" t="n">
        <f aca="false">IF(ISNUMBER(B404),IF(L404&lt;S404,J404*'13_Mapa_Liq'!$C$16,0),0)</f>
        <v>0</v>
      </c>
      <c r="U404" s="151" t="str">
        <f aca="false">IF(ISNUMBER(B404),B404*(1-1/'13_Mapa_Liq'!$B$17+'13_Mapa_Liq'!$B$6),"")</f>
        <v/>
      </c>
      <c r="V404" s="151" t="n">
        <f aca="false">IF(ISNUMBER(B404),IF(K404&gt;U404,I404*'13_Mapa_Liq'!$C$17,0),0)</f>
        <v>0</v>
      </c>
      <c r="W404" s="151" t="str">
        <f aca="false">IF(ISNUMBER(B404),B404*(1+1/'13_Mapa_Liq'!$B$17-'13_Mapa_Liq'!$B$6),"")</f>
        <v/>
      </c>
      <c r="X404" s="151" t="n">
        <f aca="false">IF(ISNUMBER(B404),IF(L404&lt;W404,J404*'13_Mapa_Liq'!$C$17,0),0)</f>
        <v>0</v>
      </c>
      <c r="Y404" s="151" t="str">
        <f aca="false">IF(ISNUMBER(B404),B404*(1-1/'13_Mapa_Liq'!$B$18+'13_Mapa_Liq'!$B$6),"")</f>
        <v/>
      </c>
      <c r="Z404" s="151" t="n">
        <f aca="false">IF(ISNUMBER(B404),IF(K404&gt;Y404,I404*'13_Mapa_Liq'!$C$18,0),0)</f>
        <v>0</v>
      </c>
      <c r="AA404" s="151" t="str">
        <f aca="false">IF(ISNUMBER(B404),B404*(1+1/'13_Mapa_Liq'!$B$18-'13_Mapa_Liq'!$B$6),"")</f>
        <v/>
      </c>
      <c r="AB404" s="151" t="n">
        <f aca="false">IF(ISNUMBER(B404),IF(L404&lt;AA404,J404*'13_Mapa_Liq'!$C$18,0),0)</f>
        <v>0</v>
      </c>
      <c r="AC404" s="151" t="str">
        <f aca="false">IF(ISNUMBER(B404),B404*(1-1/'13_Mapa_Liq'!$B$19+'13_Mapa_Liq'!$B$6),"")</f>
        <v/>
      </c>
      <c r="AD404" s="151" t="n">
        <f aca="false">IF(ISNUMBER(B404),IF(K404&gt;AC404,I404*'13_Mapa_Liq'!$C$19,0),0)</f>
        <v>0</v>
      </c>
      <c r="AE404" s="151" t="str">
        <f aca="false">IF(ISNUMBER(B404),B404*(1+1/'13_Mapa_Liq'!$B$19-'13_Mapa_Liq'!$B$6),"")</f>
        <v/>
      </c>
      <c r="AF404" s="151" t="n">
        <f aca="false">IF(ISNUMBER(B404),IF(L404&lt;AE404,J404*'13_Mapa_Liq'!$C$19,0),0)</f>
        <v>0</v>
      </c>
      <c r="AG404" s="151"/>
      <c r="AH404" s="151" t="n">
        <f aca="false">IF(ISNUMBER(B404),E404*F404*((K404&lt;=M404)*'13_Mapa_Liq'!$C$15+(K404&lt;=Q404)*'13_Mapa_Liq'!$C$16+(K404&lt;=U404)*'13_Mapa_Liq'!$C$17+(K404&lt;=Y404)*'13_Mapa_Liq'!$C$18+(K404&lt;=AC404)*'13_Mapa_Liq'!$C$19),0)</f>
        <v>0</v>
      </c>
      <c r="AI404" s="151" t="n">
        <f aca="false">IF(ISNUMBER(B404),E404*(1-F404)*((L404&gt;=O404)*'13_Mapa_Liq'!$C$15+(L404&gt;=S404)*'13_Mapa_Liq'!$C$16+(L404&gt;=W404)*'13_Mapa_Liq'!$C$17+(L404&gt;=AA404)*'13_Mapa_Liq'!$C$18+(L404&gt;=AE404)*'13_Mapa_Liq'!$C$19),0)</f>
        <v>0</v>
      </c>
    </row>
    <row r="405" customFormat="false" ht="15" hidden="false" customHeight="false" outlineLevel="0" collapsed="false">
      <c r="A405" s="151" t="str">
        <f aca="false">IF(ISNUMBER('12_Datos_5m'!F405),ROW()-4,"")</f>
        <v/>
      </c>
      <c r="B405" s="151" t="str">
        <f aca="false">IF(ISNUMBER('12_Datos_5m'!F405),'12_Datos_5m'!F405,"")</f>
        <v/>
      </c>
      <c r="C405" s="151" t="str">
        <f aca="false">IF(ISNUMBER('12_Datos_5m'!A405),'12_Datos_5m'!A405,"")</f>
        <v/>
      </c>
      <c r="D405" s="151" t="n">
        <f aca="false">IF(AND(ISNUMBER('12_Datos_5m'!I405),ISNUMBER('12_Datos_5m'!I404)),'12_Datos_5m'!I405-'12_Datos_5m'!I404,0)</f>
        <v>0</v>
      </c>
      <c r="E405" s="151" t="n">
        <f aca="false">MAX(0,D405)</f>
        <v>0</v>
      </c>
      <c r="F405" s="151" t="n">
        <f aca="false">IF(AND(ISNUMBER('12_Datos_5m'!G405),N('12_Datos_5m'!G405)&gt;0),'12_Datos_5m'!H405/'12_Datos_5m'!G405,0.5)</f>
        <v>0.5</v>
      </c>
      <c r="G405" s="151" t="n">
        <f aca="false">IF(ISNUMBER(C405),($C$2-C405)/3600000,0)</f>
        <v>0</v>
      </c>
      <c r="H405" s="151" t="n">
        <f aca="false">EXP(-G405/'13_Mapa_Liq'!$B$7)</f>
        <v>1</v>
      </c>
      <c r="I405" s="151" t="n">
        <f aca="false">E405*F405*H405</f>
        <v>0</v>
      </c>
      <c r="J405" s="151" t="n">
        <f aca="false">E405*(1-F405)*H405</f>
        <v>0</v>
      </c>
      <c r="K405" s="151" t="n">
        <f aca="false">IF(COUNT('12_Datos_5m'!E406:E$504)=0,1000000000000,MIN('12_Datos_5m'!E406:E$504))</f>
        <v>1000000000000</v>
      </c>
      <c r="L405" s="151" t="n">
        <f aca="false">IF(COUNT('12_Datos_5m'!D406:D$504)=0,0,MAX('12_Datos_5m'!D406:D$504))</f>
        <v>0</v>
      </c>
      <c r="M405" s="151" t="str">
        <f aca="false">IF(ISNUMBER(B405),B405*(1-1/'13_Mapa_Liq'!$B$15+'13_Mapa_Liq'!$B$6),"")</f>
        <v/>
      </c>
      <c r="N405" s="151" t="n">
        <f aca="false">IF(ISNUMBER(B405),IF(K405&gt;M405,I405*'13_Mapa_Liq'!$C$15,0),0)</f>
        <v>0</v>
      </c>
      <c r="O405" s="151" t="str">
        <f aca="false">IF(ISNUMBER(B405),B405*(1+1/'13_Mapa_Liq'!$B$15-'13_Mapa_Liq'!$B$6),"")</f>
        <v/>
      </c>
      <c r="P405" s="151" t="n">
        <f aca="false">IF(ISNUMBER(B405),IF(L405&lt;O405,J405*'13_Mapa_Liq'!$C$15,0),0)</f>
        <v>0</v>
      </c>
      <c r="Q405" s="151" t="str">
        <f aca="false">IF(ISNUMBER(B405),B405*(1-1/'13_Mapa_Liq'!$B$16+'13_Mapa_Liq'!$B$6),"")</f>
        <v/>
      </c>
      <c r="R405" s="151" t="n">
        <f aca="false">IF(ISNUMBER(B405),IF(K405&gt;Q405,I405*'13_Mapa_Liq'!$C$16,0),0)</f>
        <v>0</v>
      </c>
      <c r="S405" s="151" t="str">
        <f aca="false">IF(ISNUMBER(B405),B405*(1+1/'13_Mapa_Liq'!$B$16-'13_Mapa_Liq'!$B$6),"")</f>
        <v/>
      </c>
      <c r="T405" s="151" t="n">
        <f aca="false">IF(ISNUMBER(B405),IF(L405&lt;S405,J405*'13_Mapa_Liq'!$C$16,0),0)</f>
        <v>0</v>
      </c>
      <c r="U405" s="151" t="str">
        <f aca="false">IF(ISNUMBER(B405),B405*(1-1/'13_Mapa_Liq'!$B$17+'13_Mapa_Liq'!$B$6),"")</f>
        <v/>
      </c>
      <c r="V405" s="151" t="n">
        <f aca="false">IF(ISNUMBER(B405),IF(K405&gt;U405,I405*'13_Mapa_Liq'!$C$17,0),0)</f>
        <v>0</v>
      </c>
      <c r="W405" s="151" t="str">
        <f aca="false">IF(ISNUMBER(B405),B405*(1+1/'13_Mapa_Liq'!$B$17-'13_Mapa_Liq'!$B$6),"")</f>
        <v/>
      </c>
      <c r="X405" s="151" t="n">
        <f aca="false">IF(ISNUMBER(B405),IF(L405&lt;W405,J405*'13_Mapa_Liq'!$C$17,0),0)</f>
        <v>0</v>
      </c>
      <c r="Y405" s="151" t="str">
        <f aca="false">IF(ISNUMBER(B405),B405*(1-1/'13_Mapa_Liq'!$B$18+'13_Mapa_Liq'!$B$6),"")</f>
        <v/>
      </c>
      <c r="Z405" s="151" t="n">
        <f aca="false">IF(ISNUMBER(B405),IF(K405&gt;Y405,I405*'13_Mapa_Liq'!$C$18,0),0)</f>
        <v>0</v>
      </c>
      <c r="AA405" s="151" t="str">
        <f aca="false">IF(ISNUMBER(B405),B405*(1+1/'13_Mapa_Liq'!$B$18-'13_Mapa_Liq'!$B$6),"")</f>
        <v/>
      </c>
      <c r="AB405" s="151" t="n">
        <f aca="false">IF(ISNUMBER(B405),IF(L405&lt;AA405,J405*'13_Mapa_Liq'!$C$18,0),0)</f>
        <v>0</v>
      </c>
      <c r="AC405" s="151" t="str">
        <f aca="false">IF(ISNUMBER(B405),B405*(1-1/'13_Mapa_Liq'!$B$19+'13_Mapa_Liq'!$B$6),"")</f>
        <v/>
      </c>
      <c r="AD405" s="151" t="n">
        <f aca="false">IF(ISNUMBER(B405),IF(K405&gt;AC405,I405*'13_Mapa_Liq'!$C$19,0),0)</f>
        <v>0</v>
      </c>
      <c r="AE405" s="151" t="str">
        <f aca="false">IF(ISNUMBER(B405),B405*(1+1/'13_Mapa_Liq'!$B$19-'13_Mapa_Liq'!$B$6),"")</f>
        <v/>
      </c>
      <c r="AF405" s="151" t="n">
        <f aca="false">IF(ISNUMBER(B405),IF(L405&lt;AE405,J405*'13_Mapa_Liq'!$C$19,0),0)</f>
        <v>0</v>
      </c>
      <c r="AG405" s="151"/>
      <c r="AH405" s="151" t="n">
        <f aca="false">IF(ISNUMBER(B405),E405*F405*((K405&lt;=M405)*'13_Mapa_Liq'!$C$15+(K405&lt;=Q405)*'13_Mapa_Liq'!$C$16+(K405&lt;=U405)*'13_Mapa_Liq'!$C$17+(K405&lt;=Y405)*'13_Mapa_Liq'!$C$18+(K405&lt;=AC405)*'13_Mapa_Liq'!$C$19),0)</f>
        <v>0</v>
      </c>
      <c r="AI405" s="151" t="n">
        <f aca="false">IF(ISNUMBER(B405),E405*(1-F405)*((L405&gt;=O405)*'13_Mapa_Liq'!$C$15+(L405&gt;=S405)*'13_Mapa_Liq'!$C$16+(L405&gt;=W405)*'13_Mapa_Liq'!$C$17+(L405&gt;=AA405)*'13_Mapa_Liq'!$C$18+(L405&gt;=AE405)*'13_Mapa_Liq'!$C$19),0)</f>
        <v>0</v>
      </c>
    </row>
    <row r="406" customFormat="false" ht="15" hidden="false" customHeight="false" outlineLevel="0" collapsed="false">
      <c r="A406" s="151" t="str">
        <f aca="false">IF(ISNUMBER('12_Datos_5m'!F406),ROW()-4,"")</f>
        <v/>
      </c>
      <c r="B406" s="151" t="str">
        <f aca="false">IF(ISNUMBER('12_Datos_5m'!F406),'12_Datos_5m'!F406,"")</f>
        <v/>
      </c>
      <c r="C406" s="151" t="str">
        <f aca="false">IF(ISNUMBER('12_Datos_5m'!A406),'12_Datos_5m'!A406,"")</f>
        <v/>
      </c>
      <c r="D406" s="151" t="n">
        <f aca="false">IF(AND(ISNUMBER('12_Datos_5m'!I406),ISNUMBER('12_Datos_5m'!I405)),'12_Datos_5m'!I406-'12_Datos_5m'!I405,0)</f>
        <v>0</v>
      </c>
      <c r="E406" s="151" t="n">
        <f aca="false">MAX(0,D406)</f>
        <v>0</v>
      </c>
      <c r="F406" s="151" t="n">
        <f aca="false">IF(AND(ISNUMBER('12_Datos_5m'!G406),N('12_Datos_5m'!G406)&gt;0),'12_Datos_5m'!H406/'12_Datos_5m'!G406,0.5)</f>
        <v>0.5</v>
      </c>
      <c r="G406" s="151" t="n">
        <f aca="false">IF(ISNUMBER(C406),($C$2-C406)/3600000,0)</f>
        <v>0</v>
      </c>
      <c r="H406" s="151" t="n">
        <f aca="false">EXP(-G406/'13_Mapa_Liq'!$B$7)</f>
        <v>1</v>
      </c>
      <c r="I406" s="151" t="n">
        <f aca="false">E406*F406*H406</f>
        <v>0</v>
      </c>
      <c r="J406" s="151" t="n">
        <f aca="false">E406*(1-F406)*H406</f>
        <v>0</v>
      </c>
      <c r="K406" s="151" t="n">
        <f aca="false">IF(COUNT('12_Datos_5m'!E407:E$504)=0,1000000000000,MIN('12_Datos_5m'!E407:E$504))</f>
        <v>1000000000000</v>
      </c>
      <c r="L406" s="151" t="n">
        <f aca="false">IF(COUNT('12_Datos_5m'!D407:D$504)=0,0,MAX('12_Datos_5m'!D407:D$504))</f>
        <v>0</v>
      </c>
      <c r="M406" s="151" t="str">
        <f aca="false">IF(ISNUMBER(B406),B406*(1-1/'13_Mapa_Liq'!$B$15+'13_Mapa_Liq'!$B$6),"")</f>
        <v/>
      </c>
      <c r="N406" s="151" t="n">
        <f aca="false">IF(ISNUMBER(B406),IF(K406&gt;M406,I406*'13_Mapa_Liq'!$C$15,0),0)</f>
        <v>0</v>
      </c>
      <c r="O406" s="151" t="str">
        <f aca="false">IF(ISNUMBER(B406),B406*(1+1/'13_Mapa_Liq'!$B$15-'13_Mapa_Liq'!$B$6),"")</f>
        <v/>
      </c>
      <c r="P406" s="151" t="n">
        <f aca="false">IF(ISNUMBER(B406),IF(L406&lt;O406,J406*'13_Mapa_Liq'!$C$15,0),0)</f>
        <v>0</v>
      </c>
      <c r="Q406" s="151" t="str">
        <f aca="false">IF(ISNUMBER(B406),B406*(1-1/'13_Mapa_Liq'!$B$16+'13_Mapa_Liq'!$B$6),"")</f>
        <v/>
      </c>
      <c r="R406" s="151" t="n">
        <f aca="false">IF(ISNUMBER(B406),IF(K406&gt;Q406,I406*'13_Mapa_Liq'!$C$16,0),0)</f>
        <v>0</v>
      </c>
      <c r="S406" s="151" t="str">
        <f aca="false">IF(ISNUMBER(B406),B406*(1+1/'13_Mapa_Liq'!$B$16-'13_Mapa_Liq'!$B$6),"")</f>
        <v/>
      </c>
      <c r="T406" s="151" t="n">
        <f aca="false">IF(ISNUMBER(B406),IF(L406&lt;S406,J406*'13_Mapa_Liq'!$C$16,0),0)</f>
        <v>0</v>
      </c>
      <c r="U406" s="151" t="str">
        <f aca="false">IF(ISNUMBER(B406),B406*(1-1/'13_Mapa_Liq'!$B$17+'13_Mapa_Liq'!$B$6),"")</f>
        <v/>
      </c>
      <c r="V406" s="151" t="n">
        <f aca="false">IF(ISNUMBER(B406),IF(K406&gt;U406,I406*'13_Mapa_Liq'!$C$17,0),0)</f>
        <v>0</v>
      </c>
      <c r="W406" s="151" t="str">
        <f aca="false">IF(ISNUMBER(B406),B406*(1+1/'13_Mapa_Liq'!$B$17-'13_Mapa_Liq'!$B$6),"")</f>
        <v/>
      </c>
      <c r="X406" s="151" t="n">
        <f aca="false">IF(ISNUMBER(B406),IF(L406&lt;W406,J406*'13_Mapa_Liq'!$C$17,0),0)</f>
        <v>0</v>
      </c>
      <c r="Y406" s="151" t="str">
        <f aca="false">IF(ISNUMBER(B406),B406*(1-1/'13_Mapa_Liq'!$B$18+'13_Mapa_Liq'!$B$6),"")</f>
        <v/>
      </c>
      <c r="Z406" s="151" t="n">
        <f aca="false">IF(ISNUMBER(B406),IF(K406&gt;Y406,I406*'13_Mapa_Liq'!$C$18,0),0)</f>
        <v>0</v>
      </c>
      <c r="AA406" s="151" t="str">
        <f aca="false">IF(ISNUMBER(B406),B406*(1+1/'13_Mapa_Liq'!$B$18-'13_Mapa_Liq'!$B$6),"")</f>
        <v/>
      </c>
      <c r="AB406" s="151" t="n">
        <f aca="false">IF(ISNUMBER(B406),IF(L406&lt;AA406,J406*'13_Mapa_Liq'!$C$18,0),0)</f>
        <v>0</v>
      </c>
      <c r="AC406" s="151" t="str">
        <f aca="false">IF(ISNUMBER(B406),B406*(1-1/'13_Mapa_Liq'!$B$19+'13_Mapa_Liq'!$B$6),"")</f>
        <v/>
      </c>
      <c r="AD406" s="151" t="n">
        <f aca="false">IF(ISNUMBER(B406),IF(K406&gt;AC406,I406*'13_Mapa_Liq'!$C$19,0),0)</f>
        <v>0</v>
      </c>
      <c r="AE406" s="151" t="str">
        <f aca="false">IF(ISNUMBER(B406),B406*(1+1/'13_Mapa_Liq'!$B$19-'13_Mapa_Liq'!$B$6),"")</f>
        <v/>
      </c>
      <c r="AF406" s="151" t="n">
        <f aca="false">IF(ISNUMBER(B406),IF(L406&lt;AE406,J406*'13_Mapa_Liq'!$C$19,0),0)</f>
        <v>0</v>
      </c>
      <c r="AG406" s="151"/>
      <c r="AH406" s="151" t="n">
        <f aca="false">IF(ISNUMBER(B406),E406*F406*((K406&lt;=M406)*'13_Mapa_Liq'!$C$15+(K406&lt;=Q406)*'13_Mapa_Liq'!$C$16+(K406&lt;=U406)*'13_Mapa_Liq'!$C$17+(K406&lt;=Y406)*'13_Mapa_Liq'!$C$18+(K406&lt;=AC406)*'13_Mapa_Liq'!$C$19),0)</f>
        <v>0</v>
      </c>
      <c r="AI406" s="151" t="n">
        <f aca="false">IF(ISNUMBER(B406),E406*(1-F406)*((L406&gt;=O406)*'13_Mapa_Liq'!$C$15+(L406&gt;=S406)*'13_Mapa_Liq'!$C$16+(L406&gt;=W406)*'13_Mapa_Liq'!$C$17+(L406&gt;=AA406)*'13_Mapa_Liq'!$C$18+(L406&gt;=AE406)*'13_Mapa_Liq'!$C$19),0)</f>
        <v>0</v>
      </c>
    </row>
    <row r="407" customFormat="false" ht="15" hidden="false" customHeight="false" outlineLevel="0" collapsed="false">
      <c r="A407" s="151" t="str">
        <f aca="false">IF(ISNUMBER('12_Datos_5m'!F407),ROW()-4,"")</f>
        <v/>
      </c>
      <c r="B407" s="151" t="str">
        <f aca="false">IF(ISNUMBER('12_Datos_5m'!F407),'12_Datos_5m'!F407,"")</f>
        <v/>
      </c>
      <c r="C407" s="151" t="str">
        <f aca="false">IF(ISNUMBER('12_Datos_5m'!A407),'12_Datos_5m'!A407,"")</f>
        <v/>
      </c>
      <c r="D407" s="151" t="n">
        <f aca="false">IF(AND(ISNUMBER('12_Datos_5m'!I407),ISNUMBER('12_Datos_5m'!I406)),'12_Datos_5m'!I407-'12_Datos_5m'!I406,0)</f>
        <v>0</v>
      </c>
      <c r="E407" s="151" t="n">
        <f aca="false">MAX(0,D407)</f>
        <v>0</v>
      </c>
      <c r="F407" s="151" t="n">
        <f aca="false">IF(AND(ISNUMBER('12_Datos_5m'!G407),N('12_Datos_5m'!G407)&gt;0),'12_Datos_5m'!H407/'12_Datos_5m'!G407,0.5)</f>
        <v>0.5</v>
      </c>
      <c r="G407" s="151" t="n">
        <f aca="false">IF(ISNUMBER(C407),($C$2-C407)/3600000,0)</f>
        <v>0</v>
      </c>
      <c r="H407" s="151" t="n">
        <f aca="false">EXP(-G407/'13_Mapa_Liq'!$B$7)</f>
        <v>1</v>
      </c>
      <c r="I407" s="151" t="n">
        <f aca="false">E407*F407*H407</f>
        <v>0</v>
      </c>
      <c r="J407" s="151" t="n">
        <f aca="false">E407*(1-F407)*H407</f>
        <v>0</v>
      </c>
      <c r="K407" s="151" t="n">
        <f aca="false">IF(COUNT('12_Datos_5m'!E408:E$504)=0,1000000000000,MIN('12_Datos_5m'!E408:E$504))</f>
        <v>1000000000000</v>
      </c>
      <c r="L407" s="151" t="n">
        <f aca="false">IF(COUNT('12_Datos_5m'!D408:D$504)=0,0,MAX('12_Datos_5m'!D408:D$504))</f>
        <v>0</v>
      </c>
      <c r="M407" s="151" t="str">
        <f aca="false">IF(ISNUMBER(B407),B407*(1-1/'13_Mapa_Liq'!$B$15+'13_Mapa_Liq'!$B$6),"")</f>
        <v/>
      </c>
      <c r="N407" s="151" t="n">
        <f aca="false">IF(ISNUMBER(B407),IF(K407&gt;M407,I407*'13_Mapa_Liq'!$C$15,0),0)</f>
        <v>0</v>
      </c>
      <c r="O407" s="151" t="str">
        <f aca="false">IF(ISNUMBER(B407),B407*(1+1/'13_Mapa_Liq'!$B$15-'13_Mapa_Liq'!$B$6),"")</f>
        <v/>
      </c>
      <c r="P407" s="151" t="n">
        <f aca="false">IF(ISNUMBER(B407),IF(L407&lt;O407,J407*'13_Mapa_Liq'!$C$15,0),0)</f>
        <v>0</v>
      </c>
      <c r="Q407" s="151" t="str">
        <f aca="false">IF(ISNUMBER(B407),B407*(1-1/'13_Mapa_Liq'!$B$16+'13_Mapa_Liq'!$B$6),"")</f>
        <v/>
      </c>
      <c r="R407" s="151" t="n">
        <f aca="false">IF(ISNUMBER(B407),IF(K407&gt;Q407,I407*'13_Mapa_Liq'!$C$16,0),0)</f>
        <v>0</v>
      </c>
      <c r="S407" s="151" t="str">
        <f aca="false">IF(ISNUMBER(B407),B407*(1+1/'13_Mapa_Liq'!$B$16-'13_Mapa_Liq'!$B$6),"")</f>
        <v/>
      </c>
      <c r="T407" s="151" t="n">
        <f aca="false">IF(ISNUMBER(B407),IF(L407&lt;S407,J407*'13_Mapa_Liq'!$C$16,0),0)</f>
        <v>0</v>
      </c>
      <c r="U407" s="151" t="str">
        <f aca="false">IF(ISNUMBER(B407),B407*(1-1/'13_Mapa_Liq'!$B$17+'13_Mapa_Liq'!$B$6),"")</f>
        <v/>
      </c>
      <c r="V407" s="151" t="n">
        <f aca="false">IF(ISNUMBER(B407),IF(K407&gt;U407,I407*'13_Mapa_Liq'!$C$17,0),0)</f>
        <v>0</v>
      </c>
      <c r="W407" s="151" t="str">
        <f aca="false">IF(ISNUMBER(B407),B407*(1+1/'13_Mapa_Liq'!$B$17-'13_Mapa_Liq'!$B$6),"")</f>
        <v/>
      </c>
      <c r="X407" s="151" t="n">
        <f aca="false">IF(ISNUMBER(B407),IF(L407&lt;W407,J407*'13_Mapa_Liq'!$C$17,0),0)</f>
        <v>0</v>
      </c>
      <c r="Y407" s="151" t="str">
        <f aca="false">IF(ISNUMBER(B407),B407*(1-1/'13_Mapa_Liq'!$B$18+'13_Mapa_Liq'!$B$6),"")</f>
        <v/>
      </c>
      <c r="Z407" s="151" t="n">
        <f aca="false">IF(ISNUMBER(B407),IF(K407&gt;Y407,I407*'13_Mapa_Liq'!$C$18,0),0)</f>
        <v>0</v>
      </c>
      <c r="AA407" s="151" t="str">
        <f aca="false">IF(ISNUMBER(B407),B407*(1+1/'13_Mapa_Liq'!$B$18-'13_Mapa_Liq'!$B$6),"")</f>
        <v/>
      </c>
      <c r="AB407" s="151" t="n">
        <f aca="false">IF(ISNUMBER(B407),IF(L407&lt;AA407,J407*'13_Mapa_Liq'!$C$18,0),0)</f>
        <v>0</v>
      </c>
      <c r="AC407" s="151" t="str">
        <f aca="false">IF(ISNUMBER(B407),B407*(1-1/'13_Mapa_Liq'!$B$19+'13_Mapa_Liq'!$B$6),"")</f>
        <v/>
      </c>
      <c r="AD407" s="151" t="n">
        <f aca="false">IF(ISNUMBER(B407),IF(K407&gt;AC407,I407*'13_Mapa_Liq'!$C$19,0),0)</f>
        <v>0</v>
      </c>
      <c r="AE407" s="151" t="str">
        <f aca="false">IF(ISNUMBER(B407),B407*(1+1/'13_Mapa_Liq'!$B$19-'13_Mapa_Liq'!$B$6),"")</f>
        <v/>
      </c>
      <c r="AF407" s="151" t="n">
        <f aca="false">IF(ISNUMBER(B407),IF(L407&lt;AE407,J407*'13_Mapa_Liq'!$C$19,0),0)</f>
        <v>0</v>
      </c>
      <c r="AG407" s="151"/>
      <c r="AH407" s="151" t="n">
        <f aca="false">IF(ISNUMBER(B407),E407*F407*((K407&lt;=M407)*'13_Mapa_Liq'!$C$15+(K407&lt;=Q407)*'13_Mapa_Liq'!$C$16+(K407&lt;=U407)*'13_Mapa_Liq'!$C$17+(K407&lt;=Y407)*'13_Mapa_Liq'!$C$18+(K407&lt;=AC407)*'13_Mapa_Liq'!$C$19),0)</f>
        <v>0</v>
      </c>
      <c r="AI407" s="151" t="n">
        <f aca="false">IF(ISNUMBER(B407),E407*(1-F407)*((L407&gt;=O407)*'13_Mapa_Liq'!$C$15+(L407&gt;=S407)*'13_Mapa_Liq'!$C$16+(L407&gt;=W407)*'13_Mapa_Liq'!$C$17+(L407&gt;=AA407)*'13_Mapa_Liq'!$C$18+(L407&gt;=AE407)*'13_Mapa_Liq'!$C$19),0)</f>
        <v>0</v>
      </c>
    </row>
    <row r="408" customFormat="false" ht="15" hidden="false" customHeight="false" outlineLevel="0" collapsed="false">
      <c r="A408" s="151" t="str">
        <f aca="false">IF(ISNUMBER('12_Datos_5m'!F408),ROW()-4,"")</f>
        <v/>
      </c>
      <c r="B408" s="151" t="str">
        <f aca="false">IF(ISNUMBER('12_Datos_5m'!F408),'12_Datos_5m'!F408,"")</f>
        <v/>
      </c>
      <c r="C408" s="151" t="str">
        <f aca="false">IF(ISNUMBER('12_Datos_5m'!A408),'12_Datos_5m'!A408,"")</f>
        <v/>
      </c>
      <c r="D408" s="151" t="n">
        <f aca="false">IF(AND(ISNUMBER('12_Datos_5m'!I408),ISNUMBER('12_Datos_5m'!I407)),'12_Datos_5m'!I408-'12_Datos_5m'!I407,0)</f>
        <v>0</v>
      </c>
      <c r="E408" s="151" t="n">
        <f aca="false">MAX(0,D408)</f>
        <v>0</v>
      </c>
      <c r="F408" s="151" t="n">
        <f aca="false">IF(AND(ISNUMBER('12_Datos_5m'!G408),N('12_Datos_5m'!G408)&gt;0),'12_Datos_5m'!H408/'12_Datos_5m'!G408,0.5)</f>
        <v>0.5</v>
      </c>
      <c r="G408" s="151" t="n">
        <f aca="false">IF(ISNUMBER(C408),($C$2-C408)/3600000,0)</f>
        <v>0</v>
      </c>
      <c r="H408" s="151" t="n">
        <f aca="false">EXP(-G408/'13_Mapa_Liq'!$B$7)</f>
        <v>1</v>
      </c>
      <c r="I408" s="151" t="n">
        <f aca="false">E408*F408*H408</f>
        <v>0</v>
      </c>
      <c r="J408" s="151" t="n">
        <f aca="false">E408*(1-F408)*H408</f>
        <v>0</v>
      </c>
      <c r="K408" s="151" t="n">
        <f aca="false">IF(COUNT('12_Datos_5m'!E409:E$504)=0,1000000000000,MIN('12_Datos_5m'!E409:E$504))</f>
        <v>1000000000000</v>
      </c>
      <c r="L408" s="151" t="n">
        <f aca="false">IF(COUNT('12_Datos_5m'!D409:D$504)=0,0,MAX('12_Datos_5m'!D409:D$504))</f>
        <v>0</v>
      </c>
      <c r="M408" s="151" t="str">
        <f aca="false">IF(ISNUMBER(B408),B408*(1-1/'13_Mapa_Liq'!$B$15+'13_Mapa_Liq'!$B$6),"")</f>
        <v/>
      </c>
      <c r="N408" s="151" t="n">
        <f aca="false">IF(ISNUMBER(B408),IF(K408&gt;M408,I408*'13_Mapa_Liq'!$C$15,0),0)</f>
        <v>0</v>
      </c>
      <c r="O408" s="151" t="str">
        <f aca="false">IF(ISNUMBER(B408),B408*(1+1/'13_Mapa_Liq'!$B$15-'13_Mapa_Liq'!$B$6),"")</f>
        <v/>
      </c>
      <c r="P408" s="151" t="n">
        <f aca="false">IF(ISNUMBER(B408),IF(L408&lt;O408,J408*'13_Mapa_Liq'!$C$15,0),0)</f>
        <v>0</v>
      </c>
      <c r="Q408" s="151" t="str">
        <f aca="false">IF(ISNUMBER(B408),B408*(1-1/'13_Mapa_Liq'!$B$16+'13_Mapa_Liq'!$B$6),"")</f>
        <v/>
      </c>
      <c r="R408" s="151" t="n">
        <f aca="false">IF(ISNUMBER(B408),IF(K408&gt;Q408,I408*'13_Mapa_Liq'!$C$16,0),0)</f>
        <v>0</v>
      </c>
      <c r="S408" s="151" t="str">
        <f aca="false">IF(ISNUMBER(B408),B408*(1+1/'13_Mapa_Liq'!$B$16-'13_Mapa_Liq'!$B$6),"")</f>
        <v/>
      </c>
      <c r="T408" s="151" t="n">
        <f aca="false">IF(ISNUMBER(B408),IF(L408&lt;S408,J408*'13_Mapa_Liq'!$C$16,0),0)</f>
        <v>0</v>
      </c>
      <c r="U408" s="151" t="str">
        <f aca="false">IF(ISNUMBER(B408),B408*(1-1/'13_Mapa_Liq'!$B$17+'13_Mapa_Liq'!$B$6),"")</f>
        <v/>
      </c>
      <c r="V408" s="151" t="n">
        <f aca="false">IF(ISNUMBER(B408),IF(K408&gt;U408,I408*'13_Mapa_Liq'!$C$17,0),0)</f>
        <v>0</v>
      </c>
      <c r="W408" s="151" t="str">
        <f aca="false">IF(ISNUMBER(B408),B408*(1+1/'13_Mapa_Liq'!$B$17-'13_Mapa_Liq'!$B$6),"")</f>
        <v/>
      </c>
      <c r="X408" s="151" t="n">
        <f aca="false">IF(ISNUMBER(B408),IF(L408&lt;W408,J408*'13_Mapa_Liq'!$C$17,0),0)</f>
        <v>0</v>
      </c>
      <c r="Y408" s="151" t="str">
        <f aca="false">IF(ISNUMBER(B408),B408*(1-1/'13_Mapa_Liq'!$B$18+'13_Mapa_Liq'!$B$6),"")</f>
        <v/>
      </c>
      <c r="Z408" s="151" t="n">
        <f aca="false">IF(ISNUMBER(B408),IF(K408&gt;Y408,I408*'13_Mapa_Liq'!$C$18,0),0)</f>
        <v>0</v>
      </c>
      <c r="AA408" s="151" t="str">
        <f aca="false">IF(ISNUMBER(B408),B408*(1+1/'13_Mapa_Liq'!$B$18-'13_Mapa_Liq'!$B$6),"")</f>
        <v/>
      </c>
      <c r="AB408" s="151" t="n">
        <f aca="false">IF(ISNUMBER(B408),IF(L408&lt;AA408,J408*'13_Mapa_Liq'!$C$18,0),0)</f>
        <v>0</v>
      </c>
      <c r="AC408" s="151" t="str">
        <f aca="false">IF(ISNUMBER(B408),B408*(1-1/'13_Mapa_Liq'!$B$19+'13_Mapa_Liq'!$B$6),"")</f>
        <v/>
      </c>
      <c r="AD408" s="151" t="n">
        <f aca="false">IF(ISNUMBER(B408),IF(K408&gt;AC408,I408*'13_Mapa_Liq'!$C$19,0),0)</f>
        <v>0</v>
      </c>
      <c r="AE408" s="151" t="str">
        <f aca="false">IF(ISNUMBER(B408),B408*(1+1/'13_Mapa_Liq'!$B$19-'13_Mapa_Liq'!$B$6),"")</f>
        <v/>
      </c>
      <c r="AF408" s="151" t="n">
        <f aca="false">IF(ISNUMBER(B408),IF(L408&lt;AE408,J408*'13_Mapa_Liq'!$C$19,0),0)</f>
        <v>0</v>
      </c>
      <c r="AG408" s="151"/>
      <c r="AH408" s="151" t="n">
        <f aca="false">IF(ISNUMBER(B408),E408*F408*((K408&lt;=M408)*'13_Mapa_Liq'!$C$15+(K408&lt;=Q408)*'13_Mapa_Liq'!$C$16+(K408&lt;=U408)*'13_Mapa_Liq'!$C$17+(K408&lt;=Y408)*'13_Mapa_Liq'!$C$18+(K408&lt;=AC408)*'13_Mapa_Liq'!$C$19),0)</f>
        <v>0</v>
      </c>
      <c r="AI408" s="151" t="n">
        <f aca="false">IF(ISNUMBER(B408),E408*(1-F408)*((L408&gt;=O408)*'13_Mapa_Liq'!$C$15+(L408&gt;=S408)*'13_Mapa_Liq'!$C$16+(L408&gt;=W408)*'13_Mapa_Liq'!$C$17+(L408&gt;=AA408)*'13_Mapa_Liq'!$C$18+(L408&gt;=AE408)*'13_Mapa_Liq'!$C$19),0)</f>
        <v>0</v>
      </c>
    </row>
    <row r="409" customFormat="false" ht="15" hidden="false" customHeight="false" outlineLevel="0" collapsed="false">
      <c r="A409" s="151" t="str">
        <f aca="false">IF(ISNUMBER('12_Datos_5m'!F409),ROW()-4,"")</f>
        <v/>
      </c>
      <c r="B409" s="151" t="str">
        <f aca="false">IF(ISNUMBER('12_Datos_5m'!F409),'12_Datos_5m'!F409,"")</f>
        <v/>
      </c>
      <c r="C409" s="151" t="str">
        <f aca="false">IF(ISNUMBER('12_Datos_5m'!A409),'12_Datos_5m'!A409,"")</f>
        <v/>
      </c>
      <c r="D409" s="151" t="n">
        <f aca="false">IF(AND(ISNUMBER('12_Datos_5m'!I409),ISNUMBER('12_Datos_5m'!I408)),'12_Datos_5m'!I409-'12_Datos_5m'!I408,0)</f>
        <v>0</v>
      </c>
      <c r="E409" s="151" t="n">
        <f aca="false">MAX(0,D409)</f>
        <v>0</v>
      </c>
      <c r="F409" s="151" t="n">
        <f aca="false">IF(AND(ISNUMBER('12_Datos_5m'!G409),N('12_Datos_5m'!G409)&gt;0),'12_Datos_5m'!H409/'12_Datos_5m'!G409,0.5)</f>
        <v>0.5</v>
      </c>
      <c r="G409" s="151" t="n">
        <f aca="false">IF(ISNUMBER(C409),($C$2-C409)/3600000,0)</f>
        <v>0</v>
      </c>
      <c r="H409" s="151" t="n">
        <f aca="false">EXP(-G409/'13_Mapa_Liq'!$B$7)</f>
        <v>1</v>
      </c>
      <c r="I409" s="151" t="n">
        <f aca="false">E409*F409*H409</f>
        <v>0</v>
      </c>
      <c r="J409" s="151" t="n">
        <f aca="false">E409*(1-F409)*H409</f>
        <v>0</v>
      </c>
      <c r="K409" s="151" t="n">
        <f aca="false">IF(COUNT('12_Datos_5m'!E410:E$504)=0,1000000000000,MIN('12_Datos_5m'!E410:E$504))</f>
        <v>1000000000000</v>
      </c>
      <c r="L409" s="151" t="n">
        <f aca="false">IF(COUNT('12_Datos_5m'!D410:D$504)=0,0,MAX('12_Datos_5m'!D410:D$504))</f>
        <v>0</v>
      </c>
      <c r="M409" s="151" t="str">
        <f aca="false">IF(ISNUMBER(B409),B409*(1-1/'13_Mapa_Liq'!$B$15+'13_Mapa_Liq'!$B$6),"")</f>
        <v/>
      </c>
      <c r="N409" s="151" t="n">
        <f aca="false">IF(ISNUMBER(B409),IF(K409&gt;M409,I409*'13_Mapa_Liq'!$C$15,0),0)</f>
        <v>0</v>
      </c>
      <c r="O409" s="151" t="str">
        <f aca="false">IF(ISNUMBER(B409),B409*(1+1/'13_Mapa_Liq'!$B$15-'13_Mapa_Liq'!$B$6),"")</f>
        <v/>
      </c>
      <c r="P409" s="151" t="n">
        <f aca="false">IF(ISNUMBER(B409),IF(L409&lt;O409,J409*'13_Mapa_Liq'!$C$15,0),0)</f>
        <v>0</v>
      </c>
      <c r="Q409" s="151" t="str">
        <f aca="false">IF(ISNUMBER(B409),B409*(1-1/'13_Mapa_Liq'!$B$16+'13_Mapa_Liq'!$B$6),"")</f>
        <v/>
      </c>
      <c r="R409" s="151" t="n">
        <f aca="false">IF(ISNUMBER(B409),IF(K409&gt;Q409,I409*'13_Mapa_Liq'!$C$16,0),0)</f>
        <v>0</v>
      </c>
      <c r="S409" s="151" t="str">
        <f aca="false">IF(ISNUMBER(B409),B409*(1+1/'13_Mapa_Liq'!$B$16-'13_Mapa_Liq'!$B$6),"")</f>
        <v/>
      </c>
      <c r="T409" s="151" t="n">
        <f aca="false">IF(ISNUMBER(B409),IF(L409&lt;S409,J409*'13_Mapa_Liq'!$C$16,0),0)</f>
        <v>0</v>
      </c>
      <c r="U409" s="151" t="str">
        <f aca="false">IF(ISNUMBER(B409),B409*(1-1/'13_Mapa_Liq'!$B$17+'13_Mapa_Liq'!$B$6),"")</f>
        <v/>
      </c>
      <c r="V409" s="151" t="n">
        <f aca="false">IF(ISNUMBER(B409),IF(K409&gt;U409,I409*'13_Mapa_Liq'!$C$17,0),0)</f>
        <v>0</v>
      </c>
      <c r="W409" s="151" t="str">
        <f aca="false">IF(ISNUMBER(B409),B409*(1+1/'13_Mapa_Liq'!$B$17-'13_Mapa_Liq'!$B$6),"")</f>
        <v/>
      </c>
      <c r="X409" s="151" t="n">
        <f aca="false">IF(ISNUMBER(B409),IF(L409&lt;W409,J409*'13_Mapa_Liq'!$C$17,0),0)</f>
        <v>0</v>
      </c>
      <c r="Y409" s="151" t="str">
        <f aca="false">IF(ISNUMBER(B409),B409*(1-1/'13_Mapa_Liq'!$B$18+'13_Mapa_Liq'!$B$6),"")</f>
        <v/>
      </c>
      <c r="Z409" s="151" t="n">
        <f aca="false">IF(ISNUMBER(B409),IF(K409&gt;Y409,I409*'13_Mapa_Liq'!$C$18,0),0)</f>
        <v>0</v>
      </c>
      <c r="AA409" s="151" t="str">
        <f aca="false">IF(ISNUMBER(B409),B409*(1+1/'13_Mapa_Liq'!$B$18-'13_Mapa_Liq'!$B$6),"")</f>
        <v/>
      </c>
      <c r="AB409" s="151" t="n">
        <f aca="false">IF(ISNUMBER(B409),IF(L409&lt;AA409,J409*'13_Mapa_Liq'!$C$18,0),0)</f>
        <v>0</v>
      </c>
      <c r="AC409" s="151" t="str">
        <f aca="false">IF(ISNUMBER(B409),B409*(1-1/'13_Mapa_Liq'!$B$19+'13_Mapa_Liq'!$B$6),"")</f>
        <v/>
      </c>
      <c r="AD409" s="151" t="n">
        <f aca="false">IF(ISNUMBER(B409),IF(K409&gt;AC409,I409*'13_Mapa_Liq'!$C$19,0),0)</f>
        <v>0</v>
      </c>
      <c r="AE409" s="151" t="str">
        <f aca="false">IF(ISNUMBER(B409),B409*(1+1/'13_Mapa_Liq'!$B$19-'13_Mapa_Liq'!$B$6),"")</f>
        <v/>
      </c>
      <c r="AF409" s="151" t="n">
        <f aca="false">IF(ISNUMBER(B409),IF(L409&lt;AE409,J409*'13_Mapa_Liq'!$C$19,0),0)</f>
        <v>0</v>
      </c>
      <c r="AG409" s="151"/>
      <c r="AH409" s="151" t="n">
        <f aca="false">IF(ISNUMBER(B409),E409*F409*((K409&lt;=M409)*'13_Mapa_Liq'!$C$15+(K409&lt;=Q409)*'13_Mapa_Liq'!$C$16+(K409&lt;=U409)*'13_Mapa_Liq'!$C$17+(K409&lt;=Y409)*'13_Mapa_Liq'!$C$18+(K409&lt;=AC409)*'13_Mapa_Liq'!$C$19),0)</f>
        <v>0</v>
      </c>
      <c r="AI409" s="151" t="n">
        <f aca="false">IF(ISNUMBER(B409),E409*(1-F409)*((L409&gt;=O409)*'13_Mapa_Liq'!$C$15+(L409&gt;=S409)*'13_Mapa_Liq'!$C$16+(L409&gt;=W409)*'13_Mapa_Liq'!$C$17+(L409&gt;=AA409)*'13_Mapa_Liq'!$C$18+(L409&gt;=AE409)*'13_Mapa_Liq'!$C$19),0)</f>
        <v>0</v>
      </c>
    </row>
    <row r="410" customFormat="false" ht="15" hidden="false" customHeight="false" outlineLevel="0" collapsed="false">
      <c r="A410" s="151" t="str">
        <f aca="false">IF(ISNUMBER('12_Datos_5m'!F410),ROW()-4,"")</f>
        <v/>
      </c>
      <c r="B410" s="151" t="str">
        <f aca="false">IF(ISNUMBER('12_Datos_5m'!F410),'12_Datos_5m'!F410,"")</f>
        <v/>
      </c>
      <c r="C410" s="151" t="str">
        <f aca="false">IF(ISNUMBER('12_Datos_5m'!A410),'12_Datos_5m'!A410,"")</f>
        <v/>
      </c>
      <c r="D410" s="151" t="n">
        <f aca="false">IF(AND(ISNUMBER('12_Datos_5m'!I410),ISNUMBER('12_Datos_5m'!I409)),'12_Datos_5m'!I410-'12_Datos_5m'!I409,0)</f>
        <v>0</v>
      </c>
      <c r="E410" s="151" t="n">
        <f aca="false">MAX(0,D410)</f>
        <v>0</v>
      </c>
      <c r="F410" s="151" t="n">
        <f aca="false">IF(AND(ISNUMBER('12_Datos_5m'!G410),N('12_Datos_5m'!G410)&gt;0),'12_Datos_5m'!H410/'12_Datos_5m'!G410,0.5)</f>
        <v>0.5</v>
      </c>
      <c r="G410" s="151" t="n">
        <f aca="false">IF(ISNUMBER(C410),($C$2-C410)/3600000,0)</f>
        <v>0</v>
      </c>
      <c r="H410" s="151" t="n">
        <f aca="false">EXP(-G410/'13_Mapa_Liq'!$B$7)</f>
        <v>1</v>
      </c>
      <c r="I410" s="151" t="n">
        <f aca="false">E410*F410*H410</f>
        <v>0</v>
      </c>
      <c r="J410" s="151" t="n">
        <f aca="false">E410*(1-F410)*H410</f>
        <v>0</v>
      </c>
      <c r="K410" s="151" t="n">
        <f aca="false">IF(COUNT('12_Datos_5m'!E411:E$504)=0,1000000000000,MIN('12_Datos_5m'!E411:E$504))</f>
        <v>1000000000000</v>
      </c>
      <c r="L410" s="151" t="n">
        <f aca="false">IF(COUNT('12_Datos_5m'!D411:D$504)=0,0,MAX('12_Datos_5m'!D411:D$504))</f>
        <v>0</v>
      </c>
      <c r="M410" s="151" t="str">
        <f aca="false">IF(ISNUMBER(B410),B410*(1-1/'13_Mapa_Liq'!$B$15+'13_Mapa_Liq'!$B$6),"")</f>
        <v/>
      </c>
      <c r="N410" s="151" t="n">
        <f aca="false">IF(ISNUMBER(B410),IF(K410&gt;M410,I410*'13_Mapa_Liq'!$C$15,0),0)</f>
        <v>0</v>
      </c>
      <c r="O410" s="151" t="str">
        <f aca="false">IF(ISNUMBER(B410),B410*(1+1/'13_Mapa_Liq'!$B$15-'13_Mapa_Liq'!$B$6),"")</f>
        <v/>
      </c>
      <c r="P410" s="151" t="n">
        <f aca="false">IF(ISNUMBER(B410),IF(L410&lt;O410,J410*'13_Mapa_Liq'!$C$15,0),0)</f>
        <v>0</v>
      </c>
      <c r="Q410" s="151" t="str">
        <f aca="false">IF(ISNUMBER(B410),B410*(1-1/'13_Mapa_Liq'!$B$16+'13_Mapa_Liq'!$B$6),"")</f>
        <v/>
      </c>
      <c r="R410" s="151" t="n">
        <f aca="false">IF(ISNUMBER(B410),IF(K410&gt;Q410,I410*'13_Mapa_Liq'!$C$16,0),0)</f>
        <v>0</v>
      </c>
      <c r="S410" s="151" t="str">
        <f aca="false">IF(ISNUMBER(B410),B410*(1+1/'13_Mapa_Liq'!$B$16-'13_Mapa_Liq'!$B$6),"")</f>
        <v/>
      </c>
      <c r="T410" s="151" t="n">
        <f aca="false">IF(ISNUMBER(B410),IF(L410&lt;S410,J410*'13_Mapa_Liq'!$C$16,0),0)</f>
        <v>0</v>
      </c>
      <c r="U410" s="151" t="str">
        <f aca="false">IF(ISNUMBER(B410),B410*(1-1/'13_Mapa_Liq'!$B$17+'13_Mapa_Liq'!$B$6),"")</f>
        <v/>
      </c>
      <c r="V410" s="151" t="n">
        <f aca="false">IF(ISNUMBER(B410),IF(K410&gt;U410,I410*'13_Mapa_Liq'!$C$17,0),0)</f>
        <v>0</v>
      </c>
      <c r="W410" s="151" t="str">
        <f aca="false">IF(ISNUMBER(B410),B410*(1+1/'13_Mapa_Liq'!$B$17-'13_Mapa_Liq'!$B$6),"")</f>
        <v/>
      </c>
      <c r="X410" s="151" t="n">
        <f aca="false">IF(ISNUMBER(B410),IF(L410&lt;W410,J410*'13_Mapa_Liq'!$C$17,0),0)</f>
        <v>0</v>
      </c>
      <c r="Y410" s="151" t="str">
        <f aca="false">IF(ISNUMBER(B410),B410*(1-1/'13_Mapa_Liq'!$B$18+'13_Mapa_Liq'!$B$6),"")</f>
        <v/>
      </c>
      <c r="Z410" s="151" t="n">
        <f aca="false">IF(ISNUMBER(B410),IF(K410&gt;Y410,I410*'13_Mapa_Liq'!$C$18,0),0)</f>
        <v>0</v>
      </c>
      <c r="AA410" s="151" t="str">
        <f aca="false">IF(ISNUMBER(B410),B410*(1+1/'13_Mapa_Liq'!$B$18-'13_Mapa_Liq'!$B$6),"")</f>
        <v/>
      </c>
      <c r="AB410" s="151" t="n">
        <f aca="false">IF(ISNUMBER(B410),IF(L410&lt;AA410,J410*'13_Mapa_Liq'!$C$18,0),0)</f>
        <v>0</v>
      </c>
      <c r="AC410" s="151" t="str">
        <f aca="false">IF(ISNUMBER(B410),B410*(1-1/'13_Mapa_Liq'!$B$19+'13_Mapa_Liq'!$B$6),"")</f>
        <v/>
      </c>
      <c r="AD410" s="151" t="n">
        <f aca="false">IF(ISNUMBER(B410),IF(K410&gt;AC410,I410*'13_Mapa_Liq'!$C$19,0),0)</f>
        <v>0</v>
      </c>
      <c r="AE410" s="151" t="str">
        <f aca="false">IF(ISNUMBER(B410),B410*(1+1/'13_Mapa_Liq'!$B$19-'13_Mapa_Liq'!$B$6),"")</f>
        <v/>
      </c>
      <c r="AF410" s="151" t="n">
        <f aca="false">IF(ISNUMBER(B410),IF(L410&lt;AE410,J410*'13_Mapa_Liq'!$C$19,0),0)</f>
        <v>0</v>
      </c>
      <c r="AG410" s="151"/>
      <c r="AH410" s="151" t="n">
        <f aca="false">IF(ISNUMBER(B410),E410*F410*((K410&lt;=M410)*'13_Mapa_Liq'!$C$15+(K410&lt;=Q410)*'13_Mapa_Liq'!$C$16+(K410&lt;=U410)*'13_Mapa_Liq'!$C$17+(K410&lt;=Y410)*'13_Mapa_Liq'!$C$18+(K410&lt;=AC410)*'13_Mapa_Liq'!$C$19),0)</f>
        <v>0</v>
      </c>
      <c r="AI410" s="151" t="n">
        <f aca="false">IF(ISNUMBER(B410),E410*(1-F410)*((L410&gt;=O410)*'13_Mapa_Liq'!$C$15+(L410&gt;=S410)*'13_Mapa_Liq'!$C$16+(L410&gt;=W410)*'13_Mapa_Liq'!$C$17+(L410&gt;=AA410)*'13_Mapa_Liq'!$C$18+(L410&gt;=AE410)*'13_Mapa_Liq'!$C$19),0)</f>
        <v>0</v>
      </c>
    </row>
    <row r="411" customFormat="false" ht="15" hidden="false" customHeight="false" outlineLevel="0" collapsed="false">
      <c r="A411" s="151" t="str">
        <f aca="false">IF(ISNUMBER('12_Datos_5m'!F411),ROW()-4,"")</f>
        <v/>
      </c>
      <c r="B411" s="151" t="str">
        <f aca="false">IF(ISNUMBER('12_Datos_5m'!F411),'12_Datos_5m'!F411,"")</f>
        <v/>
      </c>
      <c r="C411" s="151" t="str">
        <f aca="false">IF(ISNUMBER('12_Datos_5m'!A411),'12_Datos_5m'!A411,"")</f>
        <v/>
      </c>
      <c r="D411" s="151" t="n">
        <f aca="false">IF(AND(ISNUMBER('12_Datos_5m'!I411),ISNUMBER('12_Datos_5m'!I410)),'12_Datos_5m'!I411-'12_Datos_5m'!I410,0)</f>
        <v>0</v>
      </c>
      <c r="E411" s="151" t="n">
        <f aca="false">MAX(0,D411)</f>
        <v>0</v>
      </c>
      <c r="F411" s="151" t="n">
        <f aca="false">IF(AND(ISNUMBER('12_Datos_5m'!G411),N('12_Datos_5m'!G411)&gt;0),'12_Datos_5m'!H411/'12_Datos_5m'!G411,0.5)</f>
        <v>0.5</v>
      </c>
      <c r="G411" s="151" t="n">
        <f aca="false">IF(ISNUMBER(C411),($C$2-C411)/3600000,0)</f>
        <v>0</v>
      </c>
      <c r="H411" s="151" t="n">
        <f aca="false">EXP(-G411/'13_Mapa_Liq'!$B$7)</f>
        <v>1</v>
      </c>
      <c r="I411" s="151" t="n">
        <f aca="false">E411*F411*H411</f>
        <v>0</v>
      </c>
      <c r="J411" s="151" t="n">
        <f aca="false">E411*(1-F411)*H411</f>
        <v>0</v>
      </c>
      <c r="K411" s="151" t="n">
        <f aca="false">IF(COUNT('12_Datos_5m'!E412:E$504)=0,1000000000000,MIN('12_Datos_5m'!E412:E$504))</f>
        <v>1000000000000</v>
      </c>
      <c r="L411" s="151" t="n">
        <f aca="false">IF(COUNT('12_Datos_5m'!D412:D$504)=0,0,MAX('12_Datos_5m'!D412:D$504))</f>
        <v>0</v>
      </c>
      <c r="M411" s="151" t="str">
        <f aca="false">IF(ISNUMBER(B411),B411*(1-1/'13_Mapa_Liq'!$B$15+'13_Mapa_Liq'!$B$6),"")</f>
        <v/>
      </c>
      <c r="N411" s="151" t="n">
        <f aca="false">IF(ISNUMBER(B411),IF(K411&gt;M411,I411*'13_Mapa_Liq'!$C$15,0),0)</f>
        <v>0</v>
      </c>
      <c r="O411" s="151" t="str">
        <f aca="false">IF(ISNUMBER(B411),B411*(1+1/'13_Mapa_Liq'!$B$15-'13_Mapa_Liq'!$B$6),"")</f>
        <v/>
      </c>
      <c r="P411" s="151" t="n">
        <f aca="false">IF(ISNUMBER(B411),IF(L411&lt;O411,J411*'13_Mapa_Liq'!$C$15,0),0)</f>
        <v>0</v>
      </c>
      <c r="Q411" s="151" t="str">
        <f aca="false">IF(ISNUMBER(B411),B411*(1-1/'13_Mapa_Liq'!$B$16+'13_Mapa_Liq'!$B$6),"")</f>
        <v/>
      </c>
      <c r="R411" s="151" t="n">
        <f aca="false">IF(ISNUMBER(B411),IF(K411&gt;Q411,I411*'13_Mapa_Liq'!$C$16,0),0)</f>
        <v>0</v>
      </c>
      <c r="S411" s="151" t="str">
        <f aca="false">IF(ISNUMBER(B411),B411*(1+1/'13_Mapa_Liq'!$B$16-'13_Mapa_Liq'!$B$6),"")</f>
        <v/>
      </c>
      <c r="T411" s="151" t="n">
        <f aca="false">IF(ISNUMBER(B411),IF(L411&lt;S411,J411*'13_Mapa_Liq'!$C$16,0),0)</f>
        <v>0</v>
      </c>
      <c r="U411" s="151" t="str">
        <f aca="false">IF(ISNUMBER(B411),B411*(1-1/'13_Mapa_Liq'!$B$17+'13_Mapa_Liq'!$B$6),"")</f>
        <v/>
      </c>
      <c r="V411" s="151" t="n">
        <f aca="false">IF(ISNUMBER(B411),IF(K411&gt;U411,I411*'13_Mapa_Liq'!$C$17,0),0)</f>
        <v>0</v>
      </c>
      <c r="W411" s="151" t="str">
        <f aca="false">IF(ISNUMBER(B411),B411*(1+1/'13_Mapa_Liq'!$B$17-'13_Mapa_Liq'!$B$6),"")</f>
        <v/>
      </c>
      <c r="X411" s="151" t="n">
        <f aca="false">IF(ISNUMBER(B411),IF(L411&lt;W411,J411*'13_Mapa_Liq'!$C$17,0),0)</f>
        <v>0</v>
      </c>
      <c r="Y411" s="151" t="str">
        <f aca="false">IF(ISNUMBER(B411),B411*(1-1/'13_Mapa_Liq'!$B$18+'13_Mapa_Liq'!$B$6),"")</f>
        <v/>
      </c>
      <c r="Z411" s="151" t="n">
        <f aca="false">IF(ISNUMBER(B411),IF(K411&gt;Y411,I411*'13_Mapa_Liq'!$C$18,0),0)</f>
        <v>0</v>
      </c>
      <c r="AA411" s="151" t="str">
        <f aca="false">IF(ISNUMBER(B411),B411*(1+1/'13_Mapa_Liq'!$B$18-'13_Mapa_Liq'!$B$6),"")</f>
        <v/>
      </c>
      <c r="AB411" s="151" t="n">
        <f aca="false">IF(ISNUMBER(B411),IF(L411&lt;AA411,J411*'13_Mapa_Liq'!$C$18,0),0)</f>
        <v>0</v>
      </c>
      <c r="AC411" s="151" t="str">
        <f aca="false">IF(ISNUMBER(B411),B411*(1-1/'13_Mapa_Liq'!$B$19+'13_Mapa_Liq'!$B$6),"")</f>
        <v/>
      </c>
      <c r="AD411" s="151" t="n">
        <f aca="false">IF(ISNUMBER(B411),IF(K411&gt;AC411,I411*'13_Mapa_Liq'!$C$19,0),0)</f>
        <v>0</v>
      </c>
      <c r="AE411" s="151" t="str">
        <f aca="false">IF(ISNUMBER(B411),B411*(1+1/'13_Mapa_Liq'!$B$19-'13_Mapa_Liq'!$B$6),"")</f>
        <v/>
      </c>
      <c r="AF411" s="151" t="n">
        <f aca="false">IF(ISNUMBER(B411),IF(L411&lt;AE411,J411*'13_Mapa_Liq'!$C$19,0),0)</f>
        <v>0</v>
      </c>
      <c r="AG411" s="151"/>
      <c r="AH411" s="151" t="n">
        <f aca="false">IF(ISNUMBER(B411),E411*F411*((K411&lt;=M411)*'13_Mapa_Liq'!$C$15+(K411&lt;=Q411)*'13_Mapa_Liq'!$C$16+(K411&lt;=U411)*'13_Mapa_Liq'!$C$17+(K411&lt;=Y411)*'13_Mapa_Liq'!$C$18+(K411&lt;=AC411)*'13_Mapa_Liq'!$C$19),0)</f>
        <v>0</v>
      </c>
      <c r="AI411" s="151" t="n">
        <f aca="false">IF(ISNUMBER(B411),E411*(1-F411)*((L411&gt;=O411)*'13_Mapa_Liq'!$C$15+(L411&gt;=S411)*'13_Mapa_Liq'!$C$16+(L411&gt;=W411)*'13_Mapa_Liq'!$C$17+(L411&gt;=AA411)*'13_Mapa_Liq'!$C$18+(L411&gt;=AE411)*'13_Mapa_Liq'!$C$19),0)</f>
        <v>0</v>
      </c>
    </row>
    <row r="412" customFormat="false" ht="15" hidden="false" customHeight="false" outlineLevel="0" collapsed="false">
      <c r="A412" s="151" t="str">
        <f aca="false">IF(ISNUMBER('12_Datos_5m'!F412),ROW()-4,"")</f>
        <v/>
      </c>
      <c r="B412" s="151" t="str">
        <f aca="false">IF(ISNUMBER('12_Datos_5m'!F412),'12_Datos_5m'!F412,"")</f>
        <v/>
      </c>
      <c r="C412" s="151" t="str">
        <f aca="false">IF(ISNUMBER('12_Datos_5m'!A412),'12_Datos_5m'!A412,"")</f>
        <v/>
      </c>
      <c r="D412" s="151" t="n">
        <f aca="false">IF(AND(ISNUMBER('12_Datos_5m'!I412),ISNUMBER('12_Datos_5m'!I411)),'12_Datos_5m'!I412-'12_Datos_5m'!I411,0)</f>
        <v>0</v>
      </c>
      <c r="E412" s="151" t="n">
        <f aca="false">MAX(0,D412)</f>
        <v>0</v>
      </c>
      <c r="F412" s="151" t="n">
        <f aca="false">IF(AND(ISNUMBER('12_Datos_5m'!G412),N('12_Datos_5m'!G412)&gt;0),'12_Datos_5m'!H412/'12_Datos_5m'!G412,0.5)</f>
        <v>0.5</v>
      </c>
      <c r="G412" s="151" t="n">
        <f aca="false">IF(ISNUMBER(C412),($C$2-C412)/3600000,0)</f>
        <v>0</v>
      </c>
      <c r="H412" s="151" t="n">
        <f aca="false">EXP(-G412/'13_Mapa_Liq'!$B$7)</f>
        <v>1</v>
      </c>
      <c r="I412" s="151" t="n">
        <f aca="false">E412*F412*H412</f>
        <v>0</v>
      </c>
      <c r="J412" s="151" t="n">
        <f aca="false">E412*(1-F412)*H412</f>
        <v>0</v>
      </c>
      <c r="K412" s="151" t="n">
        <f aca="false">IF(COUNT('12_Datos_5m'!E413:E$504)=0,1000000000000,MIN('12_Datos_5m'!E413:E$504))</f>
        <v>1000000000000</v>
      </c>
      <c r="L412" s="151" t="n">
        <f aca="false">IF(COUNT('12_Datos_5m'!D413:D$504)=0,0,MAX('12_Datos_5m'!D413:D$504))</f>
        <v>0</v>
      </c>
      <c r="M412" s="151" t="str">
        <f aca="false">IF(ISNUMBER(B412),B412*(1-1/'13_Mapa_Liq'!$B$15+'13_Mapa_Liq'!$B$6),"")</f>
        <v/>
      </c>
      <c r="N412" s="151" t="n">
        <f aca="false">IF(ISNUMBER(B412),IF(K412&gt;M412,I412*'13_Mapa_Liq'!$C$15,0),0)</f>
        <v>0</v>
      </c>
      <c r="O412" s="151" t="str">
        <f aca="false">IF(ISNUMBER(B412),B412*(1+1/'13_Mapa_Liq'!$B$15-'13_Mapa_Liq'!$B$6),"")</f>
        <v/>
      </c>
      <c r="P412" s="151" t="n">
        <f aca="false">IF(ISNUMBER(B412),IF(L412&lt;O412,J412*'13_Mapa_Liq'!$C$15,0),0)</f>
        <v>0</v>
      </c>
      <c r="Q412" s="151" t="str">
        <f aca="false">IF(ISNUMBER(B412),B412*(1-1/'13_Mapa_Liq'!$B$16+'13_Mapa_Liq'!$B$6),"")</f>
        <v/>
      </c>
      <c r="R412" s="151" t="n">
        <f aca="false">IF(ISNUMBER(B412),IF(K412&gt;Q412,I412*'13_Mapa_Liq'!$C$16,0),0)</f>
        <v>0</v>
      </c>
      <c r="S412" s="151" t="str">
        <f aca="false">IF(ISNUMBER(B412),B412*(1+1/'13_Mapa_Liq'!$B$16-'13_Mapa_Liq'!$B$6),"")</f>
        <v/>
      </c>
      <c r="T412" s="151" t="n">
        <f aca="false">IF(ISNUMBER(B412),IF(L412&lt;S412,J412*'13_Mapa_Liq'!$C$16,0),0)</f>
        <v>0</v>
      </c>
      <c r="U412" s="151" t="str">
        <f aca="false">IF(ISNUMBER(B412),B412*(1-1/'13_Mapa_Liq'!$B$17+'13_Mapa_Liq'!$B$6),"")</f>
        <v/>
      </c>
      <c r="V412" s="151" t="n">
        <f aca="false">IF(ISNUMBER(B412),IF(K412&gt;U412,I412*'13_Mapa_Liq'!$C$17,0),0)</f>
        <v>0</v>
      </c>
      <c r="W412" s="151" t="str">
        <f aca="false">IF(ISNUMBER(B412),B412*(1+1/'13_Mapa_Liq'!$B$17-'13_Mapa_Liq'!$B$6),"")</f>
        <v/>
      </c>
      <c r="X412" s="151" t="n">
        <f aca="false">IF(ISNUMBER(B412),IF(L412&lt;W412,J412*'13_Mapa_Liq'!$C$17,0),0)</f>
        <v>0</v>
      </c>
      <c r="Y412" s="151" t="str">
        <f aca="false">IF(ISNUMBER(B412),B412*(1-1/'13_Mapa_Liq'!$B$18+'13_Mapa_Liq'!$B$6),"")</f>
        <v/>
      </c>
      <c r="Z412" s="151" t="n">
        <f aca="false">IF(ISNUMBER(B412),IF(K412&gt;Y412,I412*'13_Mapa_Liq'!$C$18,0),0)</f>
        <v>0</v>
      </c>
      <c r="AA412" s="151" t="str">
        <f aca="false">IF(ISNUMBER(B412),B412*(1+1/'13_Mapa_Liq'!$B$18-'13_Mapa_Liq'!$B$6),"")</f>
        <v/>
      </c>
      <c r="AB412" s="151" t="n">
        <f aca="false">IF(ISNUMBER(B412),IF(L412&lt;AA412,J412*'13_Mapa_Liq'!$C$18,0),0)</f>
        <v>0</v>
      </c>
      <c r="AC412" s="151" t="str">
        <f aca="false">IF(ISNUMBER(B412),B412*(1-1/'13_Mapa_Liq'!$B$19+'13_Mapa_Liq'!$B$6),"")</f>
        <v/>
      </c>
      <c r="AD412" s="151" t="n">
        <f aca="false">IF(ISNUMBER(B412),IF(K412&gt;AC412,I412*'13_Mapa_Liq'!$C$19,0),0)</f>
        <v>0</v>
      </c>
      <c r="AE412" s="151" t="str">
        <f aca="false">IF(ISNUMBER(B412),B412*(1+1/'13_Mapa_Liq'!$B$19-'13_Mapa_Liq'!$B$6),"")</f>
        <v/>
      </c>
      <c r="AF412" s="151" t="n">
        <f aca="false">IF(ISNUMBER(B412),IF(L412&lt;AE412,J412*'13_Mapa_Liq'!$C$19,0),0)</f>
        <v>0</v>
      </c>
      <c r="AG412" s="151"/>
      <c r="AH412" s="151" t="n">
        <f aca="false">IF(ISNUMBER(B412),E412*F412*((K412&lt;=M412)*'13_Mapa_Liq'!$C$15+(K412&lt;=Q412)*'13_Mapa_Liq'!$C$16+(K412&lt;=U412)*'13_Mapa_Liq'!$C$17+(K412&lt;=Y412)*'13_Mapa_Liq'!$C$18+(K412&lt;=AC412)*'13_Mapa_Liq'!$C$19),0)</f>
        <v>0</v>
      </c>
      <c r="AI412" s="151" t="n">
        <f aca="false">IF(ISNUMBER(B412),E412*(1-F412)*((L412&gt;=O412)*'13_Mapa_Liq'!$C$15+(L412&gt;=S412)*'13_Mapa_Liq'!$C$16+(L412&gt;=W412)*'13_Mapa_Liq'!$C$17+(L412&gt;=AA412)*'13_Mapa_Liq'!$C$18+(L412&gt;=AE412)*'13_Mapa_Liq'!$C$19),0)</f>
        <v>0</v>
      </c>
    </row>
    <row r="413" customFormat="false" ht="15" hidden="false" customHeight="false" outlineLevel="0" collapsed="false">
      <c r="A413" s="151" t="str">
        <f aca="false">IF(ISNUMBER('12_Datos_5m'!F413),ROW()-4,"")</f>
        <v/>
      </c>
      <c r="B413" s="151" t="str">
        <f aca="false">IF(ISNUMBER('12_Datos_5m'!F413),'12_Datos_5m'!F413,"")</f>
        <v/>
      </c>
      <c r="C413" s="151" t="str">
        <f aca="false">IF(ISNUMBER('12_Datos_5m'!A413),'12_Datos_5m'!A413,"")</f>
        <v/>
      </c>
      <c r="D413" s="151" t="n">
        <f aca="false">IF(AND(ISNUMBER('12_Datos_5m'!I413),ISNUMBER('12_Datos_5m'!I412)),'12_Datos_5m'!I413-'12_Datos_5m'!I412,0)</f>
        <v>0</v>
      </c>
      <c r="E413" s="151" t="n">
        <f aca="false">MAX(0,D413)</f>
        <v>0</v>
      </c>
      <c r="F413" s="151" t="n">
        <f aca="false">IF(AND(ISNUMBER('12_Datos_5m'!G413),N('12_Datos_5m'!G413)&gt;0),'12_Datos_5m'!H413/'12_Datos_5m'!G413,0.5)</f>
        <v>0.5</v>
      </c>
      <c r="G413" s="151" t="n">
        <f aca="false">IF(ISNUMBER(C413),($C$2-C413)/3600000,0)</f>
        <v>0</v>
      </c>
      <c r="H413" s="151" t="n">
        <f aca="false">EXP(-G413/'13_Mapa_Liq'!$B$7)</f>
        <v>1</v>
      </c>
      <c r="I413" s="151" t="n">
        <f aca="false">E413*F413*H413</f>
        <v>0</v>
      </c>
      <c r="J413" s="151" t="n">
        <f aca="false">E413*(1-F413)*H413</f>
        <v>0</v>
      </c>
      <c r="K413" s="151" t="n">
        <f aca="false">IF(COUNT('12_Datos_5m'!E414:E$504)=0,1000000000000,MIN('12_Datos_5m'!E414:E$504))</f>
        <v>1000000000000</v>
      </c>
      <c r="L413" s="151" t="n">
        <f aca="false">IF(COUNT('12_Datos_5m'!D414:D$504)=0,0,MAX('12_Datos_5m'!D414:D$504))</f>
        <v>0</v>
      </c>
      <c r="M413" s="151" t="str">
        <f aca="false">IF(ISNUMBER(B413),B413*(1-1/'13_Mapa_Liq'!$B$15+'13_Mapa_Liq'!$B$6),"")</f>
        <v/>
      </c>
      <c r="N413" s="151" t="n">
        <f aca="false">IF(ISNUMBER(B413),IF(K413&gt;M413,I413*'13_Mapa_Liq'!$C$15,0),0)</f>
        <v>0</v>
      </c>
      <c r="O413" s="151" t="str">
        <f aca="false">IF(ISNUMBER(B413),B413*(1+1/'13_Mapa_Liq'!$B$15-'13_Mapa_Liq'!$B$6),"")</f>
        <v/>
      </c>
      <c r="P413" s="151" t="n">
        <f aca="false">IF(ISNUMBER(B413),IF(L413&lt;O413,J413*'13_Mapa_Liq'!$C$15,0),0)</f>
        <v>0</v>
      </c>
      <c r="Q413" s="151" t="str">
        <f aca="false">IF(ISNUMBER(B413),B413*(1-1/'13_Mapa_Liq'!$B$16+'13_Mapa_Liq'!$B$6),"")</f>
        <v/>
      </c>
      <c r="R413" s="151" t="n">
        <f aca="false">IF(ISNUMBER(B413),IF(K413&gt;Q413,I413*'13_Mapa_Liq'!$C$16,0),0)</f>
        <v>0</v>
      </c>
      <c r="S413" s="151" t="str">
        <f aca="false">IF(ISNUMBER(B413),B413*(1+1/'13_Mapa_Liq'!$B$16-'13_Mapa_Liq'!$B$6),"")</f>
        <v/>
      </c>
      <c r="T413" s="151" t="n">
        <f aca="false">IF(ISNUMBER(B413),IF(L413&lt;S413,J413*'13_Mapa_Liq'!$C$16,0),0)</f>
        <v>0</v>
      </c>
      <c r="U413" s="151" t="str">
        <f aca="false">IF(ISNUMBER(B413),B413*(1-1/'13_Mapa_Liq'!$B$17+'13_Mapa_Liq'!$B$6),"")</f>
        <v/>
      </c>
      <c r="V413" s="151" t="n">
        <f aca="false">IF(ISNUMBER(B413),IF(K413&gt;U413,I413*'13_Mapa_Liq'!$C$17,0),0)</f>
        <v>0</v>
      </c>
      <c r="W413" s="151" t="str">
        <f aca="false">IF(ISNUMBER(B413),B413*(1+1/'13_Mapa_Liq'!$B$17-'13_Mapa_Liq'!$B$6),"")</f>
        <v/>
      </c>
      <c r="X413" s="151" t="n">
        <f aca="false">IF(ISNUMBER(B413),IF(L413&lt;W413,J413*'13_Mapa_Liq'!$C$17,0),0)</f>
        <v>0</v>
      </c>
      <c r="Y413" s="151" t="str">
        <f aca="false">IF(ISNUMBER(B413),B413*(1-1/'13_Mapa_Liq'!$B$18+'13_Mapa_Liq'!$B$6),"")</f>
        <v/>
      </c>
      <c r="Z413" s="151" t="n">
        <f aca="false">IF(ISNUMBER(B413),IF(K413&gt;Y413,I413*'13_Mapa_Liq'!$C$18,0),0)</f>
        <v>0</v>
      </c>
      <c r="AA413" s="151" t="str">
        <f aca="false">IF(ISNUMBER(B413),B413*(1+1/'13_Mapa_Liq'!$B$18-'13_Mapa_Liq'!$B$6),"")</f>
        <v/>
      </c>
      <c r="AB413" s="151" t="n">
        <f aca="false">IF(ISNUMBER(B413),IF(L413&lt;AA413,J413*'13_Mapa_Liq'!$C$18,0),0)</f>
        <v>0</v>
      </c>
      <c r="AC413" s="151" t="str">
        <f aca="false">IF(ISNUMBER(B413),B413*(1-1/'13_Mapa_Liq'!$B$19+'13_Mapa_Liq'!$B$6),"")</f>
        <v/>
      </c>
      <c r="AD413" s="151" t="n">
        <f aca="false">IF(ISNUMBER(B413),IF(K413&gt;AC413,I413*'13_Mapa_Liq'!$C$19,0),0)</f>
        <v>0</v>
      </c>
      <c r="AE413" s="151" t="str">
        <f aca="false">IF(ISNUMBER(B413),B413*(1+1/'13_Mapa_Liq'!$B$19-'13_Mapa_Liq'!$B$6),"")</f>
        <v/>
      </c>
      <c r="AF413" s="151" t="n">
        <f aca="false">IF(ISNUMBER(B413),IF(L413&lt;AE413,J413*'13_Mapa_Liq'!$C$19,0),0)</f>
        <v>0</v>
      </c>
      <c r="AG413" s="151"/>
      <c r="AH413" s="151" t="n">
        <f aca="false">IF(ISNUMBER(B413),E413*F413*((K413&lt;=M413)*'13_Mapa_Liq'!$C$15+(K413&lt;=Q413)*'13_Mapa_Liq'!$C$16+(K413&lt;=U413)*'13_Mapa_Liq'!$C$17+(K413&lt;=Y413)*'13_Mapa_Liq'!$C$18+(K413&lt;=AC413)*'13_Mapa_Liq'!$C$19),0)</f>
        <v>0</v>
      </c>
      <c r="AI413" s="151" t="n">
        <f aca="false">IF(ISNUMBER(B413),E413*(1-F413)*((L413&gt;=O413)*'13_Mapa_Liq'!$C$15+(L413&gt;=S413)*'13_Mapa_Liq'!$C$16+(L413&gt;=W413)*'13_Mapa_Liq'!$C$17+(L413&gt;=AA413)*'13_Mapa_Liq'!$C$18+(L413&gt;=AE413)*'13_Mapa_Liq'!$C$19),0)</f>
        <v>0</v>
      </c>
    </row>
    <row r="414" customFormat="false" ht="15" hidden="false" customHeight="false" outlineLevel="0" collapsed="false">
      <c r="A414" s="151" t="str">
        <f aca="false">IF(ISNUMBER('12_Datos_5m'!F414),ROW()-4,"")</f>
        <v/>
      </c>
      <c r="B414" s="151" t="str">
        <f aca="false">IF(ISNUMBER('12_Datos_5m'!F414),'12_Datos_5m'!F414,"")</f>
        <v/>
      </c>
      <c r="C414" s="151" t="str">
        <f aca="false">IF(ISNUMBER('12_Datos_5m'!A414),'12_Datos_5m'!A414,"")</f>
        <v/>
      </c>
      <c r="D414" s="151" t="n">
        <f aca="false">IF(AND(ISNUMBER('12_Datos_5m'!I414),ISNUMBER('12_Datos_5m'!I413)),'12_Datos_5m'!I414-'12_Datos_5m'!I413,0)</f>
        <v>0</v>
      </c>
      <c r="E414" s="151" t="n">
        <f aca="false">MAX(0,D414)</f>
        <v>0</v>
      </c>
      <c r="F414" s="151" t="n">
        <f aca="false">IF(AND(ISNUMBER('12_Datos_5m'!G414),N('12_Datos_5m'!G414)&gt;0),'12_Datos_5m'!H414/'12_Datos_5m'!G414,0.5)</f>
        <v>0.5</v>
      </c>
      <c r="G414" s="151" t="n">
        <f aca="false">IF(ISNUMBER(C414),($C$2-C414)/3600000,0)</f>
        <v>0</v>
      </c>
      <c r="H414" s="151" t="n">
        <f aca="false">EXP(-G414/'13_Mapa_Liq'!$B$7)</f>
        <v>1</v>
      </c>
      <c r="I414" s="151" t="n">
        <f aca="false">E414*F414*H414</f>
        <v>0</v>
      </c>
      <c r="J414" s="151" t="n">
        <f aca="false">E414*(1-F414)*H414</f>
        <v>0</v>
      </c>
      <c r="K414" s="151" t="n">
        <f aca="false">IF(COUNT('12_Datos_5m'!E415:E$504)=0,1000000000000,MIN('12_Datos_5m'!E415:E$504))</f>
        <v>1000000000000</v>
      </c>
      <c r="L414" s="151" t="n">
        <f aca="false">IF(COUNT('12_Datos_5m'!D415:D$504)=0,0,MAX('12_Datos_5m'!D415:D$504))</f>
        <v>0</v>
      </c>
      <c r="M414" s="151" t="str">
        <f aca="false">IF(ISNUMBER(B414),B414*(1-1/'13_Mapa_Liq'!$B$15+'13_Mapa_Liq'!$B$6),"")</f>
        <v/>
      </c>
      <c r="N414" s="151" t="n">
        <f aca="false">IF(ISNUMBER(B414),IF(K414&gt;M414,I414*'13_Mapa_Liq'!$C$15,0),0)</f>
        <v>0</v>
      </c>
      <c r="O414" s="151" t="str">
        <f aca="false">IF(ISNUMBER(B414),B414*(1+1/'13_Mapa_Liq'!$B$15-'13_Mapa_Liq'!$B$6),"")</f>
        <v/>
      </c>
      <c r="P414" s="151" t="n">
        <f aca="false">IF(ISNUMBER(B414),IF(L414&lt;O414,J414*'13_Mapa_Liq'!$C$15,0),0)</f>
        <v>0</v>
      </c>
      <c r="Q414" s="151" t="str">
        <f aca="false">IF(ISNUMBER(B414),B414*(1-1/'13_Mapa_Liq'!$B$16+'13_Mapa_Liq'!$B$6),"")</f>
        <v/>
      </c>
      <c r="R414" s="151" t="n">
        <f aca="false">IF(ISNUMBER(B414),IF(K414&gt;Q414,I414*'13_Mapa_Liq'!$C$16,0),0)</f>
        <v>0</v>
      </c>
      <c r="S414" s="151" t="str">
        <f aca="false">IF(ISNUMBER(B414),B414*(1+1/'13_Mapa_Liq'!$B$16-'13_Mapa_Liq'!$B$6),"")</f>
        <v/>
      </c>
      <c r="T414" s="151" t="n">
        <f aca="false">IF(ISNUMBER(B414),IF(L414&lt;S414,J414*'13_Mapa_Liq'!$C$16,0),0)</f>
        <v>0</v>
      </c>
      <c r="U414" s="151" t="str">
        <f aca="false">IF(ISNUMBER(B414),B414*(1-1/'13_Mapa_Liq'!$B$17+'13_Mapa_Liq'!$B$6),"")</f>
        <v/>
      </c>
      <c r="V414" s="151" t="n">
        <f aca="false">IF(ISNUMBER(B414),IF(K414&gt;U414,I414*'13_Mapa_Liq'!$C$17,0),0)</f>
        <v>0</v>
      </c>
      <c r="W414" s="151" t="str">
        <f aca="false">IF(ISNUMBER(B414),B414*(1+1/'13_Mapa_Liq'!$B$17-'13_Mapa_Liq'!$B$6),"")</f>
        <v/>
      </c>
      <c r="X414" s="151" t="n">
        <f aca="false">IF(ISNUMBER(B414),IF(L414&lt;W414,J414*'13_Mapa_Liq'!$C$17,0),0)</f>
        <v>0</v>
      </c>
      <c r="Y414" s="151" t="str">
        <f aca="false">IF(ISNUMBER(B414),B414*(1-1/'13_Mapa_Liq'!$B$18+'13_Mapa_Liq'!$B$6),"")</f>
        <v/>
      </c>
      <c r="Z414" s="151" t="n">
        <f aca="false">IF(ISNUMBER(B414),IF(K414&gt;Y414,I414*'13_Mapa_Liq'!$C$18,0),0)</f>
        <v>0</v>
      </c>
      <c r="AA414" s="151" t="str">
        <f aca="false">IF(ISNUMBER(B414),B414*(1+1/'13_Mapa_Liq'!$B$18-'13_Mapa_Liq'!$B$6),"")</f>
        <v/>
      </c>
      <c r="AB414" s="151" t="n">
        <f aca="false">IF(ISNUMBER(B414),IF(L414&lt;AA414,J414*'13_Mapa_Liq'!$C$18,0),0)</f>
        <v>0</v>
      </c>
      <c r="AC414" s="151" t="str">
        <f aca="false">IF(ISNUMBER(B414),B414*(1-1/'13_Mapa_Liq'!$B$19+'13_Mapa_Liq'!$B$6),"")</f>
        <v/>
      </c>
      <c r="AD414" s="151" t="n">
        <f aca="false">IF(ISNUMBER(B414),IF(K414&gt;AC414,I414*'13_Mapa_Liq'!$C$19,0),0)</f>
        <v>0</v>
      </c>
      <c r="AE414" s="151" t="str">
        <f aca="false">IF(ISNUMBER(B414),B414*(1+1/'13_Mapa_Liq'!$B$19-'13_Mapa_Liq'!$B$6),"")</f>
        <v/>
      </c>
      <c r="AF414" s="151" t="n">
        <f aca="false">IF(ISNUMBER(B414),IF(L414&lt;AE414,J414*'13_Mapa_Liq'!$C$19,0),0)</f>
        <v>0</v>
      </c>
      <c r="AG414" s="151"/>
      <c r="AH414" s="151" t="n">
        <f aca="false">IF(ISNUMBER(B414),E414*F414*((K414&lt;=M414)*'13_Mapa_Liq'!$C$15+(K414&lt;=Q414)*'13_Mapa_Liq'!$C$16+(K414&lt;=U414)*'13_Mapa_Liq'!$C$17+(K414&lt;=Y414)*'13_Mapa_Liq'!$C$18+(K414&lt;=AC414)*'13_Mapa_Liq'!$C$19),0)</f>
        <v>0</v>
      </c>
      <c r="AI414" s="151" t="n">
        <f aca="false">IF(ISNUMBER(B414),E414*(1-F414)*((L414&gt;=O414)*'13_Mapa_Liq'!$C$15+(L414&gt;=S414)*'13_Mapa_Liq'!$C$16+(L414&gt;=W414)*'13_Mapa_Liq'!$C$17+(L414&gt;=AA414)*'13_Mapa_Liq'!$C$18+(L414&gt;=AE414)*'13_Mapa_Liq'!$C$19),0)</f>
        <v>0</v>
      </c>
    </row>
    <row r="415" customFormat="false" ht="15" hidden="false" customHeight="false" outlineLevel="0" collapsed="false">
      <c r="A415" s="151" t="str">
        <f aca="false">IF(ISNUMBER('12_Datos_5m'!F415),ROW()-4,"")</f>
        <v/>
      </c>
      <c r="B415" s="151" t="str">
        <f aca="false">IF(ISNUMBER('12_Datos_5m'!F415),'12_Datos_5m'!F415,"")</f>
        <v/>
      </c>
      <c r="C415" s="151" t="str">
        <f aca="false">IF(ISNUMBER('12_Datos_5m'!A415),'12_Datos_5m'!A415,"")</f>
        <v/>
      </c>
      <c r="D415" s="151" t="n">
        <f aca="false">IF(AND(ISNUMBER('12_Datos_5m'!I415),ISNUMBER('12_Datos_5m'!I414)),'12_Datos_5m'!I415-'12_Datos_5m'!I414,0)</f>
        <v>0</v>
      </c>
      <c r="E415" s="151" t="n">
        <f aca="false">MAX(0,D415)</f>
        <v>0</v>
      </c>
      <c r="F415" s="151" t="n">
        <f aca="false">IF(AND(ISNUMBER('12_Datos_5m'!G415),N('12_Datos_5m'!G415)&gt;0),'12_Datos_5m'!H415/'12_Datos_5m'!G415,0.5)</f>
        <v>0.5</v>
      </c>
      <c r="G415" s="151" t="n">
        <f aca="false">IF(ISNUMBER(C415),($C$2-C415)/3600000,0)</f>
        <v>0</v>
      </c>
      <c r="H415" s="151" t="n">
        <f aca="false">EXP(-G415/'13_Mapa_Liq'!$B$7)</f>
        <v>1</v>
      </c>
      <c r="I415" s="151" t="n">
        <f aca="false">E415*F415*H415</f>
        <v>0</v>
      </c>
      <c r="J415" s="151" t="n">
        <f aca="false">E415*(1-F415)*H415</f>
        <v>0</v>
      </c>
      <c r="K415" s="151" t="n">
        <f aca="false">IF(COUNT('12_Datos_5m'!E416:E$504)=0,1000000000000,MIN('12_Datos_5m'!E416:E$504))</f>
        <v>1000000000000</v>
      </c>
      <c r="L415" s="151" t="n">
        <f aca="false">IF(COUNT('12_Datos_5m'!D416:D$504)=0,0,MAX('12_Datos_5m'!D416:D$504))</f>
        <v>0</v>
      </c>
      <c r="M415" s="151" t="str">
        <f aca="false">IF(ISNUMBER(B415),B415*(1-1/'13_Mapa_Liq'!$B$15+'13_Mapa_Liq'!$B$6),"")</f>
        <v/>
      </c>
      <c r="N415" s="151" t="n">
        <f aca="false">IF(ISNUMBER(B415),IF(K415&gt;M415,I415*'13_Mapa_Liq'!$C$15,0),0)</f>
        <v>0</v>
      </c>
      <c r="O415" s="151" t="str">
        <f aca="false">IF(ISNUMBER(B415),B415*(1+1/'13_Mapa_Liq'!$B$15-'13_Mapa_Liq'!$B$6),"")</f>
        <v/>
      </c>
      <c r="P415" s="151" t="n">
        <f aca="false">IF(ISNUMBER(B415),IF(L415&lt;O415,J415*'13_Mapa_Liq'!$C$15,0),0)</f>
        <v>0</v>
      </c>
      <c r="Q415" s="151" t="str">
        <f aca="false">IF(ISNUMBER(B415),B415*(1-1/'13_Mapa_Liq'!$B$16+'13_Mapa_Liq'!$B$6),"")</f>
        <v/>
      </c>
      <c r="R415" s="151" t="n">
        <f aca="false">IF(ISNUMBER(B415),IF(K415&gt;Q415,I415*'13_Mapa_Liq'!$C$16,0),0)</f>
        <v>0</v>
      </c>
      <c r="S415" s="151" t="str">
        <f aca="false">IF(ISNUMBER(B415),B415*(1+1/'13_Mapa_Liq'!$B$16-'13_Mapa_Liq'!$B$6),"")</f>
        <v/>
      </c>
      <c r="T415" s="151" t="n">
        <f aca="false">IF(ISNUMBER(B415),IF(L415&lt;S415,J415*'13_Mapa_Liq'!$C$16,0),0)</f>
        <v>0</v>
      </c>
      <c r="U415" s="151" t="str">
        <f aca="false">IF(ISNUMBER(B415),B415*(1-1/'13_Mapa_Liq'!$B$17+'13_Mapa_Liq'!$B$6),"")</f>
        <v/>
      </c>
      <c r="V415" s="151" t="n">
        <f aca="false">IF(ISNUMBER(B415),IF(K415&gt;U415,I415*'13_Mapa_Liq'!$C$17,0),0)</f>
        <v>0</v>
      </c>
      <c r="W415" s="151" t="str">
        <f aca="false">IF(ISNUMBER(B415),B415*(1+1/'13_Mapa_Liq'!$B$17-'13_Mapa_Liq'!$B$6),"")</f>
        <v/>
      </c>
      <c r="X415" s="151" t="n">
        <f aca="false">IF(ISNUMBER(B415),IF(L415&lt;W415,J415*'13_Mapa_Liq'!$C$17,0),0)</f>
        <v>0</v>
      </c>
      <c r="Y415" s="151" t="str">
        <f aca="false">IF(ISNUMBER(B415),B415*(1-1/'13_Mapa_Liq'!$B$18+'13_Mapa_Liq'!$B$6),"")</f>
        <v/>
      </c>
      <c r="Z415" s="151" t="n">
        <f aca="false">IF(ISNUMBER(B415),IF(K415&gt;Y415,I415*'13_Mapa_Liq'!$C$18,0),0)</f>
        <v>0</v>
      </c>
      <c r="AA415" s="151" t="str">
        <f aca="false">IF(ISNUMBER(B415),B415*(1+1/'13_Mapa_Liq'!$B$18-'13_Mapa_Liq'!$B$6),"")</f>
        <v/>
      </c>
      <c r="AB415" s="151" t="n">
        <f aca="false">IF(ISNUMBER(B415),IF(L415&lt;AA415,J415*'13_Mapa_Liq'!$C$18,0),0)</f>
        <v>0</v>
      </c>
      <c r="AC415" s="151" t="str">
        <f aca="false">IF(ISNUMBER(B415),B415*(1-1/'13_Mapa_Liq'!$B$19+'13_Mapa_Liq'!$B$6),"")</f>
        <v/>
      </c>
      <c r="AD415" s="151" t="n">
        <f aca="false">IF(ISNUMBER(B415),IF(K415&gt;AC415,I415*'13_Mapa_Liq'!$C$19,0),0)</f>
        <v>0</v>
      </c>
      <c r="AE415" s="151" t="str">
        <f aca="false">IF(ISNUMBER(B415),B415*(1+1/'13_Mapa_Liq'!$B$19-'13_Mapa_Liq'!$B$6),"")</f>
        <v/>
      </c>
      <c r="AF415" s="151" t="n">
        <f aca="false">IF(ISNUMBER(B415),IF(L415&lt;AE415,J415*'13_Mapa_Liq'!$C$19,0),0)</f>
        <v>0</v>
      </c>
      <c r="AG415" s="151"/>
      <c r="AH415" s="151" t="n">
        <f aca="false">IF(ISNUMBER(B415),E415*F415*((K415&lt;=M415)*'13_Mapa_Liq'!$C$15+(K415&lt;=Q415)*'13_Mapa_Liq'!$C$16+(K415&lt;=U415)*'13_Mapa_Liq'!$C$17+(K415&lt;=Y415)*'13_Mapa_Liq'!$C$18+(K415&lt;=AC415)*'13_Mapa_Liq'!$C$19),0)</f>
        <v>0</v>
      </c>
      <c r="AI415" s="151" t="n">
        <f aca="false">IF(ISNUMBER(B415),E415*(1-F415)*((L415&gt;=O415)*'13_Mapa_Liq'!$C$15+(L415&gt;=S415)*'13_Mapa_Liq'!$C$16+(L415&gt;=W415)*'13_Mapa_Liq'!$C$17+(L415&gt;=AA415)*'13_Mapa_Liq'!$C$18+(L415&gt;=AE415)*'13_Mapa_Liq'!$C$19),0)</f>
        <v>0</v>
      </c>
    </row>
    <row r="416" customFormat="false" ht="15" hidden="false" customHeight="false" outlineLevel="0" collapsed="false">
      <c r="A416" s="151" t="str">
        <f aca="false">IF(ISNUMBER('12_Datos_5m'!F416),ROW()-4,"")</f>
        <v/>
      </c>
      <c r="B416" s="151" t="str">
        <f aca="false">IF(ISNUMBER('12_Datos_5m'!F416),'12_Datos_5m'!F416,"")</f>
        <v/>
      </c>
      <c r="C416" s="151" t="str">
        <f aca="false">IF(ISNUMBER('12_Datos_5m'!A416),'12_Datos_5m'!A416,"")</f>
        <v/>
      </c>
      <c r="D416" s="151" t="n">
        <f aca="false">IF(AND(ISNUMBER('12_Datos_5m'!I416),ISNUMBER('12_Datos_5m'!I415)),'12_Datos_5m'!I416-'12_Datos_5m'!I415,0)</f>
        <v>0</v>
      </c>
      <c r="E416" s="151" t="n">
        <f aca="false">MAX(0,D416)</f>
        <v>0</v>
      </c>
      <c r="F416" s="151" t="n">
        <f aca="false">IF(AND(ISNUMBER('12_Datos_5m'!G416),N('12_Datos_5m'!G416)&gt;0),'12_Datos_5m'!H416/'12_Datos_5m'!G416,0.5)</f>
        <v>0.5</v>
      </c>
      <c r="G416" s="151" t="n">
        <f aca="false">IF(ISNUMBER(C416),($C$2-C416)/3600000,0)</f>
        <v>0</v>
      </c>
      <c r="H416" s="151" t="n">
        <f aca="false">EXP(-G416/'13_Mapa_Liq'!$B$7)</f>
        <v>1</v>
      </c>
      <c r="I416" s="151" t="n">
        <f aca="false">E416*F416*H416</f>
        <v>0</v>
      </c>
      <c r="J416" s="151" t="n">
        <f aca="false">E416*(1-F416)*H416</f>
        <v>0</v>
      </c>
      <c r="K416" s="151" t="n">
        <f aca="false">IF(COUNT('12_Datos_5m'!E417:E$504)=0,1000000000000,MIN('12_Datos_5m'!E417:E$504))</f>
        <v>1000000000000</v>
      </c>
      <c r="L416" s="151" t="n">
        <f aca="false">IF(COUNT('12_Datos_5m'!D417:D$504)=0,0,MAX('12_Datos_5m'!D417:D$504))</f>
        <v>0</v>
      </c>
      <c r="M416" s="151" t="str">
        <f aca="false">IF(ISNUMBER(B416),B416*(1-1/'13_Mapa_Liq'!$B$15+'13_Mapa_Liq'!$B$6),"")</f>
        <v/>
      </c>
      <c r="N416" s="151" t="n">
        <f aca="false">IF(ISNUMBER(B416),IF(K416&gt;M416,I416*'13_Mapa_Liq'!$C$15,0),0)</f>
        <v>0</v>
      </c>
      <c r="O416" s="151" t="str">
        <f aca="false">IF(ISNUMBER(B416),B416*(1+1/'13_Mapa_Liq'!$B$15-'13_Mapa_Liq'!$B$6),"")</f>
        <v/>
      </c>
      <c r="P416" s="151" t="n">
        <f aca="false">IF(ISNUMBER(B416),IF(L416&lt;O416,J416*'13_Mapa_Liq'!$C$15,0),0)</f>
        <v>0</v>
      </c>
      <c r="Q416" s="151" t="str">
        <f aca="false">IF(ISNUMBER(B416),B416*(1-1/'13_Mapa_Liq'!$B$16+'13_Mapa_Liq'!$B$6),"")</f>
        <v/>
      </c>
      <c r="R416" s="151" t="n">
        <f aca="false">IF(ISNUMBER(B416),IF(K416&gt;Q416,I416*'13_Mapa_Liq'!$C$16,0),0)</f>
        <v>0</v>
      </c>
      <c r="S416" s="151" t="str">
        <f aca="false">IF(ISNUMBER(B416),B416*(1+1/'13_Mapa_Liq'!$B$16-'13_Mapa_Liq'!$B$6),"")</f>
        <v/>
      </c>
      <c r="T416" s="151" t="n">
        <f aca="false">IF(ISNUMBER(B416),IF(L416&lt;S416,J416*'13_Mapa_Liq'!$C$16,0),0)</f>
        <v>0</v>
      </c>
      <c r="U416" s="151" t="str">
        <f aca="false">IF(ISNUMBER(B416),B416*(1-1/'13_Mapa_Liq'!$B$17+'13_Mapa_Liq'!$B$6),"")</f>
        <v/>
      </c>
      <c r="V416" s="151" t="n">
        <f aca="false">IF(ISNUMBER(B416),IF(K416&gt;U416,I416*'13_Mapa_Liq'!$C$17,0),0)</f>
        <v>0</v>
      </c>
      <c r="W416" s="151" t="str">
        <f aca="false">IF(ISNUMBER(B416),B416*(1+1/'13_Mapa_Liq'!$B$17-'13_Mapa_Liq'!$B$6),"")</f>
        <v/>
      </c>
      <c r="X416" s="151" t="n">
        <f aca="false">IF(ISNUMBER(B416),IF(L416&lt;W416,J416*'13_Mapa_Liq'!$C$17,0),0)</f>
        <v>0</v>
      </c>
      <c r="Y416" s="151" t="str">
        <f aca="false">IF(ISNUMBER(B416),B416*(1-1/'13_Mapa_Liq'!$B$18+'13_Mapa_Liq'!$B$6),"")</f>
        <v/>
      </c>
      <c r="Z416" s="151" t="n">
        <f aca="false">IF(ISNUMBER(B416),IF(K416&gt;Y416,I416*'13_Mapa_Liq'!$C$18,0),0)</f>
        <v>0</v>
      </c>
      <c r="AA416" s="151" t="str">
        <f aca="false">IF(ISNUMBER(B416),B416*(1+1/'13_Mapa_Liq'!$B$18-'13_Mapa_Liq'!$B$6),"")</f>
        <v/>
      </c>
      <c r="AB416" s="151" t="n">
        <f aca="false">IF(ISNUMBER(B416),IF(L416&lt;AA416,J416*'13_Mapa_Liq'!$C$18,0),0)</f>
        <v>0</v>
      </c>
      <c r="AC416" s="151" t="str">
        <f aca="false">IF(ISNUMBER(B416),B416*(1-1/'13_Mapa_Liq'!$B$19+'13_Mapa_Liq'!$B$6),"")</f>
        <v/>
      </c>
      <c r="AD416" s="151" t="n">
        <f aca="false">IF(ISNUMBER(B416),IF(K416&gt;AC416,I416*'13_Mapa_Liq'!$C$19,0),0)</f>
        <v>0</v>
      </c>
      <c r="AE416" s="151" t="str">
        <f aca="false">IF(ISNUMBER(B416),B416*(1+1/'13_Mapa_Liq'!$B$19-'13_Mapa_Liq'!$B$6),"")</f>
        <v/>
      </c>
      <c r="AF416" s="151" t="n">
        <f aca="false">IF(ISNUMBER(B416),IF(L416&lt;AE416,J416*'13_Mapa_Liq'!$C$19,0),0)</f>
        <v>0</v>
      </c>
      <c r="AG416" s="151"/>
      <c r="AH416" s="151" t="n">
        <f aca="false">IF(ISNUMBER(B416),E416*F416*((K416&lt;=M416)*'13_Mapa_Liq'!$C$15+(K416&lt;=Q416)*'13_Mapa_Liq'!$C$16+(K416&lt;=U416)*'13_Mapa_Liq'!$C$17+(K416&lt;=Y416)*'13_Mapa_Liq'!$C$18+(K416&lt;=AC416)*'13_Mapa_Liq'!$C$19),0)</f>
        <v>0</v>
      </c>
      <c r="AI416" s="151" t="n">
        <f aca="false">IF(ISNUMBER(B416),E416*(1-F416)*((L416&gt;=O416)*'13_Mapa_Liq'!$C$15+(L416&gt;=S416)*'13_Mapa_Liq'!$C$16+(L416&gt;=W416)*'13_Mapa_Liq'!$C$17+(L416&gt;=AA416)*'13_Mapa_Liq'!$C$18+(L416&gt;=AE416)*'13_Mapa_Liq'!$C$19),0)</f>
        <v>0</v>
      </c>
    </row>
    <row r="417" customFormat="false" ht="15" hidden="false" customHeight="false" outlineLevel="0" collapsed="false">
      <c r="A417" s="151" t="str">
        <f aca="false">IF(ISNUMBER('12_Datos_5m'!F417),ROW()-4,"")</f>
        <v/>
      </c>
      <c r="B417" s="151" t="str">
        <f aca="false">IF(ISNUMBER('12_Datos_5m'!F417),'12_Datos_5m'!F417,"")</f>
        <v/>
      </c>
      <c r="C417" s="151" t="str">
        <f aca="false">IF(ISNUMBER('12_Datos_5m'!A417),'12_Datos_5m'!A417,"")</f>
        <v/>
      </c>
      <c r="D417" s="151" t="n">
        <f aca="false">IF(AND(ISNUMBER('12_Datos_5m'!I417),ISNUMBER('12_Datos_5m'!I416)),'12_Datos_5m'!I417-'12_Datos_5m'!I416,0)</f>
        <v>0</v>
      </c>
      <c r="E417" s="151" t="n">
        <f aca="false">MAX(0,D417)</f>
        <v>0</v>
      </c>
      <c r="F417" s="151" t="n">
        <f aca="false">IF(AND(ISNUMBER('12_Datos_5m'!G417),N('12_Datos_5m'!G417)&gt;0),'12_Datos_5m'!H417/'12_Datos_5m'!G417,0.5)</f>
        <v>0.5</v>
      </c>
      <c r="G417" s="151" t="n">
        <f aca="false">IF(ISNUMBER(C417),($C$2-C417)/3600000,0)</f>
        <v>0</v>
      </c>
      <c r="H417" s="151" t="n">
        <f aca="false">EXP(-G417/'13_Mapa_Liq'!$B$7)</f>
        <v>1</v>
      </c>
      <c r="I417" s="151" t="n">
        <f aca="false">E417*F417*H417</f>
        <v>0</v>
      </c>
      <c r="J417" s="151" t="n">
        <f aca="false">E417*(1-F417)*H417</f>
        <v>0</v>
      </c>
      <c r="K417" s="151" t="n">
        <f aca="false">IF(COUNT('12_Datos_5m'!E418:E$504)=0,1000000000000,MIN('12_Datos_5m'!E418:E$504))</f>
        <v>1000000000000</v>
      </c>
      <c r="L417" s="151" t="n">
        <f aca="false">IF(COUNT('12_Datos_5m'!D418:D$504)=0,0,MAX('12_Datos_5m'!D418:D$504))</f>
        <v>0</v>
      </c>
      <c r="M417" s="151" t="str">
        <f aca="false">IF(ISNUMBER(B417),B417*(1-1/'13_Mapa_Liq'!$B$15+'13_Mapa_Liq'!$B$6),"")</f>
        <v/>
      </c>
      <c r="N417" s="151" t="n">
        <f aca="false">IF(ISNUMBER(B417),IF(K417&gt;M417,I417*'13_Mapa_Liq'!$C$15,0),0)</f>
        <v>0</v>
      </c>
      <c r="O417" s="151" t="str">
        <f aca="false">IF(ISNUMBER(B417),B417*(1+1/'13_Mapa_Liq'!$B$15-'13_Mapa_Liq'!$B$6),"")</f>
        <v/>
      </c>
      <c r="P417" s="151" t="n">
        <f aca="false">IF(ISNUMBER(B417),IF(L417&lt;O417,J417*'13_Mapa_Liq'!$C$15,0),0)</f>
        <v>0</v>
      </c>
      <c r="Q417" s="151" t="str">
        <f aca="false">IF(ISNUMBER(B417),B417*(1-1/'13_Mapa_Liq'!$B$16+'13_Mapa_Liq'!$B$6),"")</f>
        <v/>
      </c>
      <c r="R417" s="151" t="n">
        <f aca="false">IF(ISNUMBER(B417),IF(K417&gt;Q417,I417*'13_Mapa_Liq'!$C$16,0),0)</f>
        <v>0</v>
      </c>
      <c r="S417" s="151" t="str">
        <f aca="false">IF(ISNUMBER(B417),B417*(1+1/'13_Mapa_Liq'!$B$16-'13_Mapa_Liq'!$B$6),"")</f>
        <v/>
      </c>
      <c r="T417" s="151" t="n">
        <f aca="false">IF(ISNUMBER(B417),IF(L417&lt;S417,J417*'13_Mapa_Liq'!$C$16,0),0)</f>
        <v>0</v>
      </c>
      <c r="U417" s="151" t="str">
        <f aca="false">IF(ISNUMBER(B417),B417*(1-1/'13_Mapa_Liq'!$B$17+'13_Mapa_Liq'!$B$6),"")</f>
        <v/>
      </c>
      <c r="V417" s="151" t="n">
        <f aca="false">IF(ISNUMBER(B417),IF(K417&gt;U417,I417*'13_Mapa_Liq'!$C$17,0),0)</f>
        <v>0</v>
      </c>
      <c r="W417" s="151" t="str">
        <f aca="false">IF(ISNUMBER(B417),B417*(1+1/'13_Mapa_Liq'!$B$17-'13_Mapa_Liq'!$B$6),"")</f>
        <v/>
      </c>
      <c r="X417" s="151" t="n">
        <f aca="false">IF(ISNUMBER(B417),IF(L417&lt;W417,J417*'13_Mapa_Liq'!$C$17,0),0)</f>
        <v>0</v>
      </c>
      <c r="Y417" s="151" t="str">
        <f aca="false">IF(ISNUMBER(B417),B417*(1-1/'13_Mapa_Liq'!$B$18+'13_Mapa_Liq'!$B$6),"")</f>
        <v/>
      </c>
      <c r="Z417" s="151" t="n">
        <f aca="false">IF(ISNUMBER(B417),IF(K417&gt;Y417,I417*'13_Mapa_Liq'!$C$18,0),0)</f>
        <v>0</v>
      </c>
      <c r="AA417" s="151" t="str">
        <f aca="false">IF(ISNUMBER(B417),B417*(1+1/'13_Mapa_Liq'!$B$18-'13_Mapa_Liq'!$B$6),"")</f>
        <v/>
      </c>
      <c r="AB417" s="151" t="n">
        <f aca="false">IF(ISNUMBER(B417),IF(L417&lt;AA417,J417*'13_Mapa_Liq'!$C$18,0),0)</f>
        <v>0</v>
      </c>
      <c r="AC417" s="151" t="str">
        <f aca="false">IF(ISNUMBER(B417),B417*(1-1/'13_Mapa_Liq'!$B$19+'13_Mapa_Liq'!$B$6),"")</f>
        <v/>
      </c>
      <c r="AD417" s="151" t="n">
        <f aca="false">IF(ISNUMBER(B417),IF(K417&gt;AC417,I417*'13_Mapa_Liq'!$C$19,0),0)</f>
        <v>0</v>
      </c>
      <c r="AE417" s="151" t="str">
        <f aca="false">IF(ISNUMBER(B417),B417*(1+1/'13_Mapa_Liq'!$B$19-'13_Mapa_Liq'!$B$6),"")</f>
        <v/>
      </c>
      <c r="AF417" s="151" t="n">
        <f aca="false">IF(ISNUMBER(B417),IF(L417&lt;AE417,J417*'13_Mapa_Liq'!$C$19,0),0)</f>
        <v>0</v>
      </c>
      <c r="AG417" s="151"/>
      <c r="AH417" s="151" t="n">
        <f aca="false">IF(ISNUMBER(B417),E417*F417*((K417&lt;=M417)*'13_Mapa_Liq'!$C$15+(K417&lt;=Q417)*'13_Mapa_Liq'!$C$16+(K417&lt;=U417)*'13_Mapa_Liq'!$C$17+(K417&lt;=Y417)*'13_Mapa_Liq'!$C$18+(K417&lt;=AC417)*'13_Mapa_Liq'!$C$19),0)</f>
        <v>0</v>
      </c>
      <c r="AI417" s="151" t="n">
        <f aca="false">IF(ISNUMBER(B417),E417*(1-F417)*((L417&gt;=O417)*'13_Mapa_Liq'!$C$15+(L417&gt;=S417)*'13_Mapa_Liq'!$C$16+(L417&gt;=W417)*'13_Mapa_Liq'!$C$17+(L417&gt;=AA417)*'13_Mapa_Liq'!$C$18+(L417&gt;=AE417)*'13_Mapa_Liq'!$C$19),0)</f>
        <v>0</v>
      </c>
    </row>
    <row r="418" customFormat="false" ht="15" hidden="false" customHeight="false" outlineLevel="0" collapsed="false">
      <c r="A418" s="151" t="str">
        <f aca="false">IF(ISNUMBER('12_Datos_5m'!F418),ROW()-4,"")</f>
        <v/>
      </c>
      <c r="B418" s="151" t="str">
        <f aca="false">IF(ISNUMBER('12_Datos_5m'!F418),'12_Datos_5m'!F418,"")</f>
        <v/>
      </c>
      <c r="C418" s="151" t="str">
        <f aca="false">IF(ISNUMBER('12_Datos_5m'!A418),'12_Datos_5m'!A418,"")</f>
        <v/>
      </c>
      <c r="D418" s="151" t="n">
        <f aca="false">IF(AND(ISNUMBER('12_Datos_5m'!I418),ISNUMBER('12_Datos_5m'!I417)),'12_Datos_5m'!I418-'12_Datos_5m'!I417,0)</f>
        <v>0</v>
      </c>
      <c r="E418" s="151" t="n">
        <f aca="false">MAX(0,D418)</f>
        <v>0</v>
      </c>
      <c r="F418" s="151" t="n">
        <f aca="false">IF(AND(ISNUMBER('12_Datos_5m'!G418),N('12_Datos_5m'!G418)&gt;0),'12_Datos_5m'!H418/'12_Datos_5m'!G418,0.5)</f>
        <v>0.5</v>
      </c>
      <c r="G418" s="151" t="n">
        <f aca="false">IF(ISNUMBER(C418),($C$2-C418)/3600000,0)</f>
        <v>0</v>
      </c>
      <c r="H418" s="151" t="n">
        <f aca="false">EXP(-G418/'13_Mapa_Liq'!$B$7)</f>
        <v>1</v>
      </c>
      <c r="I418" s="151" t="n">
        <f aca="false">E418*F418*H418</f>
        <v>0</v>
      </c>
      <c r="J418" s="151" t="n">
        <f aca="false">E418*(1-F418)*H418</f>
        <v>0</v>
      </c>
      <c r="K418" s="151" t="n">
        <f aca="false">IF(COUNT('12_Datos_5m'!E419:E$504)=0,1000000000000,MIN('12_Datos_5m'!E419:E$504))</f>
        <v>1000000000000</v>
      </c>
      <c r="L418" s="151" t="n">
        <f aca="false">IF(COUNT('12_Datos_5m'!D419:D$504)=0,0,MAX('12_Datos_5m'!D419:D$504))</f>
        <v>0</v>
      </c>
      <c r="M418" s="151" t="str">
        <f aca="false">IF(ISNUMBER(B418),B418*(1-1/'13_Mapa_Liq'!$B$15+'13_Mapa_Liq'!$B$6),"")</f>
        <v/>
      </c>
      <c r="N418" s="151" t="n">
        <f aca="false">IF(ISNUMBER(B418),IF(K418&gt;M418,I418*'13_Mapa_Liq'!$C$15,0),0)</f>
        <v>0</v>
      </c>
      <c r="O418" s="151" t="str">
        <f aca="false">IF(ISNUMBER(B418),B418*(1+1/'13_Mapa_Liq'!$B$15-'13_Mapa_Liq'!$B$6),"")</f>
        <v/>
      </c>
      <c r="P418" s="151" t="n">
        <f aca="false">IF(ISNUMBER(B418),IF(L418&lt;O418,J418*'13_Mapa_Liq'!$C$15,0),0)</f>
        <v>0</v>
      </c>
      <c r="Q418" s="151" t="str">
        <f aca="false">IF(ISNUMBER(B418),B418*(1-1/'13_Mapa_Liq'!$B$16+'13_Mapa_Liq'!$B$6),"")</f>
        <v/>
      </c>
      <c r="R418" s="151" t="n">
        <f aca="false">IF(ISNUMBER(B418),IF(K418&gt;Q418,I418*'13_Mapa_Liq'!$C$16,0),0)</f>
        <v>0</v>
      </c>
      <c r="S418" s="151" t="str">
        <f aca="false">IF(ISNUMBER(B418),B418*(1+1/'13_Mapa_Liq'!$B$16-'13_Mapa_Liq'!$B$6),"")</f>
        <v/>
      </c>
      <c r="T418" s="151" t="n">
        <f aca="false">IF(ISNUMBER(B418),IF(L418&lt;S418,J418*'13_Mapa_Liq'!$C$16,0),0)</f>
        <v>0</v>
      </c>
      <c r="U418" s="151" t="str">
        <f aca="false">IF(ISNUMBER(B418),B418*(1-1/'13_Mapa_Liq'!$B$17+'13_Mapa_Liq'!$B$6),"")</f>
        <v/>
      </c>
      <c r="V418" s="151" t="n">
        <f aca="false">IF(ISNUMBER(B418),IF(K418&gt;U418,I418*'13_Mapa_Liq'!$C$17,0),0)</f>
        <v>0</v>
      </c>
      <c r="W418" s="151" t="str">
        <f aca="false">IF(ISNUMBER(B418),B418*(1+1/'13_Mapa_Liq'!$B$17-'13_Mapa_Liq'!$B$6),"")</f>
        <v/>
      </c>
      <c r="X418" s="151" t="n">
        <f aca="false">IF(ISNUMBER(B418),IF(L418&lt;W418,J418*'13_Mapa_Liq'!$C$17,0),0)</f>
        <v>0</v>
      </c>
      <c r="Y418" s="151" t="str">
        <f aca="false">IF(ISNUMBER(B418),B418*(1-1/'13_Mapa_Liq'!$B$18+'13_Mapa_Liq'!$B$6),"")</f>
        <v/>
      </c>
      <c r="Z418" s="151" t="n">
        <f aca="false">IF(ISNUMBER(B418),IF(K418&gt;Y418,I418*'13_Mapa_Liq'!$C$18,0),0)</f>
        <v>0</v>
      </c>
      <c r="AA418" s="151" t="str">
        <f aca="false">IF(ISNUMBER(B418),B418*(1+1/'13_Mapa_Liq'!$B$18-'13_Mapa_Liq'!$B$6),"")</f>
        <v/>
      </c>
      <c r="AB418" s="151" t="n">
        <f aca="false">IF(ISNUMBER(B418),IF(L418&lt;AA418,J418*'13_Mapa_Liq'!$C$18,0),0)</f>
        <v>0</v>
      </c>
      <c r="AC418" s="151" t="str">
        <f aca="false">IF(ISNUMBER(B418),B418*(1-1/'13_Mapa_Liq'!$B$19+'13_Mapa_Liq'!$B$6),"")</f>
        <v/>
      </c>
      <c r="AD418" s="151" t="n">
        <f aca="false">IF(ISNUMBER(B418),IF(K418&gt;AC418,I418*'13_Mapa_Liq'!$C$19,0),0)</f>
        <v>0</v>
      </c>
      <c r="AE418" s="151" t="str">
        <f aca="false">IF(ISNUMBER(B418),B418*(1+1/'13_Mapa_Liq'!$B$19-'13_Mapa_Liq'!$B$6),"")</f>
        <v/>
      </c>
      <c r="AF418" s="151" t="n">
        <f aca="false">IF(ISNUMBER(B418),IF(L418&lt;AE418,J418*'13_Mapa_Liq'!$C$19,0),0)</f>
        <v>0</v>
      </c>
      <c r="AG418" s="151"/>
      <c r="AH418" s="151" t="n">
        <f aca="false">IF(ISNUMBER(B418),E418*F418*((K418&lt;=M418)*'13_Mapa_Liq'!$C$15+(K418&lt;=Q418)*'13_Mapa_Liq'!$C$16+(K418&lt;=U418)*'13_Mapa_Liq'!$C$17+(K418&lt;=Y418)*'13_Mapa_Liq'!$C$18+(K418&lt;=AC418)*'13_Mapa_Liq'!$C$19),0)</f>
        <v>0</v>
      </c>
      <c r="AI418" s="151" t="n">
        <f aca="false">IF(ISNUMBER(B418),E418*(1-F418)*((L418&gt;=O418)*'13_Mapa_Liq'!$C$15+(L418&gt;=S418)*'13_Mapa_Liq'!$C$16+(L418&gt;=W418)*'13_Mapa_Liq'!$C$17+(L418&gt;=AA418)*'13_Mapa_Liq'!$C$18+(L418&gt;=AE418)*'13_Mapa_Liq'!$C$19),0)</f>
        <v>0</v>
      </c>
    </row>
    <row r="419" customFormat="false" ht="15" hidden="false" customHeight="false" outlineLevel="0" collapsed="false">
      <c r="A419" s="151" t="str">
        <f aca="false">IF(ISNUMBER('12_Datos_5m'!F419),ROW()-4,"")</f>
        <v/>
      </c>
      <c r="B419" s="151" t="str">
        <f aca="false">IF(ISNUMBER('12_Datos_5m'!F419),'12_Datos_5m'!F419,"")</f>
        <v/>
      </c>
      <c r="C419" s="151" t="str">
        <f aca="false">IF(ISNUMBER('12_Datos_5m'!A419),'12_Datos_5m'!A419,"")</f>
        <v/>
      </c>
      <c r="D419" s="151" t="n">
        <f aca="false">IF(AND(ISNUMBER('12_Datos_5m'!I419),ISNUMBER('12_Datos_5m'!I418)),'12_Datos_5m'!I419-'12_Datos_5m'!I418,0)</f>
        <v>0</v>
      </c>
      <c r="E419" s="151" t="n">
        <f aca="false">MAX(0,D419)</f>
        <v>0</v>
      </c>
      <c r="F419" s="151" t="n">
        <f aca="false">IF(AND(ISNUMBER('12_Datos_5m'!G419),N('12_Datos_5m'!G419)&gt;0),'12_Datos_5m'!H419/'12_Datos_5m'!G419,0.5)</f>
        <v>0.5</v>
      </c>
      <c r="G419" s="151" t="n">
        <f aca="false">IF(ISNUMBER(C419),($C$2-C419)/3600000,0)</f>
        <v>0</v>
      </c>
      <c r="H419" s="151" t="n">
        <f aca="false">EXP(-G419/'13_Mapa_Liq'!$B$7)</f>
        <v>1</v>
      </c>
      <c r="I419" s="151" t="n">
        <f aca="false">E419*F419*H419</f>
        <v>0</v>
      </c>
      <c r="J419" s="151" t="n">
        <f aca="false">E419*(1-F419)*H419</f>
        <v>0</v>
      </c>
      <c r="K419" s="151" t="n">
        <f aca="false">IF(COUNT('12_Datos_5m'!E420:E$504)=0,1000000000000,MIN('12_Datos_5m'!E420:E$504))</f>
        <v>1000000000000</v>
      </c>
      <c r="L419" s="151" t="n">
        <f aca="false">IF(COUNT('12_Datos_5m'!D420:D$504)=0,0,MAX('12_Datos_5m'!D420:D$504))</f>
        <v>0</v>
      </c>
      <c r="M419" s="151" t="str">
        <f aca="false">IF(ISNUMBER(B419),B419*(1-1/'13_Mapa_Liq'!$B$15+'13_Mapa_Liq'!$B$6),"")</f>
        <v/>
      </c>
      <c r="N419" s="151" t="n">
        <f aca="false">IF(ISNUMBER(B419),IF(K419&gt;M419,I419*'13_Mapa_Liq'!$C$15,0),0)</f>
        <v>0</v>
      </c>
      <c r="O419" s="151" t="str">
        <f aca="false">IF(ISNUMBER(B419),B419*(1+1/'13_Mapa_Liq'!$B$15-'13_Mapa_Liq'!$B$6),"")</f>
        <v/>
      </c>
      <c r="P419" s="151" t="n">
        <f aca="false">IF(ISNUMBER(B419),IF(L419&lt;O419,J419*'13_Mapa_Liq'!$C$15,0),0)</f>
        <v>0</v>
      </c>
      <c r="Q419" s="151" t="str">
        <f aca="false">IF(ISNUMBER(B419),B419*(1-1/'13_Mapa_Liq'!$B$16+'13_Mapa_Liq'!$B$6),"")</f>
        <v/>
      </c>
      <c r="R419" s="151" t="n">
        <f aca="false">IF(ISNUMBER(B419),IF(K419&gt;Q419,I419*'13_Mapa_Liq'!$C$16,0),0)</f>
        <v>0</v>
      </c>
      <c r="S419" s="151" t="str">
        <f aca="false">IF(ISNUMBER(B419),B419*(1+1/'13_Mapa_Liq'!$B$16-'13_Mapa_Liq'!$B$6),"")</f>
        <v/>
      </c>
      <c r="T419" s="151" t="n">
        <f aca="false">IF(ISNUMBER(B419),IF(L419&lt;S419,J419*'13_Mapa_Liq'!$C$16,0),0)</f>
        <v>0</v>
      </c>
      <c r="U419" s="151" t="str">
        <f aca="false">IF(ISNUMBER(B419),B419*(1-1/'13_Mapa_Liq'!$B$17+'13_Mapa_Liq'!$B$6),"")</f>
        <v/>
      </c>
      <c r="V419" s="151" t="n">
        <f aca="false">IF(ISNUMBER(B419),IF(K419&gt;U419,I419*'13_Mapa_Liq'!$C$17,0),0)</f>
        <v>0</v>
      </c>
      <c r="W419" s="151" t="str">
        <f aca="false">IF(ISNUMBER(B419),B419*(1+1/'13_Mapa_Liq'!$B$17-'13_Mapa_Liq'!$B$6),"")</f>
        <v/>
      </c>
      <c r="X419" s="151" t="n">
        <f aca="false">IF(ISNUMBER(B419),IF(L419&lt;W419,J419*'13_Mapa_Liq'!$C$17,0),0)</f>
        <v>0</v>
      </c>
      <c r="Y419" s="151" t="str">
        <f aca="false">IF(ISNUMBER(B419),B419*(1-1/'13_Mapa_Liq'!$B$18+'13_Mapa_Liq'!$B$6),"")</f>
        <v/>
      </c>
      <c r="Z419" s="151" t="n">
        <f aca="false">IF(ISNUMBER(B419),IF(K419&gt;Y419,I419*'13_Mapa_Liq'!$C$18,0),0)</f>
        <v>0</v>
      </c>
      <c r="AA419" s="151" t="str">
        <f aca="false">IF(ISNUMBER(B419),B419*(1+1/'13_Mapa_Liq'!$B$18-'13_Mapa_Liq'!$B$6),"")</f>
        <v/>
      </c>
      <c r="AB419" s="151" t="n">
        <f aca="false">IF(ISNUMBER(B419),IF(L419&lt;AA419,J419*'13_Mapa_Liq'!$C$18,0),0)</f>
        <v>0</v>
      </c>
      <c r="AC419" s="151" t="str">
        <f aca="false">IF(ISNUMBER(B419),B419*(1-1/'13_Mapa_Liq'!$B$19+'13_Mapa_Liq'!$B$6),"")</f>
        <v/>
      </c>
      <c r="AD419" s="151" t="n">
        <f aca="false">IF(ISNUMBER(B419),IF(K419&gt;AC419,I419*'13_Mapa_Liq'!$C$19,0),0)</f>
        <v>0</v>
      </c>
      <c r="AE419" s="151" t="str">
        <f aca="false">IF(ISNUMBER(B419),B419*(1+1/'13_Mapa_Liq'!$B$19-'13_Mapa_Liq'!$B$6),"")</f>
        <v/>
      </c>
      <c r="AF419" s="151" t="n">
        <f aca="false">IF(ISNUMBER(B419),IF(L419&lt;AE419,J419*'13_Mapa_Liq'!$C$19,0),0)</f>
        <v>0</v>
      </c>
      <c r="AG419" s="151"/>
      <c r="AH419" s="151" t="n">
        <f aca="false">IF(ISNUMBER(B419),E419*F419*((K419&lt;=M419)*'13_Mapa_Liq'!$C$15+(K419&lt;=Q419)*'13_Mapa_Liq'!$C$16+(K419&lt;=U419)*'13_Mapa_Liq'!$C$17+(K419&lt;=Y419)*'13_Mapa_Liq'!$C$18+(K419&lt;=AC419)*'13_Mapa_Liq'!$C$19),0)</f>
        <v>0</v>
      </c>
      <c r="AI419" s="151" t="n">
        <f aca="false">IF(ISNUMBER(B419),E419*(1-F419)*((L419&gt;=O419)*'13_Mapa_Liq'!$C$15+(L419&gt;=S419)*'13_Mapa_Liq'!$C$16+(L419&gt;=W419)*'13_Mapa_Liq'!$C$17+(L419&gt;=AA419)*'13_Mapa_Liq'!$C$18+(L419&gt;=AE419)*'13_Mapa_Liq'!$C$19),0)</f>
        <v>0</v>
      </c>
    </row>
    <row r="420" customFormat="false" ht="15" hidden="false" customHeight="false" outlineLevel="0" collapsed="false">
      <c r="A420" s="151" t="str">
        <f aca="false">IF(ISNUMBER('12_Datos_5m'!F420),ROW()-4,"")</f>
        <v/>
      </c>
      <c r="B420" s="151" t="str">
        <f aca="false">IF(ISNUMBER('12_Datos_5m'!F420),'12_Datos_5m'!F420,"")</f>
        <v/>
      </c>
      <c r="C420" s="151" t="str">
        <f aca="false">IF(ISNUMBER('12_Datos_5m'!A420),'12_Datos_5m'!A420,"")</f>
        <v/>
      </c>
      <c r="D420" s="151" t="n">
        <f aca="false">IF(AND(ISNUMBER('12_Datos_5m'!I420),ISNUMBER('12_Datos_5m'!I419)),'12_Datos_5m'!I420-'12_Datos_5m'!I419,0)</f>
        <v>0</v>
      </c>
      <c r="E420" s="151" t="n">
        <f aca="false">MAX(0,D420)</f>
        <v>0</v>
      </c>
      <c r="F420" s="151" t="n">
        <f aca="false">IF(AND(ISNUMBER('12_Datos_5m'!G420),N('12_Datos_5m'!G420)&gt;0),'12_Datos_5m'!H420/'12_Datos_5m'!G420,0.5)</f>
        <v>0.5</v>
      </c>
      <c r="G420" s="151" t="n">
        <f aca="false">IF(ISNUMBER(C420),($C$2-C420)/3600000,0)</f>
        <v>0</v>
      </c>
      <c r="H420" s="151" t="n">
        <f aca="false">EXP(-G420/'13_Mapa_Liq'!$B$7)</f>
        <v>1</v>
      </c>
      <c r="I420" s="151" t="n">
        <f aca="false">E420*F420*H420</f>
        <v>0</v>
      </c>
      <c r="J420" s="151" t="n">
        <f aca="false">E420*(1-F420)*H420</f>
        <v>0</v>
      </c>
      <c r="K420" s="151" t="n">
        <f aca="false">IF(COUNT('12_Datos_5m'!E421:E$504)=0,1000000000000,MIN('12_Datos_5m'!E421:E$504))</f>
        <v>1000000000000</v>
      </c>
      <c r="L420" s="151" t="n">
        <f aca="false">IF(COUNT('12_Datos_5m'!D421:D$504)=0,0,MAX('12_Datos_5m'!D421:D$504))</f>
        <v>0</v>
      </c>
      <c r="M420" s="151" t="str">
        <f aca="false">IF(ISNUMBER(B420),B420*(1-1/'13_Mapa_Liq'!$B$15+'13_Mapa_Liq'!$B$6),"")</f>
        <v/>
      </c>
      <c r="N420" s="151" t="n">
        <f aca="false">IF(ISNUMBER(B420),IF(K420&gt;M420,I420*'13_Mapa_Liq'!$C$15,0),0)</f>
        <v>0</v>
      </c>
      <c r="O420" s="151" t="str">
        <f aca="false">IF(ISNUMBER(B420),B420*(1+1/'13_Mapa_Liq'!$B$15-'13_Mapa_Liq'!$B$6),"")</f>
        <v/>
      </c>
      <c r="P420" s="151" t="n">
        <f aca="false">IF(ISNUMBER(B420),IF(L420&lt;O420,J420*'13_Mapa_Liq'!$C$15,0),0)</f>
        <v>0</v>
      </c>
      <c r="Q420" s="151" t="str">
        <f aca="false">IF(ISNUMBER(B420),B420*(1-1/'13_Mapa_Liq'!$B$16+'13_Mapa_Liq'!$B$6),"")</f>
        <v/>
      </c>
      <c r="R420" s="151" t="n">
        <f aca="false">IF(ISNUMBER(B420),IF(K420&gt;Q420,I420*'13_Mapa_Liq'!$C$16,0),0)</f>
        <v>0</v>
      </c>
      <c r="S420" s="151" t="str">
        <f aca="false">IF(ISNUMBER(B420),B420*(1+1/'13_Mapa_Liq'!$B$16-'13_Mapa_Liq'!$B$6),"")</f>
        <v/>
      </c>
      <c r="T420" s="151" t="n">
        <f aca="false">IF(ISNUMBER(B420),IF(L420&lt;S420,J420*'13_Mapa_Liq'!$C$16,0),0)</f>
        <v>0</v>
      </c>
      <c r="U420" s="151" t="str">
        <f aca="false">IF(ISNUMBER(B420),B420*(1-1/'13_Mapa_Liq'!$B$17+'13_Mapa_Liq'!$B$6),"")</f>
        <v/>
      </c>
      <c r="V420" s="151" t="n">
        <f aca="false">IF(ISNUMBER(B420),IF(K420&gt;U420,I420*'13_Mapa_Liq'!$C$17,0),0)</f>
        <v>0</v>
      </c>
      <c r="W420" s="151" t="str">
        <f aca="false">IF(ISNUMBER(B420),B420*(1+1/'13_Mapa_Liq'!$B$17-'13_Mapa_Liq'!$B$6),"")</f>
        <v/>
      </c>
      <c r="X420" s="151" t="n">
        <f aca="false">IF(ISNUMBER(B420),IF(L420&lt;W420,J420*'13_Mapa_Liq'!$C$17,0),0)</f>
        <v>0</v>
      </c>
      <c r="Y420" s="151" t="str">
        <f aca="false">IF(ISNUMBER(B420),B420*(1-1/'13_Mapa_Liq'!$B$18+'13_Mapa_Liq'!$B$6),"")</f>
        <v/>
      </c>
      <c r="Z420" s="151" t="n">
        <f aca="false">IF(ISNUMBER(B420),IF(K420&gt;Y420,I420*'13_Mapa_Liq'!$C$18,0),0)</f>
        <v>0</v>
      </c>
      <c r="AA420" s="151" t="str">
        <f aca="false">IF(ISNUMBER(B420),B420*(1+1/'13_Mapa_Liq'!$B$18-'13_Mapa_Liq'!$B$6),"")</f>
        <v/>
      </c>
      <c r="AB420" s="151" t="n">
        <f aca="false">IF(ISNUMBER(B420),IF(L420&lt;AA420,J420*'13_Mapa_Liq'!$C$18,0),0)</f>
        <v>0</v>
      </c>
      <c r="AC420" s="151" t="str">
        <f aca="false">IF(ISNUMBER(B420),B420*(1-1/'13_Mapa_Liq'!$B$19+'13_Mapa_Liq'!$B$6),"")</f>
        <v/>
      </c>
      <c r="AD420" s="151" t="n">
        <f aca="false">IF(ISNUMBER(B420),IF(K420&gt;AC420,I420*'13_Mapa_Liq'!$C$19,0),0)</f>
        <v>0</v>
      </c>
      <c r="AE420" s="151" t="str">
        <f aca="false">IF(ISNUMBER(B420),B420*(1+1/'13_Mapa_Liq'!$B$19-'13_Mapa_Liq'!$B$6),"")</f>
        <v/>
      </c>
      <c r="AF420" s="151" t="n">
        <f aca="false">IF(ISNUMBER(B420),IF(L420&lt;AE420,J420*'13_Mapa_Liq'!$C$19,0),0)</f>
        <v>0</v>
      </c>
      <c r="AG420" s="151"/>
      <c r="AH420" s="151" t="n">
        <f aca="false">IF(ISNUMBER(B420),E420*F420*((K420&lt;=M420)*'13_Mapa_Liq'!$C$15+(K420&lt;=Q420)*'13_Mapa_Liq'!$C$16+(K420&lt;=U420)*'13_Mapa_Liq'!$C$17+(K420&lt;=Y420)*'13_Mapa_Liq'!$C$18+(K420&lt;=AC420)*'13_Mapa_Liq'!$C$19),0)</f>
        <v>0</v>
      </c>
      <c r="AI420" s="151" t="n">
        <f aca="false">IF(ISNUMBER(B420),E420*(1-F420)*((L420&gt;=O420)*'13_Mapa_Liq'!$C$15+(L420&gt;=S420)*'13_Mapa_Liq'!$C$16+(L420&gt;=W420)*'13_Mapa_Liq'!$C$17+(L420&gt;=AA420)*'13_Mapa_Liq'!$C$18+(L420&gt;=AE420)*'13_Mapa_Liq'!$C$19),0)</f>
        <v>0</v>
      </c>
    </row>
    <row r="421" customFormat="false" ht="15" hidden="false" customHeight="false" outlineLevel="0" collapsed="false">
      <c r="A421" s="151" t="str">
        <f aca="false">IF(ISNUMBER('12_Datos_5m'!F421),ROW()-4,"")</f>
        <v/>
      </c>
      <c r="B421" s="151" t="str">
        <f aca="false">IF(ISNUMBER('12_Datos_5m'!F421),'12_Datos_5m'!F421,"")</f>
        <v/>
      </c>
      <c r="C421" s="151" t="str">
        <f aca="false">IF(ISNUMBER('12_Datos_5m'!A421),'12_Datos_5m'!A421,"")</f>
        <v/>
      </c>
      <c r="D421" s="151" t="n">
        <f aca="false">IF(AND(ISNUMBER('12_Datos_5m'!I421),ISNUMBER('12_Datos_5m'!I420)),'12_Datos_5m'!I421-'12_Datos_5m'!I420,0)</f>
        <v>0</v>
      </c>
      <c r="E421" s="151" t="n">
        <f aca="false">MAX(0,D421)</f>
        <v>0</v>
      </c>
      <c r="F421" s="151" t="n">
        <f aca="false">IF(AND(ISNUMBER('12_Datos_5m'!G421),N('12_Datos_5m'!G421)&gt;0),'12_Datos_5m'!H421/'12_Datos_5m'!G421,0.5)</f>
        <v>0.5</v>
      </c>
      <c r="G421" s="151" t="n">
        <f aca="false">IF(ISNUMBER(C421),($C$2-C421)/3600000,0)</f>
        <v>0</v>
      </c>
      <c r="H421" s="151" t="n">
        <f aca="false">EXP(-G421/'13_Mapa_Liq'!$B$7)</f>
        <v>1</v>
      </c>
      <c r="I421" s="151" t="n">
        <f aca="false">E421*F421*H421</f>
        <v>0</v>
      </c>
      <c r="J421" s="151" t="n">
        <f aca="false">E421*(1-F421)*H421</f>
        <v>0</v>
      </c>
      <c r="K421" s="151" t="n">
        <f aca="false">IF(COUNT('12_Datos_5m'!E422:E$504)=0,1000000000000,MIN('12_Datos_5m'!E422:E$504))</f>
        <v>1000000000000</v>
      </c>
      <c r="L421" s="151" t="n">
        <f aca="false">IF(COUNT('12_Datos_5m'!D422:D$504)=0,0,MAX('12_Datos_5m'!D422:D$504))</f>
        <v>0</v>
      </c>
      <c r="M421" s="151" t="str">
        <f aca="false">IF(ISNUMBER(B421),B421*(1-1/'13_Mapa_Liq'!$B$15+'13_Mapa_Liq'!$B$6),"")</f>
        <v/>
      </c>
      <c r="N421" s="151" t="n">
        <f aca="false">IF(ISNUMBER(B421),IF(K421&gt;M421,I421*'13_Mapa_Liq'!$C$15,0),0)</f>
        <v>0</v>
      </c>
      <c r="O421" s="151" t="str">
        <f aca="false">IF(ISNUMBER(B421),B421*(1+1/'13_Mapa_Liq'!$B$15-'13_Mapa_Liq'!$B$6),"")</f>
        <v/>
      </c>
      <c r="P421" s="151" t="n">
        <f aca="false">IF(ISNUMBER(B421),IF(L421&lt;O421,J421*'13_Mapa_Liq'!$C$15,0),0)</f>
        <v>0</v>
      </c>
      <c r="Q421" s="151" t="str">
        <f aca="false">IF(ISNUMBER(B421),B421*(1-1/'13_Mapa_Liq'!$B$16+'13_Mapa_Liq'!$B$6),"")</f>
        <v/>
      </c>
      <c r="R421" s="151" t="n">
        <f aca="false">IF(ISNUMBER(B421),IF(K421&gt;Q421,I421*'13_Mapa_Liq'!$C$16,0),0)</f>
        <v>0</v>
      </c>
      <c r="S421" s="151" t="str">
        <f aca="false">IF(ISNUMBER(B421),B421*(1+1/'13_Mapa_Liq'!$B$16-'13_Mapa_Liq'!$B$6),"")</f>
        <v/>
      </c>
      <c r="T421" s="151" t="n">
        <f aca="false">IF(ISNUMBER(B421),IF(L421&lt;S421,J421*'13_Mapa_Liq'!$C$16,0),0)</f>
        <v>0</v>
      </c>
      <c r="U421" s="151" t="str">
        <f aca="false">IF(ISNUMBER(B421),B421*(1-1/'13_Mapa_Liq'!$B$17+'13_Mapa_Liq'!$B$6),"")</f>
        <v/>
      </c>
      <c r="V421" s="151" t="n">
        <f aca="false">IF(ISNUMBER(B421),IF(K421&gt;U421,I421*'13_Mapa_Liq'!$C$17,0),0)</f>
        <v>0</v>
      </c>
      <c r="W421" s="151" t="str">
        <f aca="false">IF(ISNUMBER(B421),B421*(1+1/'13_Mapa_Liq'!$B$17-'13_Mapa_Liq'!$B$6),"")</f>
        <v/>
      </c>
      <c r="X421" s="151" t="n">
        <f aca="false">IF(ISNUMBER(B421),IF(L421&lt;W421,J421*'13_Mapa_Liq'!$C$17,0),0)</f>
        <v>0</v>
      </c>
      <c r="Y421" s="151" t="str">
        <f aca="false">IF(ISNUMBER(B421),B421*(1-1/'13_Mapa_Liq'!$B$18+'13_Mapa_Liq'!$B$6),"")</f>
        <v/>
      </c>
      <c r="Z421" s="151" t="n">
        <f aca="false">IF(ISNUMBER(B421),IF(K421&gt;Y421,I421*'13_Mapa_Liq'!$C$18,0),0)</f>
        <v>0</v>
      </c>
      <c r="AA421" s="151" t="str">
        <f aca="false">IF(ISNUMBER(B421),B421*(1+1/'13_Mapa_Liq'!$B$18-'13_Mapa_Liq'!$B$6),"")</f>
        <v/>
      </c>
      <c r="AB421" s="151" t="n">
        <f aca="false">IF(ISNUMBER(B421),IF(L421&lt;AA421,J421*'13_Mapa_Liq'!$C$18,0),0)</f>
        <v>0</v>
      </c>
      <c r="AC421" s="151" t="str">
        <f aca="false">IF(ISNUMBER(B421),B421*(1-1/'13_Mapa_Liq'!$B$19+'13_Mapa_Liq'!$B$6),"")</f>
        <v/>
      </c>
      <c r="AD421" s="151" t="n">
        <f aca="false">IF(ISNUMBER(B421),IF(K421&gt;AC421,I421*'13_Mapa_Liq'!$C$19,0),0)</f>
        <v>0</v>
      </c>
      <c r="AE421" s="151" t="str">
        <f aca="false">IF(ISNUMBER(B421),B421*(1+1/'13_Mapa_Liq'!$B$19-'13_Mapa_Liq'!$B$6),"")</f>
        <v/>
      </c>
      <c r="AF421" s="151" t="n">
        <f aca="false">IF(ISNUMBER(B421),IF(L421&lt;AE421,J421*'13_Mapa_Liq'!$C$19,0),0)</f>
        <v>0</v>
      </c>
      <c r="AG421" s="151"/>
      <c r="AH421" s="151" t="n">
        <f aca="false">IF(ISNUMBER(B421),E421*F421*((K421&lt;=M421)*'13_Mapa_Liq'!$C$15+(K421&lt;=Q421)*'13_Mapa_Liq'!$C$16+(K421&lt;=U421)*'13_Mapa_Liq'!$C$17+(K421&lt;=Y421)*'13_Mapa_Liq'!$C$18+(K421&lt;=AC421)*'13_Mapa_Liq'!$C$19),0)</f>
        <v>0</v>
      </c>
      <c r="AI421" s="151" t="n">
        <f aca="false">IF(ISNUMBER(B421),E421*(1-F421)*((L421&gt;=O421)*'13_Mapa_Liq'!$C$15+(L421&gt;=S421)*'13_Mapa_Liq'!$C$16+(L421&gt;=W421)*'13_Mapa_Liq'!$C$17+(L421&gt;=AA421)*'13_Mapa_Liq'!$C$18+(L421&gt;=AE421)*'13_Mapa_Liq'!$C$19),0)</f>
        <v>0</v>
      </c>
    </row>
    <row r="422" customFormat="false" ht="15" hidden="false" customHeight="false" outlineLevel="0" collapsed="false">
      <c r="A422" s="151" t="str">
        <f aca="false">IF(ISNUMBER('12_Datos_5m'!F422),ROW()-4,"")</f>
        <v/>
      </c>
      <c r="B422" s="151" t="str">
        <f aca="false">IF(ISNUMBER('12_Datos_5m'!F422),'12_Datos_5m'!F422,"")</f>
        <v/>
      </c>
      <c r="C422" s="151" t="str">
        <f aca="false">IF(ISNUMBER('12_Datos_5m'!A422),'12_Datos_5m'!A422,"")</f>
        <v/>
      </c>
      <c r="D422" s="151" t="n">
        <f aca="false">IF(AND(ISNUMBER('12_Datos_5m'!I422),ISNUMBER('12_Datos_5m'!I421)),'12_Datos_5m'!I422-'12_Datos_5m'!I421,0)</f>
        <v>0</v>
      </c>
      <c r="E422" s="151" t="n">
        <f aca="false">MAX(0,D422)</f>
        <v>0</v>
      </c>
      <c r="F422" s="151" t="n">
        <f aca="false">IF(AND(ISNUMBER('12_Datos_5m'!G422),N('12_Datos_5m'!G422)&gt;0),'12_Datos_5m'!H422/'12_Datos_5m'!G422,0.5)</f>
        <v>0.5</v>
      </c>
      <c r="G422" s="151" t="n">
        <f aca="false">IF(ISNUMBER(C422),($C$2-C422)/3600000,0)</f>
        <v>0</v>
      </c>
      <c r="H422" s="151" t="n">
        <f aca="false">EXP(-G422/'13_Mapa_Liq'!$B$7)</f>
        <v>1</v>
      </c>
      <c r="I422" s="151" t="n">
        <f aca="false">E422*F422*H422</f>
        <v>0</v>
      </c>
      <c r="J422" s="151" t="n">
        <f aca="false">E422*(1-F422)*H422</f>
        <v>0</v>
      </c>
      <c r="K422" s="151" t="n">
        <f aca="false">IF(COUNT('12_Datos_5m'!E423:E$504)=0,1000000000000,MIN('12_Datos_5m'!E423:E$504))</f>
        <v>1000000000000</v>
      </c>
      <c r="L422" s="151" t="n">
        <f aca="false">IF(COUNT('12_Datos_5m'!D423:D$504)=0,0,MAX('12_Datos_5m'!D423:D$504))</f>
        <v>0</v>
      </c>
      <c r="M422" s="151" t="str">
        <f aca="false">IF(ISNUMBER(B422),B422*(1-1/'13_Mapa_Liq'!$B$15+'13_Mapa_Liq'!$B$6),"")</f>
        <v/>
      </c>
      <c r="N422" s="151" t="n">
        <f aca="false">IF(ISNUMBER(B422),IF(K422&gt;M422,I422*'13_Mapa_Liq'!$C$15,0),0)</f>
        <v>0</v>
      </c>
      <c r="O422" s="151" t="str">
        <f aca="false">IF(ISNUMBER(B422),B422*(1+1/'13_Mapa_Liq'!$B$15-'13_Mapa_Liq'!$B$6),"")</f>
        <v/>
      </c>
      <c r="P422" s="151" t="n">
        <f aca="false">IF(ISNUMBER(B422),IF(L422&lt;O422,J422*'13_Mapa_Liq'!$C$15,0),0)</f>
        <v>0</v>
      </c>
      <c r="Q422" s="151" t="str">
        <f aca="false">IF(ISNUMBER(B422),B422*(1-1/'13_Mapa_Liq'!$B$16+'13_Mapa_Liq'!$B$6),"")</f>
        <v/>
      </c>
      <c r="R422" s="151" t="n">
        <f aca="false">IF(ISNUMBER(B422),IF(K422&gt;Q422,I422*'13_Mapa_Liq'!$C$16,0),0)</f>
        <v>0</v>
      </c>
      <c r="S422" s="151" t="str">
        <f aca="false">IF(ISNUMBER(B422),B422*(1+1/'13_Mapa_Liq'!$B$16-'13_Mapa_Liq'!$B$6),"")</f>
        <v/>
      </c>
      <c r="T422" s="151" t="n">
        <f aca="false">IF(ISNUMBER(B422),IF(L422&lt;S422,J422*'13_Mapa_Liq'!$C$16,0),0)</f>
        <v>0</v>
      </c>
      <c r="U422" s="151" t="str">
        <f aca="false">IF(ISNUMBER(B422),B422*(1-1/'13_Mapa_Liq'!$B$17+'13_Mapa_Liq'!$B$6),"")</f>
        <v/>
      </c>
      <c r="V422" s="151" t="n">
        <f aca="false">IF(ISNUMBER(B422),IF(K422&gt;U422,I422*'13_Mapa_Liq'!$C$17,0),0)</f>
        <v>0</v>
      </c>
      <c r="W422" s="151" t="str">
        <f aca="false">IF(ISNUMBER(B422),B422*(1+1/'13_Mapa_Liq'!$B$17-'13_Mapa_Liq'!$B$6),"")</f>
        <v/>
      </c>
      <c r="X422" s="151" t="n">
        <f aca="false">IF(ISNUMBER(B422),IF(L422&lt;W422,J422*'13_Mapa_Liq'!$C$17,0),0)</f>
        <v>0</v>
      </c>
      <c r="Y422" s="151" t="str">
        <f aca="false">IF(ISNUMBER(B422),B422*(1-1/'13_Mapa_Liq'!$B$18+'13_Mapa_Liq'!$B$6),"")</f>
        <v/>
      </c>
      <c r="Z422" s="151" t="n">
        <f aca="false">IF(ISNUMBER(B422),IF(K422&gt;Y422,I422*'13_Mapa_Liq'!$C$18,0),0)</f>
        <v>0</v>
      </c>
      <c r="AA422" s="151" t="str">
        <f aca="false">IF(ISNUMBER(B422),B422*(1+1/'13_Mapa_Liq'!$B$18-'13_Mapa_Liq'!$B$6),"")</f>
        <v/>
      </c>
      <c r="AB422" s="151" t="n">
        <f aca="false">IF(ISNUMBER(B422),IF(L422&lt;AA422,J422*'13_Mapa_Liq'!$C$18,0),0)</f>
        <v>0</v>
      </c>
      <c r="AC422" s="151" t="str">
        <f aca="false">IF(ISNUMBER(B422),B422*(1-1/'13_Mapa_Liq'!$B$19+'13_Mapa_Liq'!$B$6),"")</f>
        <v/>
      </c>
      <c r="AD422" s="151" t="n">
        <f aca="false">IF(ISNUMBER(B422),IF(K422&gt;AC422,I422*'13_Mapa_Liq'!$C$19,0),0)</f>
        <v>0</v>
      </c>
      <c r="AE422" s="151" t="str">
        <f aca="false">IF(ISNUMBER(B422),B422*(1+1/'13_Mapa_Liq'!$B$19-'13_Mapa_Liq'!$B$6),"")</f>
        <v/>
      </c>
      <c r="AF422" s="151" t="n">
        <f aca="false">IF(ISNUMBER(B422),IF(L422&lt;AE422,J422*'13_Mapa_Liq'!$C$19,0),0)</f>
        <v>0</v>
      </c>
      <c r="AG422" s="151"/>
      <c r="AH422" s="151" t="n">
        <f aca="false">IF(ISNUMBER(B422),E422*F422*((K422&lt;=M422)*'13_Mapa_Liq'!$C$15+(K422&lt;=Q422)*'13_Mapa_Liq'!$C$16+(K422&lt;=U422)*'13_Mapa_Liq'!$C$17+(K422&lt;=Y422)*'13_Mapa_Liq'!$C$18+(K422&lt;=AC422)*'13_Mapa_Liq'!$C$19),0)</f>
        <v>0</v>
      </c>
      <c r="AI422" s="151" t="n">
        <f aca="false">IF(ISNUMBER(B422),E422*(1-F422)*((L422&gt;=O422)*'13_Mapa_Liq'!$C$15+(L422&gt;=S422)*'13_Mapa_Liq'!$C$16+(L422&gt;=W422)*'13_Mapa_Liq'!$C$17+(L422&gt;=AA422)*'13_Mapa_Liq'!$C$18+(L422&gt;=AE422)*'13_Mapa_Liq'!$C$19),0)</f>
        <v>0</v>
      </c>
    </row>
    <row r="423" customFormat="false" ht="15" hidden="false" customHeight="false" outlineLevel="0" collapsed="false">
      <c r="A423" s="151" t="str">
        <f aca="false">IF(ISNUMBER('12_Datos_5m'!F423),ROW()-4,"")</f>
        <v/>
      </c>
      <c r="B423" s="151" t="str">
        <f aca="false">IF(ISNUMBER('12_Datos_5m'!F423),'12_Datos_5m'!F423,"")</f>
        <v/>
      </c>
      <c r="C423" s="151" t="str">
        <f aca="false">IF(ISNUMBER('12_Datos_5m'!A423),'12_Datos_5m'!A423,"")</f>
        <v/>
      </c>
      <c r="D423" s="151" t="n">
        <f aca="false">IF(AND(ISNUMBER('12_Datos_5m'!I423),ISNUMBER('12_Datos_5m'!I422)),'12_Datos_5m'!I423-'12_Datos_5m'!I422,0)</f>
        <v>0</v>
      </c>
      <c r="E423" s="151" t="n">
        <f aca="false">MAX(0,D423)</f>
        <v>0</v>
      </c>
      <c r="F423" s="151" t="n">
        <f aca="false">IF(AND(ISNUMBER('12_Datos_5m'!G423),N('12_Datos_5m'!G423)&gt;0),'12_Datos_5m'!H423/'12_Datos_5m'!G423,0.5)</f>
        <v>0.5</v>
      </c>
      <c r="G423" s="151" t="n">
        <f aca="false">IF(ISNUMBER(C423),($C$2-C423)/3600000,0)</f>
        <v>0</v>
      </c>
      <c r="H423" s="151" t="n">
        <f aca="false">EXP(-G423/'13_Mapa_Liq'!$B$7)</f>
        <v>1</v>
      </c>
      <c r="I423" s="151" t="n">
        <f aca="false">E423*F423*H423</f>
        <v>0</v>
      </c>
      <c r="J423" s="151" t="n">
        <f aca="false">E423*(1-F423)*H423</f>
        <v>0</v>
      </c>
      <c r="K423" s="151" t="n">
        <f aca="false">IF(COUNT('12_Datos_5m'!E424:E$504)=0,1000000000000,MIN('12_Datos_5m'!E424:E$504))</f>
        <v>1000000000000</v>
      </c>
      <c r="L423" s="151" t="n">
        <f aca="false">IF(COUNT('12_Datos_5m'!D424:D$504)=0,0,MAX('12_Datos_5m'!D424:D$504))</f>
        <v>0</v>
      </c>
      <c r="M423" s="151" t="str">
        <f aca="false">IF(ISNUMBER(B423),B423*(1-1/'13_Mapa_Liq'!$B$15+'13_Mapa_Liq'!$B$6),"")</f>
        <v/>
      </c>
      <c r="N423" s="151" t="n">
        <f aca="false">IF(ISNUMBER(B423),IF(K423&gt;M423,I423*'13_Mapa_Liq'!$C$15,0),0)</f>
        <v>0</v>
      </c>
      <c r="O423" s="151" t="str">
        <f aca="false">IF(ISNUMBER(B423),B423*(1+1/'13_Mapa_Liq'!$B$15-'13_Mapa_Liq'!$B$6),"")</f>
        <v/>
      </c>
      <c r="P423" s="151" t="n">
        <f aca="false">IF(ISNUMBER(B423),IF(L423&lt;O423,J423*'13_Mapa_Liq'!$C$15,0),0)</f>
        <v>0</v>
      </c>
      <c r="Q423" s="151" t="str">
        <f aca="false">IF(ISNUMBER(B423),B423*(1-1/'13_Mapa_Liq'!$B$16+'13_Mapa_Liq'!$B$6),"")</f>
        <v/>
      </c>
      <c r="R423" s="151" t="n">
        <f aca="false">IF(ISNUMBER(B423),IF(K423&gt;Q423,I423*'13_Mapa_Liq'!$C$16,0),0)</f>
        <v>0</v>
      </c>
      <c r="S423" s="151" t="str">
        <f aca="false">IF(ISNUMBER(B423),B423*(1+1/'13_Mapa_Liq'!$B$16-'13_Mapa_Liq'!$B$6),"")</f>
        <v/>
      </c>
      <c r="T423" s="151" t="n">
        <f aca="false">IF(ISNUMBER(B423),IF(L423&lt;S423,J423*'13_Mapa_Liq'!$C$16,0),0)</f>
        <v>0</v>
      </c>
      <c r="U423" s="151" t="str">
        <f aca="false">IF(ISNUMBER(B423),B423*(1-1/'13_Mapa_Liq'!$B$17+'13_Mapa_Liq'!$B$6),"")</f>
        <v/>
      </c>
      <c r="V423" s="151" t="n">
        <f aca="false">IF(ISNUMBER(B423),IF(K423&gt;U423,I423*'13_Mapa_Liq'!$C$17,0),0)</f>
        <v>0</v>
      </c>
      <c r="W423" s="151" t="str">
        <f aca="false">IF(ISNUMBER(B423),B423*(1+1/'13_Mapa_Liq'!$B$17-'13_Mapa_Liq'!$B$6),"")</f>
        <v/>
      </c>
      <c r="X423" s="151" t="n">
        <f aca="false">IF(ISNUMBER(B423),IF(L423&lt;W423,J423*'13_Mapa_Liq'!$C$17,0),0)</f>
        <v>0</v>
      </c>
      <c r="Y423" s="151" t="str">
        <f aca="false">IF(ISNUMBER(B423),B423*(1-1/'13_Mapa_Liq'!$B$18+'13_Mapa_Liq'!$B$6),"")</f>
        <v/>
      </c>
      <c r="Z423" s="151" t="n">
        <f aca="false">IF(ISNUMBER(B423),IF(K423&gt;Y423,I423*'13_Mapa_Liq'!$C$18,0),0)</f>
        <v>0</v>
      </c>
      <c r="AA423" s="151" t="str">
        <f aca="false">IF(ISNUMBER(B423),B423*(1+1/'13_Mapa_Liq'!$B$18-'13_Mapa_Liq'!$B$6),"")</f>
        <v/>
      </c>
      <c r="AB423" s="151" t="n">
        <f aca="false">IF(ISNUMBER(B423),IF(L423&lt;AA423,J423*'13_Mapa_Liq'!$C$18,0),0)</f>
        <v>0</v>
      </c>
      <c r="AC423" s="151" t="str">
        <f aca="false">IF(ISNUMBER(B423),B423*(1-1/'13_Mapa_Liq'!$B$19+'13_Mapa_Liq'!$B$6),"")</f>
        <v/>
      </c>
      <c r="AD423" s="151" t="n">
        <f aca="false">IF(ISNUMBER(B423),IF(K423&gt;AC423,I423*'13_Mapa_Liq'!$C$19,0),0)</f>
        <v>0</v>
      </c>
      <c r="AE423" s="151" t="str">
        <f aca="false">IF(ISNUMBER(B423),B423*(1+1/'13_Mapa_Liq'!$B$19-'13_Mapa_Liq'!$B$6),"")</f>
        <v/>
      </c>
      <c r="AF423" s="151" t="n">
        <f aca="false">IF(ISNUMBER(B423),IF(L423&lt;AE423,J423*'13_Mapa_Liq'!$C$19,0),0)</f>
        <v>0</v>
      </c>
      <c r="AG423" s="151"/>
      <c r="AH423" s="151" t="n">
        <f aca="false">IF(ISNUMBER(B423),E423*F423*((K423&lt;=M423)*'13_Mapa_Liq'!$C$15+(K423&lt;=Q423)*'13_Mapa_Liq'!$C$16+(K423&lt;=U423)*'13_Mapa_Liq'!$C$17+(K423&lt;=Y423)*'13_Mapa_Liq'!$C$18+(K423&lt;=AC423)*'13_Mapa_Liq'!$C$19),0)</f>
        <v>0</v>
      </c>
      <c r="AI423" s="151" t="n">
        <f aca="false">IF(ISNUMBER(B423),E423*(1-F423)*((L423&gt;=O423)*'13_Mapa_Liq'!$C$15+(L423&gt;=S423)*'13_Mapa_Liq'!$C$16+(L423&gt;=W423)*'13_Mapa_Liq'!$C$17+(L423&gt;=AA423)*'13_Mapa_Liq'!$C$18+(L423&gt;=AE423)*'13_Mapa_Liq'!$C$19),0)</f>
        <v>0</v>
      </c>
    </row>
    <row r="424" customFormat="false" ht="15" hidden="false" customHeight="false" outlineLevel="0" collapsed="false">
      <c r="A424" s="151" t="str">
        <f aca="false">IF(ISNUMBER('12_Datos_5m'!F424),ROW()-4,"")</f>
        <v/>
      </c>
      <c r="B424" s="151" t="str">
        <f aca="false">IF(ISNUMBER('12_Datos_5m'!F424),'12_Datos_5m'!F424,"")</f>
        <v/>
      </c>
      <c r="C424" s="151" t="str">
        <f aca="false">IF(ISNUMBER('12_Datos_5m'!A424),'12_Datos_5m'!A424,"")</f>
        <v/>
      </c>
      <c r="D424" s="151" t="n">
        <f aca="false">IF(AND(ISNUMBER('12_Datos_5m'!I424),ISNUMBER('12_Datos_5m'!I423)),'12_Datos_5m'!I424-'12_Datos_5m'!I423,0)</f>
        <v>0</v>
      </c>
      <c r="E424" s="151" t="n">
        <f aca="false">MAX(0,D424)</f>
        <v>0</v>
      </c>
      <c r="F424" s="151" t="n">
        <f aca="false">IF(AND(ISNUMBER('12_Datos_5m'!G424),N('12_Datos_5m'!G424)&gt;0),'12_Datos_5m'!H424/'12_Datos_5m'!G424,0.5)</f>
        <v>0.5</v>
      </c>
      <c r="G424" s="151" t="n">
        <f aca="false">IF(ISNUMBER(C424),($C$2-C424)/3600000,0)</f>
        <v>0</v>
      </c>
      <c r="H424" s="151" t="n">
        <f aca="false">EXP(-G424/'13_Mapa_Liq'!$B$7)</f>
        <v>1</v>
      </c>
      <c r="I424" s="151" t="n">
        <f aca="false">E424*F424*H424</f>
        <v>0</v>
      </c>
      <c r="J424" s="151" t="n">
        <f aca="false">E424*(1-F424)*H424</f>
        <v>0</v>
      </c>
      <c r="K424" s="151" t="n">
        <f aca="false">IF(COUNT('12_Datos_5m'!E425:E$504)=0,1000000000000,MIN('12_Datos_5m'!E425:E$504))</f>
        <v>1000000000000</v>
      </c>
      <c r="L424" s="151" t="n">
        <f aca="false">IF(COUNT('12_Datos_5m'!D425:D$504)=0,0,MAX('12_Datos_5m'!D425:D$504))</f>
        <v>0</v>
      </c>
      <c r="M424" s="151" t="str">
        <f aca="false">IF(ISNUMBER(B424),B424*(1-1/'13_Mapa_Liq'!$B$15+'13_Mapa_Liq'!$B$6),"")</f>
        <v/>
      </c>
      <c r="N424" s="151" t="n">
        <f aca="false">IF(ISNUMBER(B424),IF(K424&gt;M424,I424*'13_Mapa_Liq'!$C$15,0),0)</f>
        <v>0</v>
      </c>
      <c r="O424" s="151" t="str">
        <f aca="false">IF(ISNUMBER(B424),B424*(1+1/'13_Mapa_Liq'!$B$15-'13_Mapa_Liq'!$B$6),"")</f>
        <v/>
      </c>
      <c r="P424" s="151" t="n">
        <f aca="false">IF(ISNUMBER(B424),IF(L424&lt;O424,J424*'13_Mapa_Liq'!$C$15,0),0)</f>
        <v>0</v>
      </c>
      <c r="Q424" s="151" t="str">
        <f aca="false">IF(ISNUMBER(B424),B424*(1-1/'13_Mapa_Liq'!$B$16+'13_Mapa_Liq'!$B$6),"")</f>
        <v/>
      </c>
      <c r="R424" s="151" t="n">
        <f aca="false">IF(ISNUMBER(B424),IF(K424&gt;Q424,I424*'13_Mapa_Liq'!$C$16,0),0)</f>
        <v>0</v>
      </c>
      <c r="S424" s="151" t="str">
        <f aca="false">IF(ISNUMBER(B424),B424*(1+1/'13_Mapa_Liq'!$B$16-'13_Mapa_Liq'!$B$6),"")</f>
        <v/>
      </c>
      <c r="T424" s="151" t="n">
        <f aca="false">IF(ISNUMBER(B424),IF(L424&lt;S424,J424*'13_Mapa_Liq'!$C$16,0),0)</f>
        <v>0</v>
      </c>
      <c r="U424" s="151" t="str">
        <f aca="false">IF(ISNUMBER(B424),B424*(1-1/'13_Mapa_Liq'!$B$17+'13_Mapa_Liq'!$B$6),"")</f>
        <v/>
      </c>
      <c r="V424" s="151" t="n">
        <f aca="false">IF(ISNUMBER(B424),IF(K424&gt;U424,I424*'13_Mapa_Liq'!$C$17,0),0)</f>
        <v>0</v>
      </c>
      <c r="W424" s="151" t="str">
        <f aca="false">IF(ISNUMBER(B424),B424*(1+1/'13_Mapa_Liq'!$B$17-'13_Mapa_Liq'!$B$6),"")</f>
        <v/>
      </c>
      <c r="X424" s="151" t="n">
        <f aca="false">IF(ISNUMBER(B424),IF(L424&lt;W424,J424*'13_Mapa_Liq'!$C$17,0),0)</f>
        <v>0</v>
      </c>
      <c r="Y424" s="151" t="str">
        <f aca="false">IF(ISNUMBER(B424),B424*(1-1/'13_Mapa_Liq'!$B$18+'13_Mapa_Liq'!$B$6),"")</f>
        <v/>
      </c>
      <c r="Z424" s="151" t="n">
        <f aca="false">IF(ISNUMBER(B424),IF(K424&gt;Y424,I424*'13_Mapa_Liq'!$C$18,0),0)</f>
        <v>0</v>
      </c>
      <c r="AA424" s="151" t="str">
        <f aca="false">IF(ISNUMBER(B424),B424*(1+1/'13_Mapa_Liq'!$B$18-'13_Mapa_Liq'!$B$6),"")</f>
        <v/>
      </c>
      <c r="AB424" s="151" t="n">
        <f aca="false">IF(ISNUMBER(B424),IF(L424&lt;AA424,J424*'13_Mapa_Liq'!$C$18,0),0)</f>
        <v>0</v>
      </c>
      <c r="AC424" s="151" t="str">
        <f aca="false">IF(ISNUMBER(B424),B424*(1-1/'13_Mapa_Liq'!$B$19+'13_Mapa_Liq'!$B$6),"")</f>
        <v/>
      </c>
      <c r="AD424" s="151" t="n">
        <f aca="false">IF(ISNUMBER(B424),IF(K424&gt;AC424,I424*'13_Mapa_Liq'!$C$19,0),0)</f>
        <v>0</v>
      </c>
      <c r="AE424" s="151" t="str">
        <f aca="false">IF(ISNUMBER(B424),B424*(1+1/'13_Mapa_Liq'!$B$19-'13_Mapa_Liq'!$B$6),"")</f>
        <v/>
      </c>
      <c r="AF424" s="151" t="n">
        <f aca="false">IF(ISNUMBER(B424),IF(L424&lt;AE424,J424*'13_Mapa_Liq'!$C$19,0),0)</f>
        <v>0</v>
      </c>
      <c r="AG424" s="151"/>
      <c r="AH424" s="151" t="n">
        <f aca="false">IF(ISNUMBER(B424),E424*F424*((K424&lt;=M424)*'13_Mapa_Liq'!$C$15+(K424&lt;=Q424)*'13_Mapa_Liq'!$C$16+(K424&lt;=U424)*'13_Mapa_Liq'!$C$17+(K424&lt;=Y424)*'13_Mapa_Liq'!$C$18+(K424&lt;=AC424)*'13_Mapa_Liq'!$C$19),0)</f>
        <v>0</v>
      </c>
      <c r="AI424" s="151" t="n">
        <f aca="false">IF(ISNUMBER(B424),E424*(1-F424)*((L424&gt;=O424)*'13_Mapa_Liq'!$C$15+(L424&gt;=S424)*'13_Mapa_Liq'!$C$16+(L424&gt;=W424)*'13_Mapa_Liq'!$C$17+(L424&gt;=AA424)*'13_Mapa_Liq'!$C$18+(L424&gt;=AE424)*'13_Mapa_Liq'!$C$19),0)</f>
        <v>0</v>
      </c>
    </row>
    <row r="425" customFormat="false" ht="15" hidden="false" customHeight="false" outlineLevel="0" collapsed="false">
      <c r="A425" s="151" t="str">
        <f aca="false">IF(ISNUMBER('12_Datos_5m'!F425),ROW()-4,"")</f>
        <v/>
      </c>
      <c r="B425" s="151" t="str">
        <f aca="false">IF(ISNUMBER('12_Datos_5m'!F425),'12_Datos_5m'!F425,"")</f>
        <v/>
      </c>
      <c r="C425" s="151" t="str">
        <f aca="false">IF(ISNUMBER('12_Datos_5m'!A425),'12_Datos_5m'!A425,"")</f>
        <v/>
      </c>
      <c r="D425" s="151" t="n">
        <f aca="false">IF(AND(ISNUMBER('12_Datos_5m'!I425),ISNUMBER('12_Datos_5m'!I424)),'12_Datos_5m'!I425-'12_Datos_5m'!I424,0)</f>
        <v>0</v>
      </c>
      <c r="E425" s="151" t="n">
        <f aca="false">MAX(0,D425)</f>
        <v>0</v>
      </c>
      <c r="F425" s="151" t="n">
        <f aca="false">IF(AND(ISNUMBER('12_Datos_5m'!G425),N('12_Datos_5m'!G425)&gt;0),'12_Datos_5m'!H425/'12_Datos_5m'!G425,0.5)</f>
        <v>0.5</v>
      </c>
      <c r="G425" s="151" t="n">
        <f aca="false">IF(ISNUMBER(C425),($C$2-C425)/3600000,0)</f>
        <v>0</v>
      </c>
      <c r="H425" s="151" t="n">
        <f aca="false">EXP(-G425/'13_Mapa_Liq'!$B$7)</f>
        <v>1</v>
      </c>
      <c r="I425" s="151" t="n">
        <f aca="false">E425*F425*H425</f>
        <v>0</v>
      </c>
      <c r="J425" s="151" t="n">
        <f aca="false">E425*(1-F425)*H425</f>
        <v>0</v>
      </c>
      <c r="K425" s="151" t="n">
        <f aca="false">IF(COUNT('12_Datos_5m'!E426:E$504)=0,1000000000000,MIN('12_Datos_5m'!E426:E$504))</f>
        <v>1000000000000</v>
      </c>
      <c r="L425" s="151" t="n">
        <f aca="false">IF(COUNT('12_Datos_5m'!D426:D$504)=0,0,MAX('12_Datos_5m'!D426:D$504))</f>
        <v>0</v>
      </c>
      <c r="M425" s="151" t="str">
        <f aca="false">IF(ISNUMBER(B425),B425*(1-1/'13_Mapa_Liq'!$B$15+'13_Mapa_Liq'!$B$6),"")</f>
        <v/>
      </c>
      <c r="N425" s="151" t="n">
        <f aca="false">IF(ISNUMBER(B425),IF(K425&gt;M425,I425*'13_Mapa_Liq'!$C$15,0),0)</f>
        <v>0</v>
      </c>
      <c r="O425" s="151" t="str">
        <f aca="false">IF(ISNUMBER(B425),B425*(1+1/'13_Mapa_Liq'!$B$15-'13_Mapa_Liq'!$B$6),"")</f>
        <v/>
      </c>
      <c r="P425" s="151" t="n">
        <f aca="false">IF(ISNUMBER(B425),IF(L425&lt;O425,J425*'13_Mapa_Liq'!$C$15,0),0)</f>
        <v>0</v>
      </c>
      <c r="Q425" s="151" t="str">
        <f aca="false">IF(ISNUMBER(B425),B425*(1-1/'13_Mapa_Liq'!$B$16+'13_Mapa_Liq'!$B$6),"")</f>
        <v/>
      </c>
      <c r="R425" s="151" t="n">
        <f aca="false">IF(ISNUMBER(B425),IF(K425&gt;Q425,I425*'13_Mapa_Liq'!$C$16,0),0)</f>
        <v>0</v>
      </c>
      <c r="S425" s="151" t="str">
        <f aca="false">IF(ISNUMBER(B425),B425*(1+1/'13_Mapa_Liq'!$B$16-'13_Mapa_Liq'!$B$6),"")</f>
        <v/>
      </c>
      <c r="T425" s="151" t="n">
        <f aca="false">IF(ISNUMBER(B425),IF(L425&lt;S425,J425*'13_Mapa_Liq'!$C$16,0),0)</f>
        <v>0</v>
      </c>
      <c r="U425" s="151" t="str">
        <f aca="false">IF(ISNUMBER(B425),B425*(1-1/'13_Mapa_Liq'!$B$17+'13_Mapa_Liq'!$B$6),"")</f>
        <v/>
      </c>
      <c r="V425" s="151" t="n">
        <f aca="false">IF(ISNUMBER(B425),IF(K425&gt;U425,I425*'13_Mapa_Liq'!$C$17,0),0)</f>
        <v>0</v>
      </c>
      <c r="W425" s="151" t="str">
        <f aca="false">IF(ISNUMBER(B425),B425*(1+1/'13_Mapa_Liq'!$B$17-'13_Mapa_Liq'!$B$6),"")</f>
        <v/>
      </c>
      <c r="X425" s="151" t="n">
        <f aca="false">IF(ISNUMBER(B425),IF(L425&lt;W425,J425*'13_Mapa_Liq'!$C$17,0),0)</f>
        <v>0</v>
      </c>
      <c r="Y425" s="151" t="str">
        <f aca="false">IF(ISNUMBER(B425),B425*(1-1/'13_Mapa_Liq'!$B$18+'13_Mapa_Liq'!$B$6),"")</f>
        <v/>
      </c>
      <c r="Z425" s="151" t="n">
        <f aca="false">IF(ISNUMBER(B425),IF(K425&gt;Y425,I425*'13_Mapa_Liq'!$C$18,0),0)</f>
        <v>0</v>
      </c>
      <c r="AA425" s="151" t="str">
        <f aca="false">IF(ISNUMBER(B425),B425*(1+1/'13_Mapa_Liq'!$B$18-'13_Mapa_Liq'!$B$6),"")</f>
        <v/>
      </c>
      <c r="AB425" s="151" t="n">
        <f aca="false">IF(ISNUMBER(B425),IF(L425&lt;AA425,J425*'13_Mapa_Liq'!$C$18,0),0)</f>
        <v>0</v>
      </c>
      <c r="AC425" s="151" t="str">
        <f aca="false">IF(ISNUMBER(B425),B425*(1-1/'13_Mapa_Liq'!$B$19+'13_Mapa_Liq'!$B$6),"")</f>
        <v/>
      </c>
      <c r="AD425" s="151" t="n">
        <f aca="false">IF(ISNUMBER(B425),IF(K425&gt;AC425,I425*'13_Mapa_Liq'!$C$19,0),0)</f>
        <v>0</v>
      </c>
      <c r="AE425" s="151" t="str">
        <f aca="false">IF(ISNUMBER(B425),B425*(1+1/'13_Mapa_Liq'!$B$19-'13_Mapa_Liq'!$B$6),"")</f>
        <v/>
      </c>
      <c r="AF425" s="151" t="n">
        <f aca="false">IF(ISNUMBER(B425),IF(L425&lt;AE425,J425*'13_Mapa_Liq'!$C$19,0),0)</f>
        <v>0</v>
      </c>
      <c r="AG425" s="151"/>
      <c r="AH425" s="151" t="n">
        <f aca="false">IF(ISNUMBER(B425),E425*F425*((K425&lt;=M425)*'13_Mapa_Liq'!$C$15+(K425&lt;=Q425)*'13_Mapa_Liq'!$C$16+(K425&lt;=U425)*'13_Mapa_Liq'!$C$17+(K425&lt;=Y425)*'13_Mapa_Liq'!$C$18+(K425&lt;=AC425)*'13_Mapa_Liq'!$C$19),0)</f>
        <v>0</v>
      </c>
      <c r="AI425" s="151" t="n">
        <f aca="false">IF(ISNUMBER(B425),E425*(1-F425)*((L425&gt;=O425)*'13_Mapa_Liq'!$C$15+(L425&gt;=S425)*'13_Mapa_Liq'!$C$16+(L425&gt;=W425)*'13_Mapa_Liq'!$C$17+(L425&gt;=AA425)*'13_Mapa_Liq'!$C$18+(L425&gt;=AE425)*'13_Mapa_Liq'!$C$19),0)</f>
        <v>0</v>
      </c>
    </row>
    <row r="426" customFormat="false" ht="15" hidden="false" customHeight="false" outlineLevel="0" collapsed="false">
      <c r="A426" s="151" t="str">
        <f aca="false">IF(ISNUMBER('12_Datos_5m'!F426),ROW()-4,"")</f>
        <v/>
      </c>
      <c r="B426" s="151" t="str">
        <f aca="false">IF(ISNUMBER('12_Datos_5m'!F426),'12_Datos_5m'!F426,"")</f>
        <v/>
      </c>
      <c r="C426" s="151" t="str">
        <f aca="false">IF(ISNUMBER('12_Datos_5m'!A426),'12_Datos_5m'!A426,"")</f>
        <v/>
      </c>
      <c r="D426" s="151" t="n">
        <f aca="false">IF(AND(ISNUMBER('12_Datos_5m'!I426),ISNUMBER('12_Datos_5m'!I425)),'12_Datos_5m'!I426-'12_Datos_5m'!I425,0)</f>
        <v>0</v>
      </c>
      <c r="E426" s="151" t="n">
        <f aca="false">MAX(0,D426)</f>
        <v>0</v>
      </c>
      <c r="F426" s="151" t="n">
        <f aca="false">IF(AND(ISNUMBER('12_Datos_5m'!G426),N('12_Datos_5m'!G426)&gt;0),'12_Datos_5m'!H426/'12_Datos_5m'!G426,0.5)</f>
        <v>0.5</v>
      </c>
      <c r="G426" s="151" t="n">
        <f aca="false">IF(ISNUMBER(C426),($C$2-C426)/3600000,0)</f>
        <v>0</v>
      </c>
      <c r="H426" s="151" t="n">
        <f aca="false">EXP(-G426/'13_Mapa_Liq'!$B$7)</f>
        <v>1</v>
      </c>
      <c r="I426" s="151" t="n">
        <f aca="false">E426*F426*H426</f>
        <v>0</v>
      </c>
      <c r="J426" s="151" t="n">
        <f aca="false">E426*(1-F426)*H426</f>
        <v>0</v>
      </c>
      <c r="K426" s="151" t="n">
        <f aca="false">IF(COUNT('12_Datos_5m'!E427:E$504)=0,1000000000000,MIN('12_Datos_5m'!E427:E$504))</f>
        <v>1000000000000</v>
      </c>
      <c r="L426" s="151" t="n">
        <f aca="false">IF(COUNT('12_Datos_5m'!D427:D$504)=0,0,MAX('12_Datos_5m'!D427:D$504))</f>
        <v>0</v>
      </c>
      <c r="M426" s="151" t="str">
        <f aca="false">IF(ISNUMBER(B426),B426*(1-1/'13_Mapa_Liq'!$B$15+'13_Mapa_Liq'!$B$6),"")</f>
        <v/>
      </c>
      <c r="N426" s="151" t="n">
        <f aca="false">IF(ISNUMBER(B426),IF(K426&gt;M426,I426*'13_Mapa_Liq'!$C$15,0),0)</f>
        <v>0</v>
      </c>
      <c r="O426" s="151" t="str">
        <f aca="false">IF(ISNUMBER(B426),B426*(1+1/'13_Mapa_Liq'!$B$15-'13_Mapa_Liq'!$B$6),"")</f>
        <v/>
      </c>
      <c r="P426" s="151" t="n">
        <f aca="false">IF(ISNUMBER(B426),IF(L426&lt;O426,J426*'13_Mapa_Liq'!$C$15,0),0)</f>
        <v>0</v>
      </c>
      <c r="Q426" s="151" t="str">
        <f aca="false">IF(ISNUMBER(B426),B426*(1-1/'13_Mapa_Liq'!$B$16+'13_Mapa_Liq'!$B$6),"")</f>
        <v/>
      </c>
      <c r="R426" s="151" t="n">
        <f aca="false">IF(ISNUMBER(B426),IF(K426&gt;Q426,I426*'13_Mapa_Liq'!$C$16,0),0)</f>
        <v>0</v>
      </c>
      <c r="S426" s="151" t="str">
        <f aca="false">IF(ISNUMBER(B426),B426*(1+1/'13_Mapa_Liq'!$B$16-'13_Mapa_Liq'!$B$6),"")</f>
        <v/>
      </c>
      <c r="T426" s="151" t="n">
        <f aca="false">IF(ISNUMBER(B426),IF(L426&lt;S426,J426*'13_Mapa_Liq'!$C$16,0),0)</f>
        <v>0</v>
      </c>
      <c r="U426" s="151" t="str">
        <f aca="false">IF(ISNUMBER(B426),B426*(1-1/'13_Mapa_Liq'!$B$17+'13_Mapa_Liq'!$B$6),"")</f>
        <v/>
      </c>
      <c r="V426" s="151" t="n">
        <f aca="false">IF(ISNUMBER(B426),IF(K426&gt;U426,I426*'13_Mapa_Liq'!$C$17,0),0)</f>
        <v>0</v>
      </c>
      <c r="W426" s="151" t="str">
        <f aca="false">IF(ISNUMBER(B426),B426*(1+1/'13_Mapa_Liq'!$B$17-'13_Mapa_Liq'!$B$6),"")</f>
        <v/>
      </c>
      <c r="X426" s="151" t="n">
        <f aca="false">IF(ISNUMBER(B426),IF(L426&lt;W426,J426*'13_Mapa_Liq'!$C$17,0),0)</f>
        <v>0</v>
      </c>
      <c r="Y426" s="151" t="str">
        <f aca="false">IF(ISNUMBER(B426),B426*(1-1/'13_Mapa_Liq'!$B$18+'13_Mapa_Liq'!$B$6),"")</f>
        <v/>
      </c>
      <c r="Z426" s="151" t="n">
        <f aca="false">IF(ISNUMBER(B426),IF(K426&gt;Y426,I426*'13_Mapa_Liq'!$C$18,0),0)</f>
        <v>0</v>
      </c>
      <c r="AA426" s="151" t="str">
        <f aca="false">IF(ISNUMBER(B426),B426*(1+1/'13_Mapa_Liq'!$B$18-'13_Mapa_Liq'!$B$6),"")</f>
        <v/>
      </c>
      <c r="AB426" s="151" t="n">
        <f aca="false">IF(ISNUMBER(B426),IF(L426&lt;AA426,J426*'13_Mapa_Liq'!$C$18,0),0)</f>
        <v>0</v>
      </c>
      <c r="AC426" s="151" t="str">
        <f aca="false">IF(ISNUMBER(B426),B426*(1-1/'13_Mapa_Liq'!$B$19+'13_Mapa_Liq'!$B$6),"")</f>
        <v/>
      </c>
      <c r="AD426" s="151" t="n">
        <f aca="false">IF(ISNUMBER(B426),IF(K426&gt;AC426,I426*'13_Mapa_Liq'!$C$19,0),0)</f>
        <v>0</v>
      </c>
      <c r="AE426" s="151" t="str">
        <f aca="false">IF(ISNUMBER(B426),B426*(1+1/'13_Mapa_Liq'!$B$19-'13_Mapa_Liq'!$B$6),"")</f>
        <v/>
      </c>
      <c r="AF426" s="151" t="n">
        <f aca="false">IF(ISNUMBER(B426),IF(L426&lt;AE426,J426*'13_Mapa_Liq'!$C$19,0),0)</f>
        <v>0</v>
      </c>
      <c r="AG426" s="151"/>
      <c r="AH426" s="151" t="n">
        <f aca="false">IF(ISNUMBER(B426),E426*F426*((K426&lt;=M426)*'13_Mapa_Liq'!$C$15+(K426&lt;=Q426)*'13_Mapa_Liq'!$C$16+(K426&lt;=U426)*'13_Mapa_Liq'!$C$17+(K426&lt;=Y426)*'13_Mapa_Liq'!$C$18+(K426&lt;=AC426)*'13_Mapa_Liq'!$C$19),0)</f>
        <v>0</v>
      </c>
      <c r="AI426" s="151" t="n">
        <f aca="false">IF(ISNUMBER(B426),E426*(1-F426)*((L426&gt;=O426)*'13_Mapa_Liq'!$C$15+(L426&gt;=S426)*'13_Mapa_Liq'!$C$16+(L426&gt;=W426)*'13_Mapa_Liq'!$C$17+(L426&gt;=AA426)*'13_Mapa_Liq'!$C$18+(L426&gt;=AE426)*'13_Mapa_Liq'!$C$19),0)</f>
        <v>0</v>
      </c>
    </row>
    <row r="427" customFormat="false" ht="15" hidden="false" customHeight="false" outlineLevel="0" collapsed="false">
      <c r="A427" s="151" t="str">
        <f aca="false">IF(ISNUMBER('12_Datos_5m'!F427),ROW()-4,"")</f>
        <v/>
      </c>
      <c r="B427" s="151" t="str">
        <f aca="false">IF(ISNUMBER('12_Datos_5m'!F427),'12_Datos_5m'!F427,"")</f>
        <v/>
      </c>
      <c r="C427" s="151" t="str">
        <f aca="false">IF(ISNUMBER('12_Datos_5m'!A427),'12_Datos_5m'!A427,"")</f>
        <v/>
      </c>
      <c r="D427" s="151" t="n">
        <f aca="false">IF(AND(ISNUMBER('12_Datos_5m'!I427),ISNUMBER('12_Datos_5m'!I426)),'12_Datos_5m'!I427-'12_Datos_5m'!I426,0)</f>
        <v>0</v>
      </c>
      <c r="E427" s="151" t="n">
        <f aca="false">MAX(0,D427)</f>
        <v>0</v>
      </c>
      <c r="F427" s="151" t="n">
        <f aca="false">IF(AND(ISNUMBER('12_Datos_5m'!G427),N('12_Datos_5m'!G427)&gt;0),'12_Datos_5m'!H427/'12_Datos_5m'!G427,0.5)</f>
        <v>0.5</v>
      </c>
      <c r="G427" s="151" t="n">
        <f aca="false">IF(ISNUMBER(C427),($C$2-C427)/3600000,0)</f>
        <v>0</v>
      </c>
      <c r="H427" s="151" t="n">
        <f aca="false">EXP(-G427/'13_Mapa_Liq'!$B$7)</f>
        <v>1</v>
      </c>
      <c r="I427" s="151" t="n">
        <f aca="false">E427*F427*H427</f>
        <v>0</v>
      </c>
      <c r="J427" s="151" t="n">
        <f aca="false">E427*(1-F427)*H427</f>
        <v>0</v>
      </c>
      <c r="K427" s="151" t="n">
        <f aca="false">IF(COUNT('12_Datos_5m'!E428:E$504)=0,1000000000000,MIN('12_Datos_5m'!E428:E$504))</f>
        <v>1000000000000</v>
      </c>
      <c r="L427" s="151" t="n">
        <f aca="false">IF(COUNT('12_Datos_5m'!D428:D$504)=0,0,MAX('12_Datos_5m'!D428:D$504))</f>
        <v>0</v>
      </c>
      <c r="M427" s="151" t="str">
        <f aca="false">IF(ISNUMBER(B427),B427*(1-1/'13_Mapa_Liq'!$B$15+'13_Mapa_Liq'!$B$6),"")</f>
        <v/>
      </c>
      <c r="N427" s="151" t="n">
        <f aca="false">IF(ISNUMBER(B427),IF(K427&gt;M427,I427*'13_Mapa_Liq'!$C$15,0),0)</f>
        <v>0</v>
      </c>
      <c r="O427" s="151" t="str">
        <f aca="false">IF(ISNUMBER(B427),B427*(1+1/'13_Mapa_Liq'!$B$15-'13_Mapa_Liq'!$B$6),"")</f>
        <v/>
      </c>
      <c r="P427" s="151" t="n">
        <f aca="false">IF(ISNUMBER(B427),IF(L427&lt;O427,J427*'13_Mapa_Liq'!$C$15,0),0)</f>
        <v>0</v>
      </c>
      <c r="Q427" s="151" t="str">
        <f aca="false">IF(ISNUMBER(B427),B427*(1-1/'13_Mapa_Liq'!$B$16+'13_Mapa_Liq'!$B$6),"")</f>
        <v/>
      </c>
      <c r="R427" s="151" t="n">
        <f aca="false">IF(ISNUMBER(B427),IF(K427&gt;Q427,I427*'13_Mapa_Liq'!$C$16,0),0)</f>
        <v>0</v>
      </c>
      <c r="S427" s="151" t="str">
        <f aca="false">IF(ISNUMBER(B427),B427*(1+1/'13_Mapa_Liq'!$B$16-'13_Mapa_Liq'!$B$6),"")</f>
        <v/>
      </c>
      <c r="T427" s="151" t="n">
        <f aca="false">IF(ISNUMBER(B427),IF(L427&lt;S427,J427*'13_Mapa_Liq'!$C$16,0),0)</f>
        <v>0</v>
      </c>
      <c r="U427" s="151" t="str">
        <f aca="false">IF(ISNUMBER(B427),B427*(1-1/'13_Mapa_Liq'!$B$17+'13_Mapa_Liq'!$B$6),"")</f>
        <v/>
      </c>
      <c r="V427" s="151" t="n">
        <f aca="false">IF(ISNUMBER(B427),IF(K427&gt;U427,I427*'13_Mapa_Liq'!$C$17,0),0)</f>
        <v>0</v>
      </c>
      <c r="W427" s="151" t="str">
        <f aca="false">IF(ISNUMBER(B427),B427*(1+1/'13_Mapa_Liq'!$B$17-'13_Mapa_Liq'!$B$6),"")</f>
        <v/>
      </c>
      <c r="X427" s="151" t="n">
        <f aca="false">IF(ISNUMBER(B427),IF(L427&lt;W427,J427*'13_Mapa_Liq'!$C$17,0),0)</f>
        <v>0</v>
      </c>
      <c r="Y427" s="151" t="str">
        <f aca="false">IF(ISNUMBER(B427),B427*(1-1/'13_Mapa_Liq'!$B$18+'13_Mapa_Liq'!$B$6),"")</f>
        <v/>
      </c>
      <c r="Z427" s="151" t="n">
        <f aca="false">IF(ISNUMBER(B427),IF(K427&gt;Y427,I427*'13_Mapa_Liq'!$C$18,0),0)</f>
        <v>0</v>
      </c>
      <c r="AA427" s="151" t="str">
        <f aca="false">IF(ISNUMBER(B427),B427*(1+1/'13_Mapa_Liq'!$B$18-'13_Mapa_Liq'!$B$6),"")</f>
        <v/>
      </c>
      <c r="AB427" s="151" t="n">
        <f aca="false">IF(ISNUMBER(B427),IF(L427&lt;AA427,J427*'13_Mapa_Liq'!$C$18,0),0)</f>
        <v>0</v>
      </c>
      <c r="AC427" s="151" t="str">
        <f aca="false">IF(ISNUMBER(B427),B427*(1-1/'13_Mapa_Liq'!$B$19+'13_Mapa_Liq'!$B$6),"")</f>
        <v/>
      </c>
      <c r="AD427" s="151" t="n">
        <f aca="false">IF(ISNUMBER(B427),IF(K427&gt;AC427,I427*'13_Mapa_Liq'!$C$19,0),0)</f>
        <v>0</v>
      </c>
      <c r="AE427" s="151" t="str">
        <f aca="false">IF(ISNUMBER(B427),B427*(1+1/'13_Mapa_Liq'!$B$19-'13_Mapa_Liq'!$B$6),"")</f>
        <v/>
      </c>
      <c r="AF427" s="151" t="n">
        <f aca="false">IF(ISNUMBER(B427),IF(L427&lt;AE427,J427*'13_Mapa_Liq'!$C$19,0),0)</f>
        <v>0</v>
      </c>
      <c r="AG427" s="151"/>
      <c r="AH427" s="151" t="n">
        <f aca="false">IF(ISNUMBER(B427),E427*F427*((K427&lt;=M427)*'13_Mapa_Liq'!$C$15+(K427&lt;=Q427)*'13_Mapa_Liq'!$C$16+(K427&lt;=U427)*'13_Mapa_Liq'!$C$17+(K427&lt;=Y427)*'13_Mapa_Liq'!$C$18+(K427&lt;=AC427)*'13_Mapa_Liq'!$C$19),0)</f>
        <v>0</v>
      </c>
      <c r="AI427" s="151" t="n">
        <f aca="false">IF(ISNUMBER(B427),E427*(1-F427)*((L427&gt;=O427)*'13_Mapa_Liq'!$C$15+(L427&gt;=S427)*'13_Mapa_Liq'!$C$16+(L427&gt;=W427)*'13_Mapa_Liq'!$C$17+(L427&gt;=AA427)*'13_Mapa_Liq'!$C$18+(L427&gt;=AE427)*'13_Mapa_Liq'!$C$19),0)</f>
        <v>0</v>
      </c>
    </row>
    <row r="428" customFormat="false" ht="15" hidden="false" customHeight="false" outlineLevel="0" collapsed="false">
      <c r="A428" s="151" t="str">
        <f aca="false">IF(ISNUMBER('12_Datos_5m'!F428),ROW()-4,"")</f>
        <v/>
      </c>
      <c r="B428" s="151" t="str">
        <f aca="false">IF(ISNUMBER('12_Datos_5m'!F428),'12_Datos_5m'!F428,"")</f>
        <v/>
      </c>
      <c r="C428" s="151" t="str">
        <f aca="false">IF(ISNUMBER('12_Datos_5m'!A428),'12_Datos_5m'!A428,"")</f>
        <v/>
      </c>
      <c r="D428" s="151" t="n">
        <f aca="false">IF(AND(ISNUMBER('12_Datos_5m'!I428),ISNUMBER('12_Datos_5m'!I427)),'12_Datos_5m'!I428-'12_Datos_5m'!I427,0)</f>
        <v>0</v>
      </c>
      <c r="E428" s="151" t="n">
        <f aca="false">MAX(0,D428)</f>
        <v>0</v>
      </c>
      <c r="F428" s="151" t="n">
        <f aca="false">IF(AND(ISNUMBER('12_Datos_5m'!G428),N('12_Datos_5m'!G428)&gt;0),'12_Datos_5m'!H428/'12_Datos_5m'!G428,0.5)</f>
        <v>0.5</v>
      </c>
      <c r="G428" s="151" t="n">
        <f aca="false">IF(ISNUMBER(C428),($C$2-C428)/3600000,0)</f>
        <v>0</v>
      </c>
      <c r="H428" s="151" t="n">
        <f aca="false">EXP(-G428/'13_Mapa_Liq'!$B$7)</f>
        <v>1</v>
      </c>
      <c r="I428" s="151" t="n">
        <f aca="false">E428*F428*H428</f>
        <v>0</v>
      </c>
      <c r="J428" s="151" t="n">
        <f aca="false">E428*(1-F428)*H428</f>
        <v>0</v>
      </c>
      <c r="K428" s="151" t="n">
        <f aca="false">IF(COUNT('12_Datos_5m'!E429:E$504)=0,1000000000000,MIN('12_Datos_5m'!E429:E$504))</f>
        <v>1000000000000</v>
      </c>
      <c r="L428" s="151" t="n">
        <f aca="false">IF(COUNT('12_Datos_5m'!D429:D$504)=0,0,MAX('12_Datos_5m'!D429:D$504))</f>
        <v>0</v>
      </c>
      <c r="M428" s="151" t="str">
        <f aca="false">IF(ISNUMBER(B428),B428*(1-1/'13_Mapa_Liq'!$B$15+'13_Mapa_Liq'!$B$6),"")</f>
        <v/>
      </c>
      <c r="N428" s="151" t="n">
        <f aca="false">IF(ISNUMBER(B428),IF(K428&gt;M428,I428*'13_Mapa_Liq'!$C$15,0),0)</f>
        <v>0</v>
      </c>
      <c r="O428" s="151" t="str">
        <f aca="false">IF(ISNUMBER(B428),B428*(1+1/'13_Mapa_Liq'!$B$15-'13_Mapa_Liq'!$B$6),"")</f>
        <v/>
      </c>
      <c r="P428" s="151" t="n">
        <f aca="false">IF(ISNUMBER(B428),IF(L428&lt;O428,J428*'13_Mapa_Liq'!$C$15,0),0)</f>
        <v>0</v>
      </c>
      <c r="Q428" s="151" t="str">
        <f aca="false">IF(ISNUMBER(B428),B428*(1-1/'13_Mapa_Liq'!$B$16+'13_Mapa_Liq'!$B$6),"")</f>
        <v/>
      </c>
      <c r="R428" s="151" t="n">
        <f aca="false">IF(ISNUMBER(B428),IF(K428&gt;Q428,I428*'13_Mapa_Liq'!$C$16,0),0)</f>
        <v>0</v>
      </c>
      <c r="S428" s="151" t="str">
        <f aca="false">IF(ISNUMBER(B428),B428*(1+1/'13_Mapa_Liq'!$B$16-'13_Mapa_Liq'!$B$6),"")</f>
        <v/>
      </c>
      <c r="T428" s="151" t="n">
        <f aca="false">IF(ISNUMBER(B428),IF(L428&lt;S428,J428*'13_Mapa_Liq'!$C$16,0),0)</f>
        <v>0</v>
      </c>
      <c r="U428" s="151" t="str">
        <f aca="false">IF(ISNUMBER(B428),B428*(1-1/'13_Mapa_Liq'!$B$17+'13_Mapa_Liq'!$B$6),"")</f>
        <v/>
      </c>
      <c r="V428" s="151" t="n">
        <f aca="false">IF(ISNUMBER(B428),IF(K428&gt;U428,I428*'13_Mapa_Liq'!$C$17,0),0)</f>
        <v>0</v>
      </c>
      <c r="W428" s="151" t="str">
        <f aca="false">IF(ISNUMBER(B428),B428*(1+1/'13_Mapa_Liq'!$B$17-'13_Mapa_Liq'!$B$6),"")</f>
        <v/>
      </c>
      <c r="X428" s="151" t="n">
        <f aca="false">IF(ISNUMBER(B428),IF(L428&lt;W428,J428*'13_Mapa_Liq'!$C$17,0),0)</f>
        <v>0</v>
      </c>
      <c r="Y428" s="151" t="str">
        <f aca="false">IF(ISNUMBER(B428),B428*(1-1/'13_Mapa_Liq'!$B$18+'13_Mapa_Liq'!$B$6),"")</f>
        <v/>
      </c>
      <c r="Z428" s="151" t="n">
        <f aca="false">IF(ISNUMBER(B428),IF(K428&gt;Y428,I428*'13_Mapa_Liq'!$C$18,0),0)</f>
        <v>0</v>
      </c>
      <c r="AA428" s="151" t="str">
        <f aca="false">IF(ISNUMBER(B428),B428*(1+1/'13_Mapa_Liq'!$B$18-'13_Mapa_Liq'!$B$6),"")</f>
        <v/>
      </c>
      <c r="AB428" s="151" t="n">
        <f aca="false">IF(ISNUMBER(B428),IF(L428&lt;AA428,J428*'13_Mapa_Liq'!$C$18,0),0)</f>
        <v>0</v>
      </c>
      <c r="AC428" s="151" t="str">
        <f aca="false">IF(ISNUMBER(B428),B428*(1-1/'13_Mapa_Liq'!$B$19+'13_Mapa_Liq'!$B$6),"")</f>
        <v/>
      </c>
      <c r="AD428" s="151" t="n">
        <f aca="false">IF(ISNUMBER(B428),IF(K428&gt;AC428,I428*'13_Mapa_Liq'!$C$19,0),0)</f>
        <v>0</v>
      </c>
      <c r="AE428" s="151" t="str">
        <f aca="false">IF(ISNUMBER(B428),B428*(1+1/'13_Mapa_Liq'!$B$19-'13_Mapa_Liq'!$B$6),"")</f>
        <v/>
      </c>
      <c r="AF428" s="151" t="n">
        <f aca="false">IF(ISNUMBER(B428),IF(L428&lt;AE428,J428*'13_Mapa_Liq'!$C$19,0),0)</f>
        <v>0</v>
      </c>
      <c r="AG428" s="151"/>
      <c r="AH428" s="151" t="n">
        <f aca="false">IF(ISNUMBER(B428),E428*F428*((K428&lt;=M428)*'13_Mapa_Liq'!$C$15+(K428&lt;=Q428)*'13_Mapa_Liq'!$C$16+(K428&lt;=U428)*'13_Mapa_Liq'!$C$17+(K428&lt;=Y428)*'13_Mapa_Liq'!$C$18+(K428&lt;=AC428)*'13_Mapa_Liq'!$C$19),0)</f>
        <v>0</v>
      </c>
      <c r="AI428" s="151" t="n">
        <f aca="false">IF(ISNUMBER(B428),E428*(1-F428)*((L428&gt;=O428)*'13_Mapa_Liq'!$C$15+(L428&gt;=S428)*'13_Mapa_Liq'!$C$16+(L428&gt;=W428)*'13_Mapa_Liq'!$C$17+(L428&gt;=AA428)*'13_Mapa_Liq'!$C$18+(L428&gt;=AE428)*'13_Mapa_Liq'!$C$19),0)</f>
        <v>0</v>
      </c>
    </row>
    <row r="429" customFormat="false" ht="15" hidden="false" customHeight="false" outlineLevel="0" collapsed="false">
      <c r="A429" s="151" t="str">
        <f aca="false">IF(ISNUMBER('12_Datos_5m'!F429),ROW()-4,"")</f>
        <v/>
      </c>
      <c r="B429" s="151" t="str">
        <f aca="false">IF(ISNUMBER('12_Datos_5m'!F429),'12_Datos_5m'!F429,"")</f>
        <v/>
      </c>
      <c r="C429" s="151" t="str">
        <f aca="false">IF(ISNUMBER('12_Datos_5m'!A429),'12_Datos_5m'!A429,"")</f>
        <v/>
      </c>
      <c r="D429" s="151" t="n">
        <f aca="false">IF(AND(ISNUMBER('12_Datos_5m'!I429),ISNUMBER('12_Datos_5m'!I428)),'12_Datos_5m'!I429-'12_Datos_5m'!I428,0)</f>
        <v>0</v>
      </c>
      <c r="E429" s="151" t="n">
        <f aca="false">MAX(0,D429)</f>
        <v>0</v>
      </c>
      <c r="F429" s="151" t="n">
        <f aca="false">IF(AND(ISNUMBER('12_Datos_5m'!G429),N('12_Datos_5m'!G429)&gt;0),'12_Datos_5m'!H429/'12_Datos_5m'!G429,0.5)</f>
        <v>0.5</v>
      </c>
      <c r="G429" s="151" t="n">
        <f aca="false">IF(ISNUMBER(C429),($C$2-C429)/3600000,0)</f>
        <v>0</v>
      </c>
      <c r="H429" s="151" t="n">
        <f aca="false">EXP(-G429/'13_Mapa_Liq'!$B$7)</f>
        <v>1</v>
      </c>
      <c r="I429" s="151" t="n">
        <f aca="false">E429*F429*H429</f>
        <v>0</v>
      </c>
      <c r="J429" s="151" t="n">
        <f aca="false">E429*(1-F429)*H429</f>
        <v>0</v>
      </c>
      <c r="K429" s="151" t="n">
        <f aca="false">IF(COUNT('12_Datos_5m'!E430:E$504)=0,1000000000000,MIN('12_Datos_5m'!E430:E$504))</f>
        <v>1000000000000</v>
      </c>
      <c r="L429" s="151" t="n">
        <f aca="false">IF(COUNT('12_Datos_5m'!D430:D$504)=0,0,MAX('12_Datos_5m'!D430:D$504))</f>
        <v>0</v>
      </c>
      <c r="M429" s="151" t="str">
        <f aca="false">IF(ISNUMBER(B429),B429*(1-1/'13_Mapa_Liq'!$B$15+'13_Mapa_Liq'!$B$6),"")</f>
        <v/>
      </c>
      <c r="N429" s="151" t="n">
        <f aca="false">IF(ISNUMBER(B429),IF(K429&gt;M429,I429*'13_Mapa_Liq'!$C$15,0),0)</f>
        <v>0</v>
      </c>
      <c r="O429" s="151" t="str">
        <f aca="false">IF(ISNUMBER(B429),B429*(1+1/'13_Mapa_Liq'!$B$15-'13_Mapa_Liq'!$B$6),"")</f>
        <v/>
      </c>
      <c r="P429" s="151" t="n">
        <f aca="false">IF(ISNUMBER(B429),IF(L429&lt;O429,J429*'13_Mapa_Liq'!$C$15,0),0)</f>
        <v>0</v>
      </c>
      <c r="Q429" s="151" t="str">
        <f aca="false">IF(ISNUMBER(B429),B429*(1-1/'13_Mapa_Liq'!$B$16+'13_Mapa_Liq'!$B$6),"")</f>
        <v/>
      </c>
      <c r="R429" s="151" t="n">
        <f aca="false">IF(ISNUMBER(B429),IF(K429&gt;Q429,I429*'13_Mapa_Liq'!$C$16,0),0)</f>
        <v>0</v>
      </c>
      <c r="S429" s="151" t="str">
        <f aca="false">IF(ISNUMBER(B429),B429*(1+1/'13_Mapa_Liq'!$B$16-'13_Mapa_Liq'!$B$6),"")</f>
        <v/>
      </c>
      <c r="T429" s="151" t="n">
        <f aca="false">IF(ISNUMBER(B429),IF(L429&lt;S429,J429*'13_Mapa_Liq'!$C$16,0),0)</f>
        <v>0</v>
      </c>
      <c r="U429" s="151" t="str">
        <f aca="false">IF(ISNUMBER(B429),B429*(1-1/'13_Mapa_Liq'!$B$17+'13_Mapa_Liq'!$B$6),"")</f>
        <v/>
      </c>
      <c r="V429" s="151" t="n">
        <f aca="false">IF(ISNUMBER(B429),IF(K429&gt;U429,I429*'13_Mapa_Liq'!$C$17,0),0)</f>
        <v>0</v>
      </c>
      <c r="W429" s="151" t="str">
        <f aca="false">IF(ISNUMBER(B429),B429*(1+1/'13_Mapa_Liq'!$B$17-'13_Mapa_Liq'!$B$6),"")</f>
        <v/>
      </c>
      <c r="X429" s="151" t="n">
        <f aca="false">IF(ISNUMBER(B429),IF(L429&lt;W429,J429*'13_Mapa_Liq'!$C$17,0),0)</f>
        <v>0</v>
      </c>
      <c r="Y429" s="151" t="str">
        <f aca="false">IF(ISNUMBER(B429),B429*(1-1/'13_Mapa_Liq'!$B$18+'13_Mapa_Liq'!$B$6),"")</f>
        <v/>
      </c>
      <c r="Z429" s="151" t="n">
        <f aca="false">IF(ISNUMBER(B429),IF(K429&gt;Y429,I429*'13_Mapa_Liq'!$C$18,0),0)</f>
        <v>0</v>
      </c>
      <c r="AA429" s="151" t="str">
        <f aca="false">IF(ISNUMBER(B429),B429*(1+1/'13_Mapa_Liq'!$B$18-'13_Mapa_Liq'!$B$6),"")</f>
        <v/>
      </c>
      <c r="AB429" s="151" t="n">
        <f aca="false">IF(ISNUMBER(B429),IF(L429&lt;AA429,J429*'13_Mapa_Liq'!$C$18,0),0)</f>
        <v>0</v>
      </c>
      <c r="AC429" s="151" t="str">
        <f aca="false">IF(ISNUMBER(B429),B429*(1-1/'13_Mapa_Liq'!$B$19+'13_Mapa_Liq'!$B$6),"")</f>
        <v/>
      </c>
      <c r="AD429" s="151" t="n">
        <f aca="false">IF(ISNUMBER(B429),IF(K429&gt;AC429,I429*'13_Mapa_Liq'!$C$19,0),0)</f>
        <v>0</v>
      </c>
      <c r="AE429" s="151" t="str">
        <f aca="false">IF(ISNUMBER(B429),B429*(1+1/'13_Mapa_Liq'!$B$19-'13_Mapa_Liq'!$B$6),"")</f>
        <v/>
      </c>
      <c r="AF429" s="151" t="n">
        <f aca="false">IF(ISNUMBER(B429),IF(L429&lt;AE429,J429*'13_Mapa_Liq'!$C$19,0),0)</f>
        <v>0</v>
      </c>
      <c r="AG429" s="151"/>
      <c r="AH429" s="151" t="n">
        <f aca="false">IF(ISNUMBER(B429),E429*F429*((K429&lt;=M429)*'13_Mapa_Liq'!$C$15+(K429&lt;=Q429)*'13_Mapa_Liq'!$C$16+(K429&lt;=U429)*'13_Mapa_Liq'!$C$17+(K429&lt;=Y429)*'13_Mapa_Liq'!$C$18+(K429&lt;=AC429)*'13_Mapa_Liq'!$C$19),0)</f>
        <v>0</v>
      </c>
      <c r="AI429" s="151" t="n">
        <f aca="false">IF(ISNUMBER(B429),E429*(1-F429)*((L429&gt;=O429)*'13_Mapa_Liq'!$C$15+(L429&gt;=S429)*'13_Mapa_Liq'!$C$16+(L429&gt;=W429)*'13_Mapa_Liq'!$C$17+(L429&gt;=AA429)*'13_Mapa_Liq'!$C$18+(L429&gt;=AE429)*'13_Mapa_Liq'!$C$19),0)</f>
        <v>0</v>
      </c>
    </row>
    <row r="430" customFormat="false" ht="15" hidden="false" customHeight="false" outlineLevel="0" collapsed="false">
      <c r="A430" s="151" t="str">
        <f aca="false">IF(ISNUMBER('12_Datos_5m'!F430),ROW()-4,"")</f>
        <v/>
      </c>
      <c r="B430" s="151" t="str">
        <f aca="false">IF(ISNUMBER('12_Datos_5m'!F430),'12_Datos_5m'!F430,"")</f>
        <v/>
      </c>
      <c r="C430" s="151" t="str">
        <f aca="false">IF(ISNUMBER('12_Datos_5m'!A430),'12_Datos_5m'!A430,"")</f>
        <v/>
      </c>
      <c r="D430" s="151" t="n">
        <f aca="false">IF(AND(ISNUMBER('12_Datos_5m'!I430),ISNUMBER('12_Datos_5m'!I429)),'12_Datos_5m'!I430-'12_Datos_5m'!I429,0)</f>
        <v>0</v>
      </c>
      <c r="E430" s="151" t="n">
        <f aca="false">MAX(0,D430)</f>
        <v>0</v>
      </c>
      <c r="F430" s="151" t="n">
        <f aca="false">IF(AND(ISNUMBER('12_Datos_5m'!G430),N('12_Datos_5m'!G430)&gt;0),'12_Datos_5m'!H430/'12_Datos_5m'!G430,0.5)</f>
        <v>0.5</v>
      </c>
      <c r="G430" s="151" t="n">
        <f aca="false">IF(ISNUMBER(C430),($C$2-C430)/3600000,0)</f>
        <v>0</v>
      </c>
      <c r="H430" s="151" t="n">
        <f aca="false">EXP(-G430/'13_Mapa_Liq'!$B$7)</f>
        <v>1</v>
      </c>
      <c r="I430" s="151" t="n">
        <f aca="false">E430*F430*H430</f>
        <v>0</v>
      </c>
      <c r="J430" s="151" t="n">
        <f aca="false">E430*(1-F430)*H430</f>
        <v>0</v>
      </c>
      <c r="K430" s="151" t="n">
        <f aca="false">IF(COUNT('12_Datos_5m'!E431:E$504)=0,1000000000000,MIN('12_Datos_5m'!E431:E$504))</f>
        <v>1000000000000</v>
      </c>
      <c r="L430" s="151" t="n">
        <f aca="false">IF(COUNT('12_Datos_5m'!D431:D$504)=0,0,MAX('12_Datos_5m'!D431:D$504))</f>
        <v>0</v>
      </c>
      <c r="M430" s="151" t="str">
        <f aca="false">IF(ISNUMBER(B430),B430*(1-1/'13_Mapa_Liq'!$B$15+'13_Mapa_Liq'!$B$6),"")</f>
        <v/>
      </c>
      <c r="N430" s="151" t="n">
        <f aca="false">IF(ISNUMBER(B430),IF(K430&gt;M430,I430*'13_Mapa_Liq'!$C$15,0),0)</f>
        <v>0</v>
      </c>
      <c r="O430" s="151" t="str">
        <f aca="false">IF(ISNUMBER(B430),B430*(1+1/'13_Mapa_Liq'!$B$15-'13_Mapa_Liq'!$B$6),"")</f>
        <v/>
      </c>
      <c r="P430" s="151" t="n">
        <f aca="false">IF(ISNUMBER(B430),IF(L430&lt;O430,J430*'13_Mapa_Liq'!$C$15,0),0)</f>
        <v>0</v>
      </c>
      <c r="Q430" s="151" t="str">
        <f aca="false">IF(ISNUMBER(B430),B430*(1-1/'13_Mapa_Liq'!$B$16+'13_Mapa_Liq'!$B$6),"")</f>
        <v/>
      </c>
      <c r="R430" s="151" t="n">
        <f aca="false">IF(ISNUMBER(B430),IF(K430&gt;Q430,I430*'13_Mapa_Liq'!$C$16,0),0)</f>
        <v>0</v>
      </c>
      <c r="S430" s="151" t="str">
        <f aca="false">IF(ISNUMBER(B430),B430*(1+1/'13_Mapa_Liq'!$B$16-'13_Mapa_Liq'!$B$6),"")</f>
        <v/>
      </c>
      <c r="T430" s="151" t="n">
        <f aca="false">IF(ISNUMBER(B430),IF(L430&lt;S430,J430*'13_Mapa_Liq'!$C$16,0),0)</f>
        <v>0</v>
      </c>
      <c r="U430" s="151" t="str">
        <f aca="false">IF(ISNUMBER(B430),B430*(1-1/'13_Mapa_Liq'!$B$17+'13_Mapa_Liq'!$B$6),"")</f>
        <v/>
      </c>
      <c r="V430" s="151" t="n">
        <f aca="false">IF(ISNUMBER(B430),IF(K430&gt;U430,I430*'13_Mapa_Liq'!$C$17,0),0)</f>
        <v>0</v>
      </c>
      <c r="W430" s="151" t="str">
        <f aca="false">IF(ISNUMBER(B430),B430*(1+1/'13_Mapa_Liq'!$B$17-'13_Mapa_Liq'!$B$6),"")</f>
        <v/>
      </c>
      <c r="X430" s="151" t="n">
        <f aca="false">IF(ISNUMBER(B430),IF(L430&lt;W430,J430*'13_Mapa_Liq'!$C$17,0),0)</f>
        <v>0</v>
      </c>
      <c r="Y430" s="151" t="str">
        <f aca="false">IF(ISNUMBER(B430),B430*(1-1/'13_Mapa_Liq'!$B$18+'13_Mapa_Liq'!$B$6),"")</f>
        <v/>
      </c>
      <c r="Z430" s="151" t="n">
        <f aca="false">IF(ISNUMBER(B430),IF(K430&gt;Y430,I430*'13_Mapa_Liq'!$C$18,0),0)</f>
        <v>0</v>
      </c>
      <c r="AA430" s="151" t="str">
        <f aca="false">IF(ISNUMBER(B430),B430*(1+1/'13_Mapa_Liq'!$B$18-'13_Mapa_Liq'!$B$6),"")</f>
        <v/>
      </c>
      <c r="AB430" s="151" t="n">
        <f aca="false">IF(ISNUMBER(B430),IF(L430&lt;AA430,J430*'13_Mapa_Liq'!$C$18,0),0)</f>
        <v>0</v>
      </c>
      <c r="AC430" s="151" t="str">
        <f aca="false">IF(ISNUMBER(B430),B430*(1-1/'13_Mapa_Liq'!$B$19+'13_Mapa_Liq'!$B$6),"")</f>
        <v/>
      </c>
      <c r="AD430" s="151" t="n">
        <f aca="false">IF(ISNUMBER(B430),IF(K430&gt;AC430,I430*'13_Mapa_Liq'!$C$19,0),0)</f>
        <v>0</v>
      </c>
      <c r="AE430" s="151" t="str">
        <f aca="false">IF(ISNUMBER(B430),B430*(1+1/'13_Mapa_Liq'!$B$19-'13_Mapa_Liq'!$B$6),"")</f>
        <v/>
      </c>
      <c r="AF430" s="151" t="n">
        <f aca="false">IF(ISNUMBER(B430),IF(L430&lt;AE430,J430*'13_Mapa_Liq'!$C$19,0),0)</f>
        <v>0</v>
      </c>
      <c r="AG430" s="151"/>
      <c r="AH430" s="151" t="n">
        <f aca="false">IF(ISNUMBER(B430),E430*F430*((K430&lt;=M430)*'13_Mapa_Liq'!$C$15+(K430&lt;=Q430)*'13_Mapa_Liq'!$C$16+(K430&lt;=U430)*'13_Mapa_Liq'!$C$17+(K430&lt;=Y430)*'13_Mapa_Liq'!$C$18+(K430&lt;=AC430)*'13_Mapa_Liq'!$C$19),0)</f>
        <v>0</v>
      </c>
      <c r="AI430" s="151" t="n">
        <f aca="false">IF(ISNUMBER(B430),E430*(1-F430)*((L430&gt;=O430)*'13_Mapa_Liq'!$C$15+(L430&gt;=S430)*'13_Mapa_Liq'!$C$16+(L430&gt;=W430)*'13_Mapa_Liq'!$C$17+(L430&gt;=AA430)*'13_Mapa_Liq'!$C$18+(L430&gt;=AE430)*'13_Mapa_Liq'!$C$19),0)</f>
        <v>0</v>
      </c>
    </row>
    <row r="431" customFormat="false" ht="15" hidden="false" customHeight="false" outlineLevel="0" collapsed="false">
      <c r="A431" s="151" t="str">
        <f aca="false">IF(ISNUMBER('12_Datos_5m'!F431),ROW()-4,"")</f>
        <v/>
      </c>
      <c r="B431" s="151" t="str">
        <f aca="false">IF(ISNUMBER('12_Datos_5m'!F431),'12_Datos_5m'!F431,"")</f>
        <v/>
      </c>
      <c r="C431" s="151" t="str">
        <f aca="false">IF(ISNUMBER('12_Datos_5m'!A431),'12_Datos_5m'!A431,"")</f>
        <v/>
      </c>
      <c r="D431" s="151" t="n">
        <f aca="false">IF(AND(ISNUMBER('12_Datos_5m'!I431),ISNUMBER('12_Datos_5m'!I430)),'12_Datos_5m'!I431-'12_Datos_5m'!I430,0)</f>
        <v>0</v>
      </c>
      <c r="E431" s="151" t="n">
        <f aca="false">MAX(0,D431)</f>
        <v>0</v>
      </c>
      <c r="F431" s="151" t="n">
        <f aca="false">IF(AND(ISNUMBER('12_Datos_5m'!G431),N('12_Datos_5m'!G431)&gt;0),'12_Datos_5m'!H431/'12_Datos_5m'!G431,0.5)</f>
        <v>0.5</v>
      </c>
      <c r="G431" s="151" t="n">
        <f aca="false">IF(ISNUMBER(C431),($C$2-C431)/3600000,0)</f>
        <v>0</v>
      </c>
      <c r="H431" s="151" t="n">
        <f aca="false">EXP(-G431/'13_Mapa_Liq'!$B$7)</f>
        <v>1</v>
      </c>
      <c r="I431" s="151" t="n">
        <f aca="false">E431*F431*H431</f>
        <v>0</v>
      </c>
      <c r="J431" s="151" t="n">
        <f aca="false">E431*(1-F431)*H431</f>
        <v>0</v>
      </c>
      <c r="K431" s="151" t="n">
        <f aca="false">IF(COUNT('12_Datos_5m'!E432:E$504)=0,1000000000000,MIN('12_Datos_5m'!E432:E$504))</f>
        <v>1000000000000</v>
      </c>
      <c r="L431" s="151" t="n">
        <f aca="false">IF(COUNT('12_Datos_5m'!D432:D$504)=0,0,MAX('12_Datos_5m'!D432:D$504))</f>
        <v>0</v>
      </c>
      <c r="M431" s="151" t="str">
        <f aca="false">IF(ISNUMBER(B431),B431*(1-1/'13_Mapa_Liq'!$B$15+'13_Mapa_Liq'!$B$6),"")</f>
        <v/>
      </c>
      <c r="N431" s="151" t="n">
        <f aca="false">IF(ISNUMBER(B431),IF(K431&gt;M431,I431*'13_Mapa_Liq'!$C$15,0),0)</f>
        <v>0</v>
      </c>
      <c r="O431" s="151" t="str">
        <f aca="false">IF(ISNUMBER(B431),B431*(1+1/'13_Mapa_Liq'!$B$15-'13_Mapa_Liq'!$B$6),"")</f>
        <v/>
      </c>
      <c r="P431" s="151" t="n">
        <f aca="false">IF(ISNUMBER(B431),IF(L431&lt;O431,J431*'13_Mapa_Liq'!$C$15,0),0)</f>
        <v>0</v>
      </c>
      <c r="Q431" s="151" t="str">
        <f aca="false">IF(ISNUMBER(B431),B431*(1-1/'13_Mapa_Liq'!$B$16+'13_Mapa_Liq'!$B$6),"")</f>
        <v/>
      </c>
      <c r="R431" s="151" t="n">
        <f aca="false">IF(ISNUMBER(B431),IF(K431&gt;Q431,I431*'13_Mapa_Liq'!$C$16,0),0)</f>
        <v>0</v>
      </c>
      <c r="S431" s="151" t="str">
        <f aca="false">IF(ISNUMBER(B431),B431*(1+1/'13_Mapa_Liq'!$B$16-'13_Mapa_Liq'!$B$6),"")</f>
        <v/>
      </c>
      <c r="T431" s="151" t="n">
        <f aca="false">IF(ISNUMBER(B431),IF(L431&lt;S431,J431*'13_Mapa_Liq'!$C$16,0),0)</f>
        <v>0</v>
      </c>
      <c r="U431" s="151" t="str">
        <f aca="false">IF(ISNUMBER(B431),B431*(1-1/'13_Mapa_Liq'!$B$17+'13_Mapa_Liq'!$B$6),"")</f>
        <v/>
      </c>
      <c r="V431" s="151" t="n">
        <f aca="false">IF(ISNUMBER(B431),IF(K431&gt;U431,I431*'13_Mapa_Liq'!$C$17,0),0)</f>
        <v>0</v>
      </c>
      <c r="W431" s="151" t="str">
        <f aca="false">IF(ISNUMBER(B431),B431*(1+1/'13_Mapa_Liq'!$B$17-'13_Mapa_Liq'!$B$6),"")</f>
        <v/>
      </c>
      <c r="X431" s="151" t="n">
        <f aca="false">IF(ISNUMBER(B431),IF(L431&lt;W431,J431*'13_Mapa_Liq'!$C$17,0),0)</f>
        <v>0</v>
      </c>
      <c r="Y431" s="151" t="str">
        <f aca="false">IF(ISNUMBER(B431),B431*(1-1/'13_Mapa_Liq'!$B$18+'13_Mapa_Liq'!$B$6),"")</f>
        <v/>
      </c>
      <c r="Z431" s="151" t="n">
        <f aca="false">IF(ISNUMBER(B431),IF(K431&gt;Y431,I431*'13_Mapa_Liq'!$C$18,0),0)</f>
        <v>0</v>
      </c>
      <c r="AA431" s="151" t="str">
        <f aca="false">IF(ISNUMBER(B431),B431*(1+1/'13_Mapa_Liq'!$B$18-'13_Mapa_Liq'!$B$6),"")</f>
        <v/>
      </c>
      <c r="AB431" s="151" t="n">
        <f aca="false">IF(ISNUMBER(B431),IF(L431&lt;AA431,J431*'13_Mapa_Liq'!$C$18,0),0)</f>
        <v>0</v>
      </c>
      <c r="AC431" s="151" t="str">
        <f aca="false">IF(ISNUMBER(B431),B431*(1-1/'13_Mapa_Liq'!$B$19+'13_Mapa_Liq'!$B$6),"")</f>
        <v/>
      </c>
      <c r="AD431" s="151" t="n">
        <f aca="false">IF(ISNUMBER(B431),IF(K431&gt;AC431,I431*'13_Mapa_Liq'!$C$19,0),0)</f>
        <v>0</v>
      </c>
      <c r="AE431" s="151" t="str">
        <f aca="false">IF(ISNUMBER(B431),B431*(1+1/'13_Mapa_Liq'!$B$19-'13_Mapa_Liq'!$B$6),"")</f>
        <v/>
      </c>
      <c r="AF431" s="151" t="n">
        <f aca="false">IF(ISNUMBER(B431),IF(L431&lt;AE431,J431*'13_Mapa_Liq'!$C$19,0),0)</f>
        <v>0</v>
      </c>
      <c r="AG431" s="151"/>
      <c r="AH431" s="151" t="n">
        <f aca="false">IF(ISNUMBER(B431),E431*F431*((K431&lt;=M431)*'13_Mapa_Liq'!$C$15+(K431&lt;=Q431)*'13_Mapa_Liq'!$C$16+(K431&lt;=U431)*'13_Mapa_Liq'!$C$17+(K431&lt;=Y431)*'13_Mapa_Liq'!$C$18+(K431&lt;=AC431)*'13_Mapa_Liq'!$C$19),0)</f>
        <v>0</v>
      </c>
      <c r="AI431" s="151" t="n">
        <f aca="false">IF(ISNUMBER(B431),E431*(1-F431)*((L431&gt;=O431)*'13_Mapa_Liq'!$C$15+(L431&gt;=S431)*'13_Mapa_Liq'!$C$16+(L431&gt;=W431)*'13_Mapa_Liq'!$C$17+(L431&gt;=AA431)*'13_Mapa_Liq'!$C$18+(L431&gt;=AE431)*'13_Mapa_Liq'!$C$19),0)</f>
        <v>0</v>
      </c>
    </row>
    <row r="432" customFormat="false" ht="15" hidden="false" customHeight="false" outlineLevel="0" collapsed="false">
      <c r="A432" s="151" t="str">
        <f aca="false">IF(ISNUMBER('12_Datos_5m'!F432),ROW()-4,"")</f>
        <v/>
      </c>
      <c r="B432" s="151" t="str">
        <f aca="false">IF(ISNUMBER('12_Datos_5m'!F432),'12_Datos_5m'!F432,"")</f>
        <v/>
      </c>
      <c r="C432" s="151" t="str">
        <f aca="false">IF(ISNUMBER('12_Datos_5m'!A432),'12_Datos_5m'!A432,"")</f>
        <v/>
      </c>
      <c r="D432" s="151" t="n">
        <f aca="false">IF(AND(ISNUMBER('12_Datos_5m'!I432),ISNUMBER('12_Datos_5m'!I431)),'12_Datos_5m'!I432-'12_Datos_5m'!I431,0)</f>
        <v>0</v>
      </c>
      <c r="E432" s="151" t="n">
        <f aca="false">MAX(0,D432)</f>
        <v>0</v>
      </c>
      <c r="F432" s="151" t="n">
        <f aca="false">IF(AND(ISNUMBER('12_Datos_5m'!G432),N('12_Datos_5m'!G432)&gt;0),'12_Datos_5m'!H432/'12_Datos_5m'!G432,0.5)</f>
        <v>0.5</v>
      </c>
      <c r="G432" s="151" t="n">
        <f aca="false">IF(ISNUMBER(C432),($C$2-C432)/3600000,0)</f>
        <v>0</v>
      </c>
      <c r="H432" s="151" t="n">
        <f aca="false">EXP(-G432/'13_Mapa_Liq'!$B$7)</f>
        <v>1</v>
      </c>
      <c r="I432" s="151" t="n">
        <f aca="false">E432*F432*H432</f>
        <v>0</v>
      </c>
      <c r="J432" s="151" t="n">
        <f aca="false">E432*(1-F432)*H432</f>
        <v>0</v>
      </c>
      <c r="K432" s="151" t="n">
        <f aca="false">IF(COUNT('12_Datos_5m'!E433:E$504)=0,1000000000000,MIN('12_Datos_5m'!E433:E$504))</f>
        <v>1000000000000</v>
      </c>
      <c r="L432" s="151" t="n">
        <f aca="false">IF(COUNT('12_Datos_5m'!D433:D$504)=0,0,MAX('12_Datos_5m'!D433:D$504))</f>
        <v>0</v>
      </c>
      <c r="M432" s="151" t="str">
        <f aca="false">IF(ISNUMBER(B432),B432*(1-1/'13_Mapa_Liq'!$B$15+'13_Mapa_Liq'!$B$6),"")</f>
        <v/>
      </c>
      <c r="N432" s="151" t="n">
        <f aca="false">IF(ISNUMBER(B432),IF(K432&gt;M432,I432*'13_Mapa_Liq'!$C$15,0),0)</f>
        <v>0</v>
      </c>
      <c r="O432" s="151" t="str">
        <f aca="false">IF(ISNUMBER(B432),B432*(1+1/'13_Mapa_Liq'!$B$15-'13_Mapa_Liq'!$B$6),"")</f>
        <v/>
      </c>
      <c r="P432" s="151" t="n">
        <f aca="false">IF(ISNUMBER(B432),IF(L432&lt;O432,J432*'13_Mapa_Liq'!$C$15,0),0)</f>
        <v>0</v>
      </c>
      <c r="Q432" s="151" t="str">
        <f aca="false">IF(ISNUMBER(B432),B432*(1-1/'13_Mapa_Liq'!$B$16+'13_Mapa_Liq'!$B$6),"")</f>
        <v/>
      </c>
      <c r="R432" s="151" t="n">
        <f aca="false">IF(ISNUMBER(B432),IF(K432&gt;Q432,I432*'13_Mapa_Liq'!$C$16,0),0)</f>
        <v>0</v>
      </c>
      <c r="S432" s="151" t="str">
        <f aca="false">IF(ISNUMBER(B432),B432*(1+1/'13_Mapa_Liq'!$B$16-'13_Mapa_Liq'!$B$6),"")</f>
        <v/>
      </c>
      <c r="T432" s="151" t="n">
        <f aca="false">IF(ISNUMBER(B432),IF(L432&lt;S432,J432*'13_Mapa_Liq'!$C$16,0),0)</f>
        <v>0</v>
      </c>
      <c r="U432" s="151" t="str">
        <f aca="false">IF(ISNUMBER(B432),B432*(1-1/'13_Mapa_Liq'!$B$17+'13_Mapa_Liq'!$B$6),"")</f>
        <v/>
      </c>
      <c r="V432" s="151" t="n">
        <f aca="false">IF(ISNUMBER(B432),IF(K432&gt;U432,I432*'13_Mapa_Liq'!$C$17,0),0)</f>
        <v>0</v>
      </c>
      <c r="W432" s="151" t="str">
        <f aca="false">IF(ISNUMBER(B432),B432*(1+1/'13_Mapa_Liq'!$B$17-'13_Mapa_Liq'!$B$6),"")</f>
        <v/>
      </c>
      <c r="X432" s="151" t="n">
        <f aca="false">IF(ISNUMBER(B432),IF(L432&lt;W432,J432*'13_Mapa_Liq'!$C$17,0),0)</f>
        <v>0</v>
      </c>
      <c r="Y432" s="151" t="str">
        <f aca="false">IF(ISNUMBER(B432),B432*(1-1/'13_Mapa_Liq'!$B$18+'13_Mapa_Liq'!$B$6),"")</f>
        <v/>
      </c>
      <c r="Z432" s="151" t="n">
        <f aca="false">IF(ISNUMBER(B432),IF(K432&gt;Y432,I432*'13_Mapa_Liq'!$C$18,0),0)</f>
        <v>0</v>
      </c>
      <c r="AA432" s="151" t="str">
        <f aca="false">IF(ISNUMBER(B432),B432*(1+1/'13_Mapa_Liq'!$B$18-'13_Mapa_Liq'!$B$6),"")</f>
        <v/>
      </c>
      <c r="AB432" s="151" t="n">
        <f aca="false">IF(ISNUMBER(B432),IF(L432&lt;AA432,J432*'13_Mapa_Liq'!$C$18,0),0)</f>
        <v>0</v>
      </c>
      <c r="AC432" s="151" t="str">
        <f aca="false">IF(ISNUMBER(B432),B432*(1-1/'13_Mapa_Liq'!$B$19+'13_Mapa_Liq'!$B$6),"")</f>
        <v/>
      </c>
      <c r="AD432" s="151" t="n">
        <f aca="false">IF(ISNUMBER(B432),IF(K432&gt;AC432,I432*'13_Mapa_Liq'!$C$19,0),0)</f>
        <v>0</v>
      </c>
      <c r="AE432" s="151" t="str">
        <f aca="false">IF(ISNUMBER(B432),B432*(1+1/'13_Mapa_Liq'!$B$19-'13_Mapa_Liq'!$B$6),"")</f>
        <v/>
      </c>
      <c r="AF432" s="151" t="n">
        <f aca="false">IF(ISNUMBER(B432),IF(L432&lt;AE432,J432*'13_Mapa_Liq'!$C$19,0),0)</f>
        <v>0</v>
      </c>
      <c r="AG432" s="151"/>
      <c r="AH432" s="151" t="n">
        <f aca="false">IF(ISNUMBER(B432),E432*F432*((K432&lt;=M432)*'13_Mapa_Liq'!$C$15+(K432&lt;=Q432)*'13_Mapa_Liq'!$C$16+(K432&lt;=U432)*'13_Mapa_Liq'!$C$17+(K432&lt;=Y432)*'13_Mapa_Liq'!$C$18+(K432&lt;=AC432)*'13_Mapa_Liq'!$C$19),0)</f>
        <v>0</v>
      </c>
      <c r="AI432" s="151" t="n">
        <f aca="false">IF(ISNUMBER(B432),E432*(1-F432)*((L432&gt;=O432)*'13_Mapa_Liq'!$C$15+(L432&gt;=S432)*'13_Mapa_Liq'!$C$16+(L432&gt;=W432)*'13_Mapa_Liq'!$C$17+(L432&gt;=AA432)*'13_Mapa_Liq'!$C$18+(L432&gt;=AE432)*'13_Mapa_Liq'!$C$19),0)</f>
        <v>0</v>
      </c>
    </row>
    <row r="433" customFormat="false" ht="15" hidden="false" customHeight="false" outlineLevel="0" collapsed="false">
      <c r="A433" s="151" t="str">
        <f aca="false">IF(ISNUMBER('12_Datos_5m'!F433),ROW()-4,"")</f>
        <v/>
      </c>
      <c r="B433" s="151" t="str">
        <f aca="false">IF(ISNUMBER('12_Datos_5m'!F433),'12_Datos_5m'!F433,"")</f>
        <v/>
      </c>
      <c r="C433" s="151" t="str">
        <f aca="false">IF(ISNUMBER('12_Datos_5m'!A433),'12_Datos_5m'!A433,"")</f>
        <v/>
      </c>
      <c r="D433" s="151" t="n">
        <f aca="false">IF(AND(ISNUMBER('12_Datos_5m'!I433),ISNUMBER('12_Datos_5m'!I432)),'12_Datos_5m'!I433-'12_Datos_5m'!I432,0)</f>
        <v>0</v>
      </c>
      <c r="E433" s="151" t="n">
        <f aca="false">MAX(0,D433)</f>
        <v>0</v>
      </c>
      <c r="F433" s="151" t="n">
        <f aca="false">IF(AND(ISNUMBER('12_Datos_5m'!G433),N('12_Datos_5m'!G433)&gt;0),'12_Datos_5m'!H433/'12_Datos_5m'!G433,0.5)</f>
        <v>0.5</v>
      </c>
      <c r="G433" s="151" t="n">
        <f aca="false">IF(ISNUMBER(C433),($C$2-C433)/3600000,0)</f>
        <v>0</v>
      </c>
      <c r="H433" s="151" t="n">
        <f aca="false">EXP(-G433/'13_Mapa_Liq'!$B$7)</f>
        <v>1</v>
      </c>
      <c r="I433" s="151" t="n">
        <f aca="false">E433*F433*H433</f>
        <v>0</v>
      </c>
      <c r="J433" s="151" t="n">
        <f aca="false">E433*(1-F433)*H433</f>
        <v>0</v>
      </c>
      <c r="K433" s="151" t="n">
        <f aca="false">IF(COUNT('12_Datos_5m'!E434:E$504)=0,1000000000000,MIN('12_Datos_5m'!E434:E$504))</f>
        <v>1000000000000</v>
      </c>
      <c r="L433" s="151" t="n">
        <f aca="false">IF(COUNT('12_Datos_5m'!D434:D$504)=0,0,MAX('12_Datos_5m'!D434:D$504))</f>
        <v>0</v>
      </c>
      <c r="M433" s="151" t="str">
        <f aca="false">IF(ISNUMBER(B433),B433*(1-1/'13_Mapa_Liq'!$B$15+'13_Mapa_Liq'!$B$6),"")</f>
        <v/>
      </c>
      <c r="N433" s="151" t="n">
        <f aca="false">IF(ISNUMBER(B433),IF(K433&gt;M433,I433*'13_Mapa_Liq'!$C$15,0),0)</f>
        <v>0</v>
      </c>
      <c r="O433" s="151" t="str">
        <f aca="false">IF(ISNUMBER(B433),B433*(1+1/'13_Mapa_Liq'!$B$15-'13_Mapa_Liq'!$B$6),"")</f>
        <v/>
      </c>
      <c r="P433" s="151" t="n">
        <f aca="false">IF(ISNUMBER(B433),IF(L433&lt;O433,J433*'13_Mapa_Liq'!$C$15,0),0)</f>
        <v>0</v>
      </c>
      <c r="Q433" s="151" t="str">
        <f aca="false">IF(ISNUMBER(B433),B433*(1-1/'13_Mapa_Liq'!$B$16+'13_Mapa_Liq'!$B$6),"")</f>
        <v/>
      </c>
      <c r="R433" s="151" t="n">
        <f aca="false">IF(ISNUMBER(B433),IF(K433&gt;Q433,I433*'13_Mapa_Liq'!$C$16,0),0)</f>
        <v>0</v>
      </c>
      <c r="S433" s="151" t="str">
        <f aca="false">IF(ISNUMBER(B433),B433*(1+1/'13_Mapa_Liq'!$B$16-'13_Mapa_Liq'!$B$6),"")</f>
        <v/>
      </c>
      <c r="T433" s="151" t="n">
        <f aca="false">IF(ISNUMBER(B433),IF(L433&lt;S433,J433*'13_Mapa_Liq'!$C$16,0),0)</f>
        <v>0</v>
      </c>
      <c r="U433" s="151" t="str">
        <f aca="false">IF(ISNUMBER(B433),B433*(1-1/'13_Mapa_Liq'!$B$17+'13_Mapa_Liq'!$B$6),"")</f>
        <v/>
      </c>
      <c r="V433" s="151" t="n">
        <f aca="false">IF(ISNUMBER(B433),IF(K433&gt;U433,I433*'13_Mapa_Liq'!$C$17,0),0)</f>
        <v>0</v>
      </c>
      <c r="W433" s="151" t="str">
        <f aca="false">IF(ISNUMBER(B433),B433*(1+1/'13_Mapa_Liq'!$B$17-'13_Mapa_Liq'!$B$6),"")</f>
        <v/>
      </c>
      <c r="X433" s="151" t="n">
        <f aca="false">IF(ISNUMBER(B433),IF(L433&lt;W433,J433*'13_Mapa_Liq'!$C$17,0),0)</f>
        <v>0</v>
      </c>
      <c r="Y433" s="151" t="str">
        <f aca="false">IF(ISNUMBER(B433),B433*(1-1/'13_Mapa_Liq'!$B$18+'13_Mapa_Liq'!$B$6),"")</f>
        <v/>
      </c>
      <c r="Z433" s="151" t="n">
        <f aca="false">IF(ISNUMBER(B433),IF(K433&gt;Y433,I433*'13_Mapa_Liq'!$C$18,0),0)</f>
        <v>0</v>
      </c>
      <c r="AA433" s="151" t="str">
        <f aca="false">IF(ISNUMBER(B433),B433*(1+1/'13_Mapa_Liq'!$B$18-'13_Mapa_Liq'!$B$6),"")</f>
        <v/>
      </c>
      <c r="AB433" s="151" t="n">
        <f aca="false">IF(ISNUMBER(B433),IF(L433&lt;AA433,J433*'13_Mapa_Liq'!$C$18,0),0)</f>
        <v>0</v>
      </c>
      <c r="AC433" s="151" t="str">
        <f aca="false">IF(ISNUMBER(B433),B433*(1-1/'13_Mapa_Liq'!$B$19+'13_Mapa_Liq'!$B$6),"")</f>
        <v/>
      </c>
      <c r="AD433" s="151" t="n">
        <f aca="false">IF(ISNUMBER(B433),IF(K433&gt;AC433,I433*'13_Mapa_Liq'!$C$19,0),0)</f>
        <v>0</v>
      </c>
      <c r="AE433" s="151" t="str">
        <f aca="false">IF(ISNUMBER(B433),B433*(1+1/'13_Mapa_Liq'!$B$19-'13_Mapa_Liq'!$B$6),"")</f>
        <v/>
      </c>
      <c r="AF433" s="151" t="n">
        <f aca="false">IF(ISNUMBER(B433),IF(L433&lt;AE433,J433*'13_Mapa_Liq'!$C$19,0),0)</f>
        <v>0</v>
      </c>
      <c r="AG433" s="151"/>
      <c r="AH433" s="151" t="n">
        <f aca="false">IF(ISNUMBER(B433),E433*F433*((K433&lt;=M433)*'13_Mapa_Liq'!$C$15+(K433&lt;=Q433)*'13_Mapa_Liq'!$C$16+(K433&lt;=U433)*'13_Mapa_Liq'!$C$17+(K433&lt;=Y433)*'13_Mapa_Liq'!$C$18+(K433&lt;=AC433)*'13_Mapa_Liq'!$C$19),0)</f>
        <v>0</v>
      </c>
      <c r="AI433" s="151" t="n">
        <f aca="false">IF(ISNUMBER(B433),E433*(1-F433)*((L433&gt;=O433)*'13_Mapa_Liq'!$C$15+(L433&gt;=S433)*'13_Mapa_Liq'!$C$16+(L433&gt;=W433)*'13_Mapa_Liq'!$C$17+(L433&gt;=AA433)*'13_Mapa_Liq'!$C$18+(L433&gt;=AE433)*'13_Mapa_Liq'!$C$19),0)</f>
        <v>0</v>
      </c>
    </row>
    <row r="434" customFormat="false" ht="15" hidden="false" customHeight="false" outlineLevel="0" collapsed="false">
      <c r="A434" s="151" t="str">
        <f aca="false">IF(ISNUMBER('12_Datos_5m'!F434),ROW()-4,"")</f>
        <v/>
      </c>
      <c r="B434" s="151" t="str">
        <f aca="false">IF(ISNUMBER('12_Datos_5m'!F434),'12_Datos_5m'!F434,"")</f>
        <v/>
      </c>
      <c r="C434" s="151" t="str">
        <f aca="false">IF(ISNUMBER('12_Datos_5m'!A434),'12_Datos_5m'!A434,"")</f>
        <v/>
      </c>
      <c r="D434" s="151" t="n">
        <f aca="false">IF(AND(ISNUMBER('12_Datos_5m'!I434),ISNUMBER('12_Datos_5m'!I433)),'12_Datos_5m'!I434-'12_Datos_5m'!I433,0)</f>
        <v>0</v>
      </c>
      <c r="E434" s="151" t="n">
        <f aca="false">MAX(0,D434)</f>
        <v>0</v>
      </c>
      <c r="F434" s="151" t="n">
        <f aca="false">IF(AND(ISNUMBER('12_Datos_5m'!G434),N('12_Datos_5m'!G434)&gt;0),'12_Datos_5m'!H434/'12_Datos_5m'!G434,0.5)</f>
        <v>0.5</v>
      </c>
      <c r="G434" s="151" t="n">
        <f aca="false">IF(ISNUMBER(C434),($C$2-C434)/3600000,0)</f>
        <v>0</v>
      </c>
      <c r="H434" s="151" t="n">
        <f aca="false">EXP(-G434/'13_Mapa_Liq'!$B$7)</f>
        <v>1</v>
      </c>
      <c r="I434" s="151" t="n">
        <f aca="false">E434*F434*H434</f>
        <v>0</v>
      </c>
      <c r="J434" s="151" t="n">
        <f aca="false">E434*(1-F434)*H434</f>
        <v>0</v>
      </c>
      <c r="K434" s="151" t="n">
        <f aca="false">IF(COUNT('12_Datos_5m'!E435:E$504)=0,1000000000000,MIN('12_Datos_5m'!E435:E$504))</f>
        <v>1000000000000</v>
      </c>
      <c r="L434" s="151" t="n">
        <f aca="false">IF(COUNT('12_Datos_5m'!D435:D$504)=0,0,MAX('12_Datos_5m'!D435:D$504))</f>
        <v>0</v>
      </c>
      <c r="M434" s="151" t="str">
        <f aca="false">IF(ISNUMBER(B434),B434*(1-1/'13_Mapa_Liq'!$B$15+'13_Mapa_Liq'!$B$6),"")</f>
        <v/>
      </c>
      <c r="N434" s="151" t="n">
        <f aca="false">IF(ISNUMBER(B434),IF(K434&gt;M434,I434*'13_Mapa_Liq'!$C$15,0),0)</f>
        <v>0</v>
      </c>
      <c r="O434" s="151" t="str">
        <f aca="false">IF(ISNUMBER(B434),B434*(1+1/'13_Mapa_Liq'!$B$15-'13_Mapa_Liq'!$B$6),"")</f>
        <v/>
      </c>
      <c r="P434" s="151" t="n">
        <f aca="false">IF(ISNUMBER(B434),IF(L434&lt;O434,J434*'13_Mapa_Liq'!$C$15,0),0)</f>
        <v>0</v>
      </c>
      <c r="Q434" s="151" t="str">
        <f aca="false">IF(ISNUMBER(B434),B434*(1-1/'13_Mapa_Liq'!$B$16+'13_Mapa_Liq'!$B$6),"")</f>
        <v/>
      </c>
      <c r="R434" s="151" t="n">
        <f aca="false">IF(ISNUMBER(B434),IF(K434&gt;Q434,I434*'13_Mapa_Liq'!$C$16,0),0)</f>
        <v>0</v>
      </c>
      <c r="S434" s="151" t="str">
        <f aca="false">IF(ISNUMBER(B434),B434*(1+1/'13_Mapa_Liq'!$B$16-'13_Mapa_Liq'!$B$6),"")</f>
        <v/>
      </c>
      <c r="T434" s="151" t="n">
        <f aca="false">IF(ISNUMBER(B434),IF(L434&lt;S434,J434*'13_Mapa_Liq'!$C$16,0),0)</f>
        <v>0</v>
      </c>
      <c r="U434" s="151" t="str">
        <f aca="false">IF(ISNUMBER(B434),B434*(1-1/'13_Mapa_Liq'!$B$17+'13_Mapa_Liq'!$B$6),"")</f>
        <v/>
      </c>
      <c r="V434" s="151" t="n">
        <f aca="false">IF(ISNUMBER(B434),IF(K434&gt;U434,I434*'13_Mapa_Liq'!$C$17,0),0)</f>
        <v>0</v>
      </c>
      <c r="W434" s="151" t="str">
        <f aca="false">IF(ISNUMBER(B434),B434*(1+1/'13_Mapa_Liq'!$B$17-'13_Mapa_Liq'!$B$6),"")</f>
        <v/>
      </c>
      <c r="X434" s="151" t="n">
        <f aca="false">IF(ISNUMBER(B434),IF(L434&lt;W434,J434*'13_Mapa_Liq'!$C$17,0),0)</f>
        <v>0</v>
      </c>
      <c r="Y434" s="151" t="str">
        <f aca="false">IF(ISNUMBER(B434),B434*(1-1/'13_Mapa_Liq'!$B$18+'13_Mapa_Liq'!$B$6),"")</f>
        <v/>
      </c>
      <c r="Z434" s="151" t="n">
        <f aca="false">IF(ISNUMBER(B434),IF(K434&gt;Y434,I434*'13_Mapa_Liq'!$C$18,0),0)</f>
        <v>0</v>
      </c>
      <c r="AA434" s="151" t="str">
        <f aca="false">IF(ISNUMBER(B434),B434*(1+1/'13_Mapa_Liq'!$B$18-'13_Mapa_Liq'!$B$6),"")</f>
        <v/>
      </c>
      <c r="AB434" s="151" t="n">
        <f aca="false">IF(ISNUMBER(B434),IF(L434&lt;AA434,J434*'13_Mapa_Liq'!$C$18,0),0)</f>
        <v>0</v>
      </c>
      <c r="AC434" s="151" t="str">
        <f aca="false">IF(ISNUMBER(B434),B434*(1-1/'13_Mapa_Liq'!$B$19+'13_Mapa_Liq'!$B$6),"")</f>
        <v/>
      </c>
      <c r="AD434" s="151" t="n">
        <f aca="false">IF(ISNUMBER(B434),IF(K434&gt;AC434,I434*'13_Mapa_Liq'!$C$19,0),0)</f>
        <v>0</v>
      </c>
      <c r="AE434" s="151" t="str">
        <f aca="false">IF(ISNUMBER(B434),B434*(1+1/'13_Mapa_Liq'!$B$19-'13_Mapa_Liq'!$B$6),"")</f>
        <v/>
      </c>
      <c r="AF434" s="151" t="n">
        <f aca="false">IF(ISNUMBER(B434),IF(L434&lt;AE434,J434*'13_Mapa_Liq'!$C$19,0),0)</f>
        <v>0</v>
      </c>
      <c r="AG434" s="151"/>
      <c r="AH434" s="151" t="n">
        <f aca="false">IF(ISNUMBER(B434),E434*F434*((K434&lt;=M434)*'13_Mapa_Liq'!$C$15+(K434&lt;=Q434)*'13_Mapa_Liq'!$C$16+(K434&lt;=U434)*'13_Mapa_Liq'!$C$17+(K434&lt;=Y434)*'13_Mapa_Liq'!$C$18+(K434&lt;=AC434)*'13_Mapa_Liq'!$C$19),0)</f>
        <v>0</v>
      </c>
      <c r="AI434" s="151" t="n">
        <f aca="false">IF(ISNUMBER(B434),E434*(1-F434)*((L434&gt;=O434)*'13_Mapa_Liq'!$C$15+(L434&gt;=S434)*'13_Mapa_Liq'!$C$16+(L434&gt;=W434)*'13_Mapa_Liq'!$C$17+(L434&gt;=AA434)*'13_Mapa_Liq'!$C$18+(L434&gt;=AE434)*'13_Mapa_Liq'!$C$19),0)</f>
        <v>0</v>
      </c>
    </row>
    <row r="435" customFormat="false" ht="15" hidden="false" customHeight="false" outlineLevel="0" collapsed="false">
      <c r="A435" s="151" t="str">
        <f aca="false">IF(ISNUMBER('12_Datos_5m'!F435),ROW()-4,"")</f>
        <v/>
      </c>
      <c r="B435" s="151" t="str">
        <f aca="false">IF(ISNUMBER('12_Datos_5m'!F435),'12_Datos_5m'!F435,"")</f>
        <v/>
      </c>
      <c r="C435" s="151" t="str">
        <f aca="false">IF(ISNUMBER('12_Datos_5m'!A435),'12_Datos_5m'!A435,"")</f>
        <v/>
      </c>
      <c r="D435" s="151" t="n">
        <f aca="false">IF(AND(ISNUMBER('12_Datos_5m'!I435),ISNUMBER('12_Datos_5m'!I434)),'12_Datos_5m'!I435-'12_Datos_5m'!I434,0)</f>
        <v>0</v>
      </c>
      <c r="E435" s="151" t="n">
        <f aca="false">MAX(0,D435)</f>
        <v>0</v>
      </c>
      <c r="F435" s="151" t="n">
        <f aca="false">IF(AND(ISNUMBER('12_Datos_5m'!G435),N('12_Datos_5m'!G435)&gt;0),'12_Datos_5m'!H435/'12_Datos_5m'!G435,0.5)</f>
        <v>0.5</v>
      </c>
      <c r="G435" s="151" t="n">
        <f aca="false">IF(ISNUMBER(C435),($C$2-C435)/3600000,0)</f>
        <v>0</v>
      </c>
      <c r="H435" s="151" t="n">
        <f aca="false">EXP(-G435/'13_Mapa_Liq'!$B$7)</f>
        <v>1</v>
      </c>
      <c r="I435" s="151" t="n">
        <f aca="false">E435*F435*H435</f>
        <v>0</v>
      </c>
      <c r="J435" s="151" t="n">
        <f aca="false">E435*(1-F435)*H435</f>
        <v>0</v>
      </c>
      <c r="K435" s="151" t="n">
        <f aca="false">IF(COUNT('12_Datos_5m'!E436:E$504)=0,1000000000000,MIN('12_Datos_5m'!E436:E$504))</f>
        <v>1000000000000</v>
      </c>
      <c r="L435" s="151" t="n">
        <f aca="false">IF(COUNT('12_Datos_5m'!D436:D$504)=0,0,MAX('12_Datos_5m'!D436:D$504))</f>
        <v>0</v>
      </c>
      <c r="M435" s="151" t="str">
        <f aca="false">IF(ISNUMBER(B435),B435*(1-1/'13_Mapa_Liq'!$B$15+'13_Mapa_Liq'!$B$6),"")</f>
        <v/>
      </c>
      <c r="N435" s="151" t="n">
        <f aca="false">IF(ISNUMBER(B435),IF(K435&gt;M435,I435*'13_Mapa_Liq'!$C$15,0),0)</f>
        <v>0</v>
      </c>
      <c r="O435" s="151" t="str">
        <f aca="false">IF(ISNUMBER(B435),B435*(1+1/'13_Mapa_Liq'!$B$15-'13_Mapa_Liq'!$B$6),"")</f>
        <v/>
      </c>
      <c r="P435" s="151" t="n">
        <f aca="false">IF(ISNUMBER(B435),IF(L435&lt;O435,J435*'13_Mapa_Liq'!$C$15,0),0)</f>
        <v>0</v>
      </c>
      <c r="Q435" s="151" t="str">
        <f aca="false">IF(ISNUMBER(B435),B435*(1-1/'13_Mapa_Liq'!$B$16+'13_Mapa_Liq'!$B$6),"")</f>
        <v/>
      </c>
      <c r="R435" s="151" t="n">
        <f aca="false">IF(ISNUMBER(B435),IF(K435&gt;Q435,I435*'13_Mapa_Liq'!$C$16,0),0)</f>
        <v>0</v>
      </c>
      <c r="S435" s="151" t="str">
        <f aca="false">IF(ISNUMBER(B435),B435*(1+1/'13_Mapa_Liq'!$B$16-'13_Mapa_Liq'!$B$6),"")</f>
        <v/>
      </c>
      <c r="T435" s="151" t="n">
        <f aca="false">IF(ISNUMBER(B435),IF(L435&lt;S435,J435*'13_Mapa_Liq'!$C$16,0),0)</f>
        <v>0</v>
      </c>
      <c r="U435" s="151" t="str">
        <f aca="false">IF(ISNUMBER(B435),B435*(1-1/'13_Mapa_Liq'!$B$17+'13_Mapa_Liq'!$B$6),"")</f>
        <v/>
      </c>
      <c r="V435" s="151" t="n">
        <f aca="false">IF(ISNUMBER(B435),IF(K435&gt;U435,I435*'13_Mapa_Liq'!$C$17,0),0)</f>
        <v>0</v>
      </c>
      <c r="W435" s="151" t="str">
        <f aca="false">IF(ISNUMBER(B435),B435*(1+1/'13_Mapa_Liq'!$B$17-'13_Mapa_Liq'!$B$6),"")</f>
        <v/>
      </c>
      <c r="X435" s="151" t="n">
        <f aca="false">IF(ISNUMBER(B435),IF(L435&lt;W435,J435*'13_Mapa_Liq'!$C$17,0),0)</f>
        <v>0</v>
      </c>
      <c r="Y435" s="151" t="str">
        <f aca="false">IF(ISNUMBER(B435),B435*(1-1/'13_Mapa_Liq'!$B$18+'13_Mapa_Liq'!$B$6),"")</f>
        <v/>
      </c>
      <c r="Z435" s="151" t="n">
        <f aca="false">IF(ISNUMBER(B435),IF(K435&gt;Y435,I435*'13_Mapa_Liq'!$C$18,0),0)</f>
        <v>0</v>
      </c>
      <c r="AA435" s="151" t="str">
        <f aca="false">IF(ISNUMBER(B435),B435*(1+1/'13_Mapa_Liq'!$B$18-'13_Mapa_Liq'!$B$6),"")</f>
        <v/>
      </c>
      <c r="AB435" s="151" t="n">
        <f aca="false">IF(ISNUMBER(B435),IF(L435&lt;AA435,J435*'13_Mapa_Liq'!$C$18,0),0)</f>
        <v>0</v>
      </c>
      <c r="AC435" s="151" t="str">
        <f aca="false">IF(ISNUMBER(B435),B435*(1-1/'13_Mapa_Liq'!$B$19+'13_Mapa_Liq'!$B$6),"")</f>
        <v/>
      </c>
      <c r="AD435" s="151" t="n">
        <f aca="false">IF(ISNUMBER(B435),IF(K435&gt;AC435,I435*'13_Mapa_Liq'!$C$19,0),0)</f>
        <v>0</v>
      </c>
      <c r="AE435" s="151" t="str">
        <f aca="false">IF(ISNUMBER(B435),B435*(1+1/'13_Mapa_Liq'!$B$19-'13_Mapa_Liq'!$B$6),"")</f>
        <v/>
      </c>
      <c r="AF435" s="151" t="n">
        <f aca="false">IF(ISNUMBER(B435),IF(L435&lt;AE435,J435*'13_Mapa_Liq'!$C$19,0),0)</f>
        <v>0</v>
      </c>
      <c r="AG435" s="151"/>
      <c r="AH435" s="151" t="n">
        <f aca="false">IF(ISNUMBER(B435),E435*F435*((K435&lt;=M435)*'13_Mapa_Liq'!$C$15+(K435&lt;=Q435)*'13_Mapa_Liq'!$C$16+(K435&lt;=U435)*'13_Mapa_Liq'!$C$17+(K435&lt;=Y435)*'13_Mapa_Liq'!$C$18+(K435&lt;=AC435)*'13_Mapa_Liq'!$C$19),0)</f>
        <v>0</v>
      </c>
      <c r="AI435" s="151" t="n">
        <f aca="false">IF(ISNUMBER(B435),E435*(1-F435)*((L435&gt;=O435)*'13_Mapa_Liq'!$C$15+(L435&gt;=S435)*'13_Mapa_Liq'!$C$16+(L435&gt;=W435)*'13_Mapa_Liq'!$C$17+(L435&gt;=AA435)*'13_Mapa_Liq'!$C$18+(L435&gt;=AE435)*'13_Mapa_Liq'!$C$19),0)</f>
        <v>0</v>
      </c>
    </row>
    <row r="436" customFormat="false" ht="15" hidden="false" customHeight="false" outlineLevel="0" collapsed="false">
      <c r="A436" s="151" t="str">
        <f aca="false">IF(ISNUMBER('12_Datos_5m'!F436),ROW()-4,"")</f>
        <v/>
      </c>
      <c r="B436" s="151" t="str">
        <f aca="false">IF(ISNUMBER('12_Datos_5m'!F436),'12_Datos_5m'!F436,"")</f>
        <v/>
      </c>
      <c r="C436" s="151" t="str">
        <f aca="false">IF(ISNUMBER('12_Datos_5m'!A436),'12_Datos_5m'!A436,"")</f>
        <v/>
      </c>
      <c r="D436" s="151" t="n">
        <f aca="false">IF(AND(ISNUMBER('12_Datos_5m'!I436),ISNUMBER('12_Datos_5m'!I435)),'12_Datos_5m'!I436-'12_Datos_5m'!I435,0)</f>
        <v>0</v>
      </c>
      <c r="E436" s="151" t="n">
        <f aca="false">MAX(0,D436)</f>
        <v>0</v>
      </c>
      <c r="F436" s="151" t="n">
        <f aca="false">IF(AND(ISNUMBER('12_Datos_5m'!G436),N('12_Datos_5m'!G436)&gt;0),'12_Datos_5m'!H436/'12_Datos_5m'!G436,0.5)</f>
        <v>0.5</v>
      </c>
      <c r="G436" s="151" t="n">
        <f aca="false">IF(ISNUMBER(C436),($C$2-C436)/3600000,0)</f>
        <v>0</v>
      </c>
      <c r="H436" s="151" t="n">
        <f aca="false">EXP(-G436/'13_Mapa_Liq'!$B$7)</f>
        <v>1</v>
      </c>
      <c r="I436" s="151" t="n">
        <f aca="false">E436*F436*H436</f>
        <v>0</v>
      </c>
      <c r="J436" s="151" t="n">
        <f aca="false">E436*(1-F436)*H436</f>
        <v>0</v>
      </c>
      <c r="K436" s="151" t="n">
        <f aca="false">IF(COUNT('12_Datos_5m'!E437:E$504)=0,1000000000000,MIN('12_Datos_5m'!E437:E$504))</f>
        <v>1000000000000</v>
      </c>
      <c r="L436" s="151" t="n">
        <f aca="false">IF(COUNT('12_Datos_5m'!D437:D$504)=0,0,MAX('12_Datos_5m'!D437:D$504))</f>
        <v>0</v>
      </c>
      <c r="M436" s="151" t="str">
        <f aca="false">IF(ISNUMBER(B436),B436*(1-1/'13_Mapa_Liq'!$B$15+'13_Mapa_Liq'!$B$6),"")</f>
        <v/>
      </c>
      <c r="N436" s="151" t="n">
        <f aca="false">IF(ISNUMBER(B436),IF(K436&gt;M436,I436*'13_Mapa_Liq'!$C$15,0),0)</f>
        <v>0</v>
      </c>
      <c r="O436" s="151" t="str">
        <f aca="false">IF(ISNUMBER(B436),B436*(1+1/'13_Mapa_Liq'!$B$15-'13_Mapa_Liq'!$B$6),"")</f>
        <v/>
      </c>
      <c r="P436" s="151" t="n">
        <f aca="false">IF(ISNUMBER(B436),IF(L436&lt;O436,J436*'13_Mapa_Liq'!$C$15,0),0)</f>
        <v>0</v>
      </c>
      <c r="Q436" s="151" t="str">
        <f aca="false">IF(ISNUMBER(B436),B436*(1-1/'13_Mapa_Liq'!$B$16+'13_Mapa_Liq'!$B$6),"")</f>
        <v/>
      </c>
      <c r="R436" s="151" t="n">
        <f aca="false">IF(ISNUMBER(B436),IF(K436&gt;Q436,I436*'13_Mapa_Liq'!$C$16,0),0)</f>
        <v>0</v>
      </c>
      <c r="S436" s="151" t="str">
        <f aca="false">IF(ISNUMBER(B436),B436*(1+1/'13_Mapa_Liq'!$B$16-'13_Mapa_Liq'!$B$6),"")</f>
        <v/>
      </c>
      <c r="T436" s="151" t="n">
        <f aca="false">IF(ISNUMBER(B436),IF(L436&lt;S436,J436*'13_Mapa_Liq'!$C$16,0),0)</f>
        <v>0</v>
      </c>
      <c r="U436" s="151" t="str">
        <f aca="false">IF(ISNUMBER(B436),B436*(1-1/'13_Mapa_Liq'!$B$17+'13_Mapa_Liq'!$B$6),"")</f>
        <v/>
      </c>
      <c r="V436" s="151" t="n">
        <f aca="false">IF(ISNUMBER(B436),IF(K436&gt;U436,I436*'13_Mapa_Liq'!$C$17,0),0)</f>
        <v>0</v>
      </c>
      <c r="W436" s="151" t="str">
        <f aca="false">IF(ISNUMBER(B436),B436*(1+1/'13_Mapa_Liq'!$B$17-'13_Mapa_Liq'!$B$6),"")</f>
        <v/>
      </c>
      <c r="X436" s="151" t="n">
        <f aca="false">IF(ISNUMBER(B436),IF(L436&lt;W436,J436*'13_Mapa_Liq'!$C$17,0),0)</f>
        <v>0</v>
      </c>
      <c r="Y436" s="151" t="str">
        <f aca="false">IF(ISNUMBER(B436),B436*(1-1/'13_Mapa_Liq'!$B$18+'13_Mapa_Liq'!$B$6),"")</f>
        <v/>
      </c>
      <c r="Z436" s="151" t="n">
        <f aca="false">IF(ISNUMBER(B436),IF(K436&gt;Y436,I436*'13_Mapa_Liq'!$C$18,0),0)</f>
        <v>0</v>
      </c>
      <c r="AA436" s="151" t="str">
        <f aca="false">IF(ISNUMBER(B436),B436*(1+1/'13_Mapa_Liq'!$B$18-'13_Mapa_Liq'!$B$6),"")</f>
        <v/>
      </c>
      <c r="AB436" s="151" t="n">
        <f aca="false">IF(ISNUMBER(B436),IF(L436&lt;AA436,J436*'13_Mapa_Liq'!$C$18,0),0)</f>
        <v>0</v>
      </c>
      <c r="AC436" s="151" t="str">
        <f aca="false">IF(ISNUMBER(B436),B436*(1-1/'13_Mapa_Liq'!$B$19+'13_Mapa_Liq'!$B$6),"")</f>
        <v/>
      </c>
      <c r="AD436" s="151" t="n">
        <f aca="false">IF(ISNUMBER(B436),IF(K436&gt;AC436,I436*'13_Mapa_Liq'!$C$19,0),0)</f>
        <v>0</v>
      </c>
      <c r="AE436" s="151" t="str">
        <f aca="false">IF(ISNUMBER(B436),B436*(1+1/'13_Mapa_Liq'!$B$19-'13_Mapa_Liq'!$B$6),"")</f>
        <v/>
      </c>
      <c r="AF436" s="151" t="n">
        <f aca="false">IF(ISNUMBER(B436),IF(L436&lt;AE436,J436*'13_Mapa_Liq'!$C$19,0),0)</f>
        <v>0</v>
      </c>
      <c r="AG436" s="151"/>
      <c r="AH436" s="151" t="n">
        <f aca="false">IF(ISNUMBER(B436),E436*F436*((K436&lt;=M436)*'13_Mapa_Liq'!$C$15+(K436&lt;=Q436)*'13_Mapa_Liq'!$C$16+(K436&lt;=U436)*'13_Mapa_Liq'!$C$17+(K436&lt;=Y436)*'13_Mapa_Liq'!$C$18+(K436&lt;=AC436)*'13_Mapa_Liq'!$C$19),0)</f>
        <v>0</v>
      </c>
      <c r="AI436" s="151" t="n">
        <f aca="false">IF(ISNUMBER(B436),E436*(1-F436)*((L436&gt;=O436)*'13_Mapa_Liq'!$C$15+(L436&gt;=S436)*'13_Mapa_Liq'!$C$16+(L436&gt;=W436)*'13_Mapa_Liq'!$C$17+(L436&gt;=AA436)*'13_Mapa_Liq'!$C$18+(L436&gt;=AE436)*'13_Mapa_Liq'!$C$19),0)</f>
        <v>0</v>
      </c>
    </row>
    <row r="437" customFormat="false" ht="15" hidden="false" customHeight="false" outlineLevel="0" collapsed="false">
      <c r="A437" s="151" t="str">
        <f aca="false">IF(ISNUMBER('12_Datos_5m'!F437),ROW()-4,"")</f>
        <v/>
      </c>
      <c r="B437" s="151" t="str">
        <f aca="false">IF(ISNUMBER('12_Datos_5m'!F437),'12_Datos_5m'!F437,"")</f>
        <v/>
      </c>
      <c r="C437" s="151" t="str">
        <f aca="false">IF(ISNUMBER('12_Datos_5m'!A437),'12_Datos_5m'!A437,"")</f>
        <v/>
      </c>
      <c r="D437" s="151" t="n">
        <f aca="false">IF(AND(ISNUMBER('12_Datos_5m'!I437),ISNUMBER('12_Datos_5m'!I436)),'12_Datos_5m'!I437-'12_Datos_5m'!I436,0)</f>
        <v>0</v>
      </c>
      <c r="E437" s="151" t="n">
        <f aca="false">MAX(0,D437)</f>
        <v>0</v>
      </c>
      <c r="F437" s="151" t="n">
        <f aca="false">IF(AND(ISNUMBER('12_Datos_5m'!G437),N('12_Datos_5m'!G437)&gt;0),'12_Datos_5m'!H437/'12_Datos_5m'!G437,0.5)</f>
        <v>0.5</v>
      </c>
      <c r="G437" s="151" t="n">
        <f aca="false">IF(ISNUMBER(C437),($C$2-C437)/3600000,0)</f>
        <v>0</v>
      </c>
      <c r="H437" s="151" t="n">
        <f aca="false">EXP(-G437/'13_Mapa_Liq'!$B$7)</f>
        <v>1</v>
      </c>
      <c r="I437" s="151" t="n">
        <f aca="false">E437*F437*H437</f>
        <v>0</v>
      </c>
      <c r="J437" s="151" t="n">
        <f aca="false">E437*(1-F437)*H437</f>
        <v>0</v>
      </c>
      <c r="K437" s="151" t="n">
        <f aca="false">IF(COUNT('12_Datos_5m'!E438:E$504)=0,1000000000000,MIN('12_Datos_5m'!E438:E$504))</f>
        <v>1000000000000</v>
      </c>
      <c r="L437" s="151" t="n">
        <f aca="false">IF(COUNT('12_Datos_5m'!D438:D$504)=0,0,MAX('12_Datos_5m'!D438:D$504))</f>
        <v>0</v>
      </c>
      <c r="M437" s="151" t="str">
        <f aca="false">IF(ISNUMBER(B437),B437*(1-1/'13_Mapa_Liq'!$B$15+'13_Mapa_Liq'!$B$6),"")</f>
        <v/>
      </c>
      <c r="N437" s="151" t="n">
        <f aca="false">IF(ISNUMBER(B437),IF(K437&gt;M437,I437*'13_Mapa_Liq'!$C$15,0),0)</f>
        <v>0</v>
      </c>
      <c r="O437" s="151" t="str">
        <f aca="false">IF(ISNUMBER(B437),B437*(1+1/'13_Mapa_Liq'!$B$15-'13_Mapa_Liq'!$B$6),"")</f>
        <v/>
      </c>
      <c r="P437" s="151" t="n">
        <f aca="false">IF(ISNUMBER(B437),IF(L437&lt;O437,J437*'13_Mapa_Liq'!$C$15,0),0)</f>
        <v>0</v>
      </c>
      <c r="Q437" s="151" t="str">
        <f aca="false">IF(ISNUMBER(B437),B437*(1-1/'13_Mapa_Liq'!$B$16+'13_Mapa_Liq'!$B$6),"")</f>
        <v/>
      </c>
      <c r="R437" s="151" t="n">
        <f aca="false">IF(ISNUMBER(B437),IF(K437&gt;Q437,I437*'13_Mapa_Liq'!$C$16,0),0)</f>
        <v>0</v>
      </c>
      <c r="S437" s="151" t="str">
        <f aca="false">IF(ISNUMBER(B437),B437*(1+1/'13_Mapa_Liq'!$B$16-'13_Mapa_Liq'!$B$6),"")</f>
        <v/>
      </c>
      <c r="T437" s="151" t="n">
        <f aca="false">IF(ISNUMBER(B437),IF(L437&lt;S437,J437*'13_Mapa_Liq'!$C$16,0),0)</f>
        <v>0</v>
      </c>
      <c r="U437" s="151" t="str">
        <f aca="false">IF(ISNUMBER(B437),B437*(1-1/'13_Mapa_Liq'!$B$17+'13_Mapa_Liq'!$B$6),"")</f>
        <v/>
      </c>
      <c r="V437" s="151" t="n">
        <f aca="false">IF(ISNUMBER(B437),IF(K437&gt;U437,I437*'13_Mapa_Liq'!$C$17,0),0)</f>
        <v>0</v>
      </c>
      <c r="W437" s="151" t="str">
        <f aca="false">IF(ISNUMBER(B437),B437*(1+1/'13_Mapa_Liq'!$B$17-'13_Mapa_Liq'!$B$6),"")</f>
        <v/>
      </c>
      <c r="X437" s="151" t="n">
        <f aca="false">IF(ISNUMBER(B437),IF(L437&lt;W437,J437*'13_Mapa_Liq'!$C$17,0),0)</f>
        <v>0</v>
      </c>
      <c r="Y437" s="151" t="str">
        <f aca="false">IF(ISNUMBER(B437),B437*(1-1/'13_Mapa_Liq'!$B$18+'13_Mapa_Liq'!$B$6),"")</f>
        <v/>
      </c>
      <c r="Z437" s="151" t="n">
        <f aca="false">IF(ISNUMBER(B437),IF(K437&gt;Y437,I437*'13_Mapa_Liq'!$C$18,0),0)</f>
        <v>0</v>
      </c>
      <c r="AA437" s="151" t="str">
        <f aca="false">IF(ISNUMBER(B437),B437*(1+1/'13_Mapa_Liq'!$B$18-'13_Mapa_Liq'!$B$6),"")</f>
        <v/>
      </c>
      <c r="AB437" s="151" t="n">
        <f aca="false">IF(ISNUMBER(B437),IF(L437&lt;AA437,J437*'13_Mapa_Liq'!$C$18,0),0)</f>
        <v>0</v>
      </c>
      <c r="AC437" s="151" t="str">
        <f aca="false">IF(ISNUMBER(B437),B437*(1-1/'13_Mapa_Liq'!$B$19+'13_Mapa_Liq'!$B$6),"")</f>
        <v/>
      </c>
      <c r="AD437" s="151" t="n">
        <f aca="false">IF(ISNUMBER(B437),IF(K437&gt;AC437,I437*'13_Mapa_Liq'!$C$19,0),0)</f>
        <v>0</v>
      </c>
      <c r="AE437" s="151" t="str">
        <f aca="false">IF(ISNUMBER(B437),B437*(1+1/'13_Mapa_Liq'!$B$19-'13_Mapa_Liq'!$B$6),"")</f>
        <v/>
      </c>
      <c r="AF437" s="151" t="n">
        <f aca="false">IF(ISNUMBER(B437),IF(L437&lt;AE437,J437*'13_Mapa_Liq'!$C$19,0),0)</f>
        <v>0</v>
      </c>
      <c r="AG437" s="151"/>
      <c r="AH437" s="151" t="n">
        <f aca="false">IF(ISNUMBER(B437),E437*F437*((K437&lt;=M437)*'13_Mapa_Liq'!$C$15+(K437&lt;=Q437)*'13_Mapa_Liq'!$C$16+(K437&lt;=U437)*'13_Mapa_Liq'!$C$17+(K437&lt;=Y437)*'13_Mapa_Liq'!$C$18+(K437&lt;=AC437)*'13_Mapa_Liq'!$C$19),0)</f>
        <v>0</v>
      </c>
      <c r="AI437" s="151" t="n">
        <f aca="false">IF(ISNUMBER(B437),E437*(1-F437)*((L437&gt;=O437)*'13_Mapa_Liq'!$C$15+(L437&gt;=S437)*'13_Mapa_Liq'!$C$16+(L437&gt;=W437)*'13_Mapa_Liq'!$C$17+(L437&gt;=AA437)*'13_Mapa_Liq'!$C$18+(L437&gt;=AE437)*'13_Mapa_Liq'!$C$19),0)</f>
        <v>0</v>
      </c>
    </row>
    <row r="438" customFormat="false" ht="15" hidden="false" customHeight="false" outlineLevel="0" collapsed="false">
      <c r="A438" s="151" t="str">
        <f aca="false">IF(ISNUMBER('12_Datos_5m'!F438),ROW()-4,"")</f>
        <v/>
      </c>
      <c r="B438" s="151" t="str">
        <f aca="false">IF(ISNUMBER('12_Datos_5m'!F438),'12_Datos_5m'!F438,"")</f>
        <v/>
      </c>
      <c r="C438" s="151" t="str">
        <f aca="false">IF(ISNUMBER('12_Datos_5m'!A438),'12_Datos_5m'!A438,"")</f>
        <v/>
      </c>
      <c r="D438" s="151" t="n">
        <f aca="false">IF(AND(ISNUMBER('12_Datos_5m'!I438),ISNUMBER('12_Datos_5m'!I437)),'12_Datos_5m'!I438-'12_Datos_5m'!I437,0)</f>
        <v>0</v>
      </c>
      <c r="E438" s="151" t="n">
        <f aca="false">MAX(0,D438)</f>
        <v>0</v>
      </c>
      <c r="F438" s="151" t="n">
        <f aca="false">IF(AND(ISNUMBER('12_Datos_5m'!G438),N('12_Datos_5m'!G438)&gt;0),'12_Datos_5m'!H438/'12_Datos_5m'!G438,0.5)</f>
        <v>0.5</v>
      </c>
      <c r="G438" s="151" t="n">
        <f aca="false">IF(ISNUMBER(C438),($C$2-C438)/3600000,0)</f>
        <v>0</v>
      </c>
      <c r="H438" s="151" t="n">
        <f aca="false">EXP(-G438/'13_Mapa_Liq'!$B$7)</f>
        <v>1</v>
      </c>
      <c r="I438" s="151" t="n">
        <f aca="false">E438*F438*H438</f>
        <v>0</v>
      </c>
      <c r="J438" s="151" t="n">
        <f aca="false">E438*(1-F438)*H438</f>
        <v>0</v>
      </c>
      <c r="K438" s="151" t="n">
        <f aca="false">IF(COUNT('12_Datos_5m'!E439:E$504)=0,1000000000000,MIN('12_Datos_5m'!E439:E$504))</f>
        <v>1000000000000</v>
      </c>
      <c r="L438" s="151" t="n">
        <f aca="false">IF(COUNT('12_Datos_5m'!D439:D$504)=0,0,MAX('12_Datos_5m'!D439:D$504))</f>
        <v>0</v>
      </c>
      <c r="M438" s="151" t="str">
        <f aca="false">IF(ISNUMBER(B438),B438*(1-1/'13_Mapa_Liq'!$B$15+'13_Mapa_Liq'!$B$6),"")</f>
        <v/>
      </c>
      <c r="N438" s="151" t="n">
        <f aca="false">IF(ISNUMBER(B438),IF(K438&gt;M438,I438*'13_Mapa_Liq'!$C$15,0),0)</f>
        <v>0</v>
      </c>
      <c r="O438" s="151" t="str">
        <f aca="false">IF(ISNUMBER(B438),B438*(1+1/'13_Mapa_Liq'!$B$15-'13_Mapa_Liq'!$B$6),"")</f>
        <v/>
      </c>
      <c r="P438" s="151" t="n">
        <f aca="false">IF(ISNUMBER(B438),IF(L438&lt;O438,J438*'13_Mapa_Liq'!$C$15,0),0)</f>
        <v>0</v>
      </c>
      <c r="Q438" s="151" t="str">
        <f aca="false">IF(ISNUMBER(B438),B438*(1-1/'13_Mapa_Liq'!$B$16+'13_Mapa_Liq'!$B$6),"")</f>
        <v/>
      </c>
      <c r="R438" s="151" t="n">
        <f aca="false">IF(ISNUMBER(B438),IF(K438&gt;Q438,I438*'13_Mapa_Liq'!$C$16,0),0)</f>
        <v>0</v>
      </c>
      <c r="S438" s="151" t="str">
        <f aca="false">IF(ISNUMBER(B438),B438*(1+1/'13_Mapa_Liq'!$B$16-'13_Mapa_Liq'!$B$6),"")</f>
        <v/>
      </c>
      <c r="T438" s="151" t="n">
        <f aca="false">IF(ISNUMBER(B438),IF(L438&lt;S438,J438*'13_Mapa_Liq'!$C$16,0),0)</f>
        <v>0</v>
      </c>
      <c r="U438" s="151" t="str">
        <f aca="false">IF(ISNUMBER(B438),B438*(1-1/'13_Mapa_Liq'!$B$17+'13_Mapa_Liq'!$B$6),"")</f>
        <v/>
      </c>
      <c r="V438" s="151" t="n">
        <f aca="false">IF(ISNUMBER(B438),IF(K438&gt;U438,I438*'13_Mapa_Liq'!$C$17,0),0)</f>
        <v>0</v>
      </c>
      <c r="W438" s="151" t="str">
        <f aca="false">IF(ISNUMBER(B438),B438*(1+1/'13_Mapa_Liq'!$B$17-'13_Mapa_Liq'!$B$6),"")</f>
        <v/>
      </c>
      <c r="X438" s="151" t="n">
        <f aca="false">IF(ISNUMBER(B438),IF(L438&lt;W438,J438*'13_Mapa_Liq'!$C$17,0),0)</f>
        <v>0</v>
      </c>
      <c r="Y438" s="151" t="str">
        <f aca="false">IF(ISNUMBER(B438),B438*(1-1/'13_Mapa_Liq'!$B$18+'13_Mapa_Liq'!$B$6),"")</f>
        <v/>
      </c>
      <c r="Z438" s="151" t="n">
        <f aca="false">IF(ISNUMBER(B438),IF(K438&gt;Y438,I438*'13_Mapa_Liq'!$C$18,0),0)</f>
        <v>0</v>
      </c>
      <c r="AA438" s="151" t="str">
        <f aca="false">IF(ISNUMBER(B438),B438*(1+1/'13_Mapa_Liq'!$B$18-'13_Mapa_Liq'!$B$6),"")</f>
        <v/>
      </c>
      <c r="AB438" s="151" t="n">
        <f aca="false">IF(ISNUMBER(B438),IF(L438&lt;AA438,J438*'13_Mapa_Liq'!$C$18,0),0)</f>
        <v>0</v>
      </c>
      <c r="AC438" s="151" t="str">
        <f aca="false">IF(ISNUMBER(B438),B438*(1-1/'13_Mapa_Liq'!$B$19+'13_Mapa_Liq'!$B$6),"")</f>
        <v/>
      </c>
      <c r="AD438" s="151" t="n">
        <f aca="false">IF(ISNUMBER(B438),IF(K438&gt;AC438,I438*'13_Mapa_Liq'!$C$19,0),0)</f>
        <v>0</v>
      </c>
      <c r="AE438" s="151" t="str">
        <f aca="false">IF(ISNUMBER(B438),B438*(1+1/'13_Mapa_Liq'!$B$19-'13_Mapa_Liq'!$B$6),"")</f>
        <v/>
      </c>
      <c r="AF438" s="151" t="n">
        <f aca="false">IF(ISNUMBER(B438),IF(L438&lt;AE438,J438*'13_Mapa_Liq'!$C$19,0),0)</f>
        <v>0</v>
      </c>
      <c r="AG438" s="151"/>
      <c r="AH438" s="151" t="n">
        <f aca="false">IF(ISNUMBER(B438),E438*F438*((K438&lt;=M438)*'13_Mapa_Liq'!$C$15+(K438&lt;=Q438)*'13_Mapa_Liq'!$C$16+(K438&lt;=U438)*'13_Mapa_Liq'!$C$17+(K438&lt;=Y438)*'13_Mapa_Liq'!$C$18+(K438&lt;=AC438)*'13_Mapa_Liq'!$C$19),0)</f>
        <v>0</v>
      </c>
      <c r="AI438" s="151" t="n">
        <f aca="false">IF(ISNUMBER(B438),E438*(1-F438)*((L438&gt;=O438)*'13_Mapa_Liq'!$C$15+(L438&gt;=S438)*'13_Mapa_Liq'!$C$16+(L438&gt;=W438)*'13_Mapa_Liq'!$C$17+(L438&gt;=AA438)*'13_Mapa_Liq'!$C$18+(L438&gt;=AE438)*'13_Mapa_Liq'!$C$19),0)</f>
        <v>0</v>
      </c>
    </row>
    <row r="439" customFormat="false" ht="15" hidden="false" customHeight="false" outlineLevel="0" collapsed="false">
      <c r="A439" s="151" t="str">
        <f aca="false">IF(ISNUMBER('12_Datos_5m'!F439),ROW()-4,"")</f>
        <v/>
      </c>
      <c r="B439" s="151" t="str">
        <f aca="false">IF(ISNUMBER('12_Datos_5m'!F439),'12_Datos_5m'!F439,"")</f>
        <v/>
      </c>
      <c r="C439" s="151" t="str">
        <f aca="false">IF(ISNUMBER('12_Datos_5m'!A439),'12_Datos_5m'!A439,"")</f>
        <v/>
      </c>
      <c r="D439" s="151" t="n">
        <f aca="false">IF(AND(ISNUMBER('12_Datos_5m'!I439),ISNUMBER('12_Datos_5m'!I438)),'12_Datos_5m'!I439-'12_Datos_5m'!I438,0)</f>
        <v>0</v>
      </c>
      <c r="E439" s="151" t="n">
        <f aca="false">MAX(0,D439)</f>
        <v>0</v>
      </c>
      <c r="F439" s="151" t="n">
        <f aca="false">IF(AND(ISNUMBER('12_Datos_5m'!G439),N('12_Datos_5m'!G439)&gt;0),'12_Datos_5m'!H439/'12_Datos_5m'!G439,0.5)</f>
        <v>0.5</v>
      </c>
      <c r="G439" s="151" t="n">
        <f aca="false">IF(ISNUMBER(C439),($C$2-C439)/3600000,0)</f>
        <v>0</v>
      </c>
      <c r="H439" s="151" t="n">
        <f aca="false">EXP(-G439/'13_Mapa_Liq'!$B$7)</f>
        <v>1</v>
      </c>
      <c r="I439" s="151" t="n">
        <f aca="false">E439*F439*H439</f>
        <v>0</v>
      </c>
      <c r="J439" s="151" t="n">
        <f aca="false">E439*(1-F439)*H439</f>
        <v>0</v>
      </c>
      <c r="K439" s="151" t="n">
        <f aca="false">IF(COUNT('12_Datos_5m'!E440:E$504)=0,1000000000000,MIN('12_Datos_5m'!E440:E$504))</f>
        <v>1000000000000</v>
      </c>
      <c r="L439" s="151" t="n">
        <f aca="false">IF(COUNT('12_Datos_5m'!D440:D$504)=0,0,MAX('12_Datos_5m'!D440:D$504))</f>
        <v>0</v>
      </c>
      <c r="M439" s="151" t="str">
        <f aca="false">IF(ISNUMBER(B439),B439*(1-1/'13_Mapa_Liq'!$B$15+'13_Mapa_Liq'!$B$6),"")</f>
        <v/>
      </c>
      <c r="N439" s="151" t="n">
        <f aca="false">IF(ISNUMBER(B439),IF(K439&gt;M439,I439*'13_Mapa_Liq'!$C$15,0),0)</f>
        <v>0</v>
      </c>
      <c r="O439" s="151" t="str">
        <f aca="false">IF(ISNUMBER(B439),B439*(1+1/'13_Mapa_Liq'!$B$15-'13_Mapa_Liq'!$B$6),"")</f>
        <v/>
      </c>
      <c r="P439" s="151" t="n">
        <f aca="false">IF(ISNUMBER(B439),IF(L439&lt;O439,J439*'13_Mapa_Liq'!$C$15,0),0)</f>
        <v>0</v>
      </c>
      <c r="Q439" s="151" t="str">
        <f aca="false">IF(ISNUMBER(B439),B439*(1-1/'13_Mapa_Liq'!$B$16+'13_Mapa_Liq'!$B$6),"")</f>
        <v/>
      </c>
      <c r="R439" s="151" t="n">
        <f aca="false">IF(ISNUMBER(B439),IF(K439&gt;Q439,I439*'13_Mapa_Liq'!$C$16,0),0)</f>
        <v>0</v>
      </c>
      <c r="S439" s="151" t="str">
        <f aca="false">IF(ISNUMBER(B439),B439*(1+1/'13_Mapa_Liq'!$B$16-'13_Mapa_Liq'!$B$6),"")</f>
        <v/>
      </c>
      <c r="T439" s="151" t="n">
        <f aca="false">IF(ISNUMBER(B439),IF(L439&lt;S439,J439*'13_Mapa_Liq'!$C$16,0),0)</f>
        <v>0</v>
      </c>
      <c r="U439" s="151" t="str">
        <f aca="false">IF(ISNUMBER(B439),B439*(1-1/'13_Mapa_Liq'!$B$17+'13_Mapa_Liq'!$B$6),"")</f>
        <v/>
      </c>
      <c r="V439" s="151" t="n">
        <f aca="false">IF(ISNUMBER(B439),IF(K439&gt;U439,I439*'13_Mapa_Liq'!$C$17,0),0)</f>
        <v>0</v>
      </c>
      <c r="W439" s="151" t="str">
        <f aca="false">IF(ISNUMBER(B439),B439*(1+1/'13_Mapa_Liq'!$B$17-'13_Mapa_Liq'!$B$6),"")</f>
        <v/>
      </c>
      <c r="X439" s="151" t="n">
        <f aca="false">IF(ISNUMBER(B439),IF(L439&lt;W439,J439*'13_Mapa_Liq'!$C$17,0),0)</f>
        <v>0</v>
      </c>
      <c r="Y439" s="151" t="str">
        <f aca="false">IF(ISNUMBER(B439),B439*(1-1/'13_Mapa_Liq'!$B$18+'13_Mapa_Liq'!$B$6),"")</f>
        <v/>
      </c>
      <c r="Z439" s="151" t="n">
        <f aca="false">IF(ISNUMBER(B439),IF(K439&gt;Y439,I439*'13_Mapa_Liq'!$C$18,0),0)</f>
        <v>0</v>
      </c>
      <c r="AA439" s="151" t="str">
        <f aca="false">IF(ISNUMBER(B439),B439*(1+1/'13_Mapa_Liq'!$B$18-'13_Mapa_Liq'!$B$6),"")</f>
        <v/>
      </c>
      <c r="AB439" s="151" t="n">
        <f aca="false">IF(ISNUMBER(B439),IF(L439&lt;AA439,J439*'13_Mapa_Liq'!$C$18,0),0)</f>
        <v>0</v>
      </c>
      <c r="AC439" s="151" t="str">
        <f aca="false">IF(ISNUMBER(B439),B439*(1-1/'13_Mapa_Liq'!$B$19+'13_Mapa_Liq'!$B$6),"")</f>
        <v/>
      </c>
      <c r="AD439" s="151" t="n">
        <f aca="false">IF(ISNUMBER(B439),IF(K439&gt;AC439,I439*'13_Mapa_Liq'!$C$19,0),0)</f>
        <v>0</v>
      </c>
      <c r="AE439" s="151" t="str">
        <f aca="false">IF(ISNUMBER(B439),B439*(1+1/'13_Mapa_Liq'!$B$19-'13_Mapa_Liq'!$B$6),"")</f>
        <v/>
      </c>
      <c r="AF439" s="151" t="n">
        <f aca="false">IF(ISNUMBER(B439),IF(L439&lt;AE439,J439*'13_Mapa_Liq'!$C$19,0),0)</f>
        <v>0</v>
      </c>
      <c r="AG439" s="151"/>
      <c r="AH439" s="151" t="n">
        <f aca="false">IF(ISNUMBER(B439),E439*F439*((K439&lt;=M439)*'13_Mapa_Liq'!$C$15+(K439&lt;=Q439)*'13_Mapa_Liq'!$C$16+(K439&lt;=U439)*'13_Mapa_Liq'!$C$17+(K439&lt;=Y439)*'13_Mapa_Liq'!$C$18+(K439&lt;=AC439)*'13_Mapa_Liq'!$C$19),0)</f>
        <v>0</v>
      </c>
      <c r="AI439" s="151" t="n">
        <f aca="false">IF(ISNUMBER(B439),E439*(1-F439)*((L439&gt;=O439)*'13_Mapa_Liq'!$C$15+(L439&gt;=S439)*'13_Mapa_Liq'!$C$16+(L439&gt;=W439)*'13_Mapa_Liq'!$C$17+(L439&gt;=AA439)*'13_Mapa_Liq'!$C$18+(L439&gt;=AE439)*'13_Mapa_Liq'!$C$19),0)</f>
        <v>0</v>
      </c>
    </row>
    <row r="440" customFormat="false" ht="15" hidden="false" customHeight="false" outlineLevel="0" collapsed="false">
      <c r="A440" s="151" t="str">
        <f aca="false">IF(ISNUMBER('12_Datos_5m'!F440),ROW()-4,"")</f>
        <v/>
      </c>
      <c r="B440" s="151" t="str">
        <f aca="false">IF(ISNUMBER('12_Datos_5m'!F440),'12_Datos_5m'!F440,"")</f>
        <v/>
      </c>
      <c r="C440" s="151" t="str">
        <f aca="false">IF(ISNUMBER('12_Datos_5m'!A440),'12_Datos_5m'!A440,"")</f>
        <v/>
      </c>
      <c r="D440" s="151" t="n">
        <f aca="false">IF(AND(ISNUMBER('12_Datos_5m'!I440),ISNUMBER('12_Datos_5m'!I439)),'12_Datos_5m'!I440-'12_Datos_5m'!I439,0)</f>
        <v>0</v>
      </c>
      <c r="E440" s="151" t="n">
        <f aca="false">MAX(0,D440)</f>
        <v>0</v>
      </c>
      <c r="F440" s="151" t="n">
        <f aca="false">IF(AND(ISNUMBER('12_Datos_5m'!G440),N('12_Datos_5m'!G440)&gt;0),'12_Datos_5m'!H440/'12_Datos_5m'!G440,0.5)</f>
        <v>0.5</v>
      </c>
      <c r="G440" s="151" t="n">
        <f aca="false">IF(ISNUMBER(C440),($C$2-C440)/3600000,0)</f>
        <v>0</v>
      </c>
      <c r="H440" s="151" t="n">
        <f aca="false">EXP(-G440/'13_Mapa_Liq'!$B$7)</f>
        <v>1</v>
      </c>
      <c r="I440" s="151" t="n">
        <f aca="false">E440*F440*H440</f>
        <v>0</v>
      </c>
      <c r="J440" s="151" t="n">
        <f aca="false">E440*(1-F440)*H440</f>
        <v>0</v>
      </c>
      <c r="K440" s="151" t="n">
        <f aca="false">IF(COUNT('12_Datos_5m'!E441:E$504)=0,1000000000000,MIN('12_Datos_5m'!E441:E$504))</f>
        <v>1000000000000</v>
      </c>
      <c r="L440" s="151" t="n">
        <f aca="false">IF(COUNT('12_Datos_5m'!D441:D$504)=0,0,MAX('12_Datos_5m'!D441:D$504))</f>
        <v>0</v>
      </c>
      <c r="M440" s="151" t="str">
        <f aca="false">IF(ISNUMBER(B440),B440*(1-1/'13_Mapa_Liq'!$B$15+'13_Mapa_Liq'!$B$6),"")</f>
        <v/>
      </c>
      <c r="N440" s="151" t="n">
        <f aca="false">IF(ISNUMBER(B440),IF(K440&gt;M440,I440*'13_Mapa_Liq'!$C$15,0),0)</f>
        <v>0</v>
      </c>
      <c r="O440" s="151" t="str">
        <f aca="false">IF(ISNUMBER(B440),B440*(1+1/'13_Mapa_Liq'!$B$15-'13_Mapa_Liq'!$B$6),"")</f>
        <v/>
      </c>
      <c r="P440" s="151" t="n">
        <f aca="false">IF(ISNUMBER(B440),IF(L440&lt;O440,J440*'13_Mapa_Liq'!$C$15,0),0)</f>
        <v>0</v>
      </c>
      <c r="Q440" s="151" t="str">
        <f aca="false">IF(ISNUMBER(B440),B440*(1-1/'13_Mapa_Liq'!$B$16+'13_Mapa_Liq'!$B$6),"")</f>
        <v/>
      </c>
      <c r="R440" s="151" t="n">
        <f aca="false">IF(ISNUMBER(B440),IF(K440&gt;Q440,I440*'13_Mapa_Liq'!$C$16,0),0)</f>
        <v>0</v>
      </c>
      <c r="S440" s="151" t="str">
        <f aca="false">IF(ISNUMBER(B440),B440*(1+1/'13_Mapa_Liq'!$B$16-'13_Mapa_Liq'!$B$6),"")</f>
        <v/>
      </c>
      <c r="T440" s="151" t="n">
        <f aca="false">IF(ISNUMBER(B440),IF(L440&lt;S440,J440*'13_Mapa_Liq'!$C$16,0),0)</f>
        <v>0</v>
      </c>
      <c r="U440" s="151" t="str">
        <f aca="false">IF(ISNUMBER(B440),B440*(1-1/'13_Mapa_Liq'!$B$17+'13_Mapa_Liq'!$B$6),"")</f>
        <v/>
      </c>
      <c r="V440" s="151" t="n">
        <f aca="false">IF(ISNUMBER(B440),IF(K440&gt;U440,I440*'13_Mapa_Liq'!$C$17,0),0)</f>
        <v>0</v>
      </c>
      <c r="W440" s="151" t="str">
        <f aca="false">IF(ISNUMBER(B440),B440*(1+1/'13_Mapa_Liq'!$B$17-'13_Mapa_Liq'!$B$6),"")</f>
        <v/>
      </c>
      <c r="X440" s="151" t="n">
        <f aca="false">IF(ISNUMBER(B440),IF(L440&lt;W440,J440*'13_Mapa_Liq'!$C$17,0),0)</f>
        <v>0</v>
      </c>
      <c r="Y440" s="151" t="str">
        <f aca="false">IF(ISNUMBER(B440),B440*(1-1/'13_Mapa_Liq'!$B$18+'13_Mapa_Liq'!$B$6),"")</f>
        <v/>
      </c>
      <c r="Z440" s="151" t="n">
        <f aca="false">IF(ISNUMBER(B440),IF(K440&gt;Y440,I440*'13_Mapa_Liq'!$C$18,0),0)</f>
        <v>0</v>
      </c>
      <c r="AA440" s="151" t="str">
        <f aca="false">IF(ISNUMBER(B440),B440*(1+1/'13_Mapa_Liq'!$B$18-'13_Mapa_Liq'!$B$6),"")</f>
        <v/>
      </c>
      <c r="AB440" s="151" t="n">
        <f aca="false">IF(ISNUMBER(B440),IF(L440&lt;AA440,J440*'13_Mapa_Liq'!$C$18,0),0)</f>
        <v>0</v>
      </c>
      <c r="AC440" s="151" t="str">
        <f aca="false">IF(ISNUMBER(B440),B440*(1-1/'13_Mapa_Liq'!$B$19+'13_Mapa_Liq'!$B$6),"")</f>
        <v/>
      </c>
      <c r="AD440" s="151" t="n">
        <f aca="false">IF(ISNUMBER(B440),IF(K440&gt;AC440,I440*'13_Mapa_Liq'!$C$19,0),0)</f>
        <v>0</v>
      </c>
      <c r="AE440" s="151" t="str">
        <f aca="false">IF(ISNUMBER(B440),B440*(1+1/'13_Mapa_Liq'!$B$19-'13_Mapa_Liq'!$B$6),"")</f>
        <v/>
      </c>
      <c r="AF440" s="151" t="n">
        <f aca="false">IF(ISNUMBER(B440),IF(L440&lt;AE440,J440*'13_Mapa_Liq'!$C$19,0),0)</f>
        <v>0</v>
      </c>
      <c r="AG440" s="151"/>
      <c r="AH440" s="151" t="n">
        <f aca="false">IF(ISNUMBER(B440),E440*F440*((K440&lt;=M440)*'13_Mapa_Liq'!$C$15+(K440&lt;=Q440)*'13_Mapa_Liq'!$C$16+(K440&lt;=U440)*'13_Mapa_Liq'!$C$17+(K440&lt;=Y440)*'13_Mapa_Liq'!$C$18+(K440&lt;=AC440)*'13_Mapa_Liq'!$C$19),0)</f>
        <v>0</v>
      </c>
      <c r="AI440" s="151" t="n">
        <f aca="false">IF(ISNUMBER(B440),E440*(1-F440)*((L440&gt;=O440)*'13_Mapa_Liq'!$C$15+(L440&gt;=S440)*'13_Mapa_Liq'!$C$16+(L440&gt;=W440)*'13_Mapa_Liq'!$C$17+(L440&gt;=AA440)*'13_Mapa_Liq'!$C$18+(L440&gt;=AE440)*'13_Mapa_Liq'!$C$19),0)</f>
        <v>0</v>
      </c>
    </row>
    <row r="441" customFormat="false" ht="15" hidden="false" customHeight="false" outlineLevel="0" collapsed="false">
      <c r="A441" s="151" t="str">
        <f aca="false">IF(ISNUMBER('12_Datos_5m'!F441),ROW()-4,"")</f>
        <v/>
      </c>
      <c r="B441" s="151" t="str">
        <f aca="false">IF(ISNUMBER('12_Datos_5m'!F441),'12_Datos_5m'!F441,"")</f>
        <v/>
      </c>
      <c r="C441" s="151" t="str">
        <f aca="false">IF(ISNUMBER('12_Datos_5m'!A441),'12_Datos_5m'!A441,"")</f>
        <v/>
      </c>
      <c r="D441" s="151" t="n">
        <f aca="false">IF(AND(ISNUMBER('12_Datos_5m'!I441),ISNUMBER('12_Datos_5m'!I440)),'12_Datos_5m'!I441-'12_Datos_5m'!I440,0)</f>
        <v>0</v>
      </c>
      <c r="E441" s="151" t="n">
        <f aca="false">MAX(0,D441)</f>
        <v>0</v>
      </c>
      <c r="F441" s="151" t="n">
        <f aca="false">IF(AND(ISNUMBER('12_Datos_5m'!G441),N('12_Datos_5m'!G441)&gt;0),'12_Datos_5m'!H441/'12_Datos_5m'!G441,0.5)</f>
        <v>0.5</v>
      </c>
      <c r="G441" s="151" t="n">
        <f aca="false">IF(ISNUMBER(C441),($C$2-C441)/3600000,0)</f>
        <v>0</v>
      </c>
      <c r="H441" s="151" t="n">
        <f aca="false">EXP(-G441/'13_Mapa_Liq'!$B$7)</f>
        <v>1</v>
      </c>
      <c r="I441" s="151" t="n">
        <f aca="false">E441*F441*H441</f>
        <v>0</v>
      </c>
      <c r="J441" s="151" t="n">
        <f aca="false">E441*(1-F441)*H441</f>
        <v>0</v>
      </c>
      <c r="K441" s="151" t="n">
        <f aca="false">IF(COUNT('12_Datos_5m'!E442:E$504)=0,1000000000000,MIN('12_Datos_5m'!E442:E$504))</f>
        <v>1000000000000</v>
      </c>
      <c r="L441" s="151" t="n">
        <f aca="false">IF(COUNT('12_Datos_5m'!D442:D$504)=0,0,MAX('12_Datos_5m'!D442:D$504))</f>
        <v>0</v>
      </c>
      <c r="M441" s="151" t="str">
        <f aca="false">IF(ISNUMBER(B441),B441*(1-1/'13_Mapa_Liq'!$B$15+'13_Mapa_Liq'!$B$6),"")</f>
        <v/>
      </c>
      <c r="N441" s="151" t="n">
        <f aca="false">IF(ISNUMBER(B441),IF(K441&gt;M441,I441*'13_Mapa_Liq'!$C$15,0),0)</f>
        <v>0</v>
      </c>
      <c r="O441" s="151" t="str">
        <f aca="false">IF(ISNUMBER(B441),B441*(1+1/'13_Mapa_Liq'!$B$15-'13_Mapa_Liq'!$B$6),"")</f>
        <v/>
      </c>
      <c r="P441" s="151" t="n">
        <f aca="false">IF(ISNUMBER(B441),IF(L441&lt;O441,J441*'13_Mapa_Liq'!$C$15,0),0)</f>
        <v>0</v>
      </c>
      <c r="Q441" s="151" t="str">
        <f aca="false">IF(ISNUMBER(B441),B441*(1-1/'13_Mapa_Liq'!$B$16+'13_Mapa_Liq'!$B$6),"")</f>
        <v/>
      </c>
      <c r="R441" s="151" t="n">
        <f aca="false">IF(ISNUMBER(B441),IF(K441&gt;Q441,I441*'13_Mapa_Liq'!$C$16,0),0)</f>
        <v>0</v>
      </c>
      <c r="S441" s="151" t="str">
        <f aca="false">IF(ISNUMBER(B441),B441*(1+1/'13_Mapa_Liq'!$B$16-'13_Mapa_Liq'!$B$6),"")</f>
        <v/>
      </c>
      <c r="T441" s="151" t="n">
        <f aca="false">IF(ISNUMBER(B441),IF(L441&lt;S441,J441*'13_Mapa_Liq'!$C$16,0),0)</f>
        <v>0</v>
      </c>
      <c r="U441" s="151" t="str">
        <f aca="false">IF(ISNUMBER(B441),B441*(1-1/'13_Mapa_Liq'!$B$17+'13_Mapa_Liq'!$B$6),"")</f>
        <v/>
      </c>
      <c r="V441" s="151" t="n">
        <f aca="false">IF(ISNUMBER(B441),IF(K441&gt;U441,I441*'13_Mapa_Liq'!$C$17,0),0)</f>
        <v>0</v>
      </c>
      <c r="W441" s="151" t="str">
        <f aca="false">IF(ISNUMBER(B441),B441*(1+1/'13_Mapa_Liq'!$B$17-'13_Mapa_Liq'!$B$6),"")</f>
        <v/>
      </c>
      <c r="X441" s="151" t="n">
        <f aca="false">IF(ISNUMBER(B441),IF(L441&lt;W441,J441*'13_Mapa_Liq'!$C$17,0),0)</f>
        <v>0</v>
      </c>
      <c r="Y441" s="151" t="str">
        <f aca="false">IF(ISNUMBER(B441),B441*(1-1/'13_Mapa_Liq'!$B$18+'13_Mapa_Liq'!$B$6),"")</f>
        <v/>
      </c>
      <c r="Z441" s="151" t="n">
        <f aca="false">IF(ISNUMBER(B441),IF(K441&gt;Y441,I441*'13_Mapa_Liq'!$C$18,0),0)</f>
        <v>0</v>
      </c>
      <c r="AA441" s="151" t="str">
        <f aca="false">IF(ISNUMBER(B441),B441*(1+1/'13_Mapa_Liq'!$B$18-'13_Mapa_Liq'!$B$6),"")</f>
        <v/>
      </c>
      <c r="AB441" s="151" t="n">
        <f aca="false">IF(ISNUMBER(B441),IF(L441&lt;AA441,J441*'13_Mapa_Liq'!$C$18,0),0)</f>
        <v>0</v>
      </c>
      <c r="AC441" s="151" t="str">
        <f aca="false">IF(ISNUMBER(B441),B441*(1-1/'13_Mapa_Liq'!$B$19+'13_Mapa_Liq'!$B$6),"")</f>
        <v/>
      </c>
      <c r="AD441" s="151" t="n">
        <f aca="false">IF(ISNUMBER(B441),IF(K441&gt;AC441,I441*'13_Mapa_Liq'!$C$19,0),0)</f>
        <v>0</v>
      </c>
      <c r="AE441" s="151" t="str">
        <f aca="false">IF(ISNUMBER(B441),B441*(1+1/'13_Mapa_Liq'!$B$19-'13_Mapa_Liq'!$B$6),"")</f>
        <v/>
      </c>
      <c r="AF441" s="151" t="n">
        <f aca="false">IF(ISNUMBER(B441),IF(L441&lt;AE441,J441*'13_Mapa_Liq'!$C$19,0),0)</f>
        <v>0</v>
      </c>
      <c r="AG441" s="151"/>
      <c r="AH441" s="151" t="n">
        <f aca="false">IF(ISNUMBER(B441),E441*F441*((K441&lt;=M441)*'13_Mapa_Liq'!$C$15+(K441&lt;=Q441)*'13_Mapa_Liq'!$C$16+(K441&lt;=U441)*'13_Mapa_Liq'!$C$17+(K441&lt;=Y441)*'13_Mapa_Liq'!$C$18+(K441&lt;=AC441)*'13_Mapa_Liq'!$C$19),0)</f>
        <v>0</v>
      </c>
      <c r="AI441" s="151" t="n">
        <f aca="false">IF(ISNUMBER(B441),E441*(1-F441)*((L441&gt;=O441)*'13_Mapa_Liq'!$C$15+(L441&gt;=S441)*'13_Mapa_Liq'!$C$16+(L441&gt;=W441)*'13_Mapa_Liq'!$C$17+(L441&gt;=AA441)*'13_Mapa_Liq'!$C$18+(L441&gt;=AE441)*'13_Mapa_Liq'!$C$19),0)</f>
        <v>0</v>
      </c>
    </row>
    <row r="442" customFormat="false" ht="15" hidden="false" customHeight="false" outlineLevel="0" collapsed="false">
      <c r="A442" s="151" t="str">
        <f aca="false">IF(ISNUMBER('12_Datos_5m'!F442),ROW()-4,"")</f>
        <v/>
      </c>
      <c r="B442" s="151" t="str">
        <f aca="false">IF(ISNUMBER('12_Datos_5m'!F442),'12_Datos_5m'!F442,"")</f>
        <v/>
      </c>
      <c r="C442" s="151" t="str">
        <f aca="false">IF(ISNUMBER('12_Datos_5m'!A442),'12_Datos_5m'!A442,"")</f>
        <v/>
      </c>
      <c r="D442" s="151" t="n">
        <f aca="false">IF(AND(ISNUMBER('12_Datos_5m'!I442),ISNUMBER('12_Datos_5m'!I441)),'12_Datos_5m'!I442-'12_Datos_5m'!I441,0)</f>
        <v>0</v>
      </c>
      <c r="E442" s="151" t="n">
        <f aca="false">MAX(0,D442)</f>
        <v>0</v>
      </c>
      <c r="F442" s="151" t="n">
        <f aca="false">IF(AND(ISNUMBER('12_Datos_5m'!G442),N('12_Datos_5m'!G442)&gt;0),'12_Datos_5m'!H442/'12_Datos_5m'!G442,0.5)</f>
        <v>0.5</v>
      </c>
      <c r="G442" s="151" t="n">
        <f aca="false">IF(ISNUMBER(C442),($C$2-C442)/3600000,0)</f>
        <v>0</v>
      </c>
      <c r="H442" s="151" t="n">
        <f aca="false">EXP(-G442/'13_Mapa_Liq'!$B$7)</f>
        <v>1</v>
      </c>
      <c r="I442" s="151" t="n">
        <f aca="false">E442*F442*H442</f>
        <v>0</v>
      </c>
      <c r="J442" s="151" t="n">
        <f aca="false">E442*(1-F442)*H442</f>
        <v>0</v>
      </c>
      <c r="K442" s="151" t="n">
        <f aca="false">IF(COUNT('12_Datos_5m'!E443:E$504)=0,1000000000000,MIN('12_Datos_5m'!E443:E$504))</f>
        <v>1000000000000</v>
      </c>
      <c r="L442" s="151" t="n">
        <f aca="false">IF(COUNT('12_Datos_5m'!D443:D$504)=0,0,MAX('12_Datos_5m'!D443:D$504))</f>
        <v>0</v>
      </c>
      <c r="M442" s="151" t="str">
        <f aca="false">IF(ISNUMBER(B442),B442*(1-1/'13_Mapa_Liq'!$B$15+'13_Mapa_Liq'!$B$6),"")</f>
        <v/>
      </c>
      <c r="N442" s="151" t="n">
        <f aca="false">IF(ISNUMBER(B442),IF(K442&gt;M442,I442*'13_Mapa_Liq'!$C$15,0),0)</f>
        <v>0</v>
      </c>
      <c r="O442" s="151" t="str">
        <f aca="false">IF(ISNUMBER(B442),B442*(1+1/'13_Mapa_Liq'!$B$15-'13_Mapa_Liq'!$B$6),"")</f>
        <v/>
      </c>
      <c r="P442" s="151" t="n">
        <f aca="false">IF(ISNUMBER(B442),IF(L442&lt;O442,J442*'13_Mapa_Liq'!$C$15,0),0)</f>
        <v>0</v>
      </c>
      <c r="Q442" s="151" t="str">
        <f aca="false">IF(ISNUMBER(B442),B442*(1-1/'13_Mapa_Liq'!$B$16+'13_Mapa_Liq'!$B$6),"")</f>
        <v/>
      </c>
      <c r="R442" s="151" t="n">
        <f aca="false">IF(ISNUMBER(B442),IF(K442&gt;Q442,I442*'13_Mapa_Liq'!$C$16,0),0)</f>
        <v>0</v>
      </c>
      <c r="S442" s="151" t="str">
        <f aca="false">IF(ISNUMBER(B442),B442*(1+1/'13_Mapa_Liq'!$B$16-'13_Mapa_Liq'!$B$6),"")</f>
        <v/>
      </c>
      <c r="T442" s="151" t="n">
        <f aca="false">IF(ISNUMBER(B442),IF(L442&lt;S442,J442*'13_Mapa_Liq'!$C$16,0),0)</f>
        <v>0</v>
      </c>
      <c r="U442" s="151" t="str">
        <f aca="false">IF(ISNUMBER(B442),B442*(1-1/'13_Mapa_Liq'!$B$17+'13_Mapa_Liq'!$B$6),"")</f>
        <v/>
      </c>
      <c r="V442" s="151" t="n">
        <f aca="false">IF(ISNUMBER(B442),IF(K442&gt;U442,I442*'13_Mapa_Liq'!$C$17,0),0)</f>
        <v>0</v>
      </c>
      <c r="W442" s="151" t="str">
        <f aca="false">IF(ISNUMBER(B442),B442*(1+1/'13_Mapa_Liq'!$B$17-'13_Mapa_Liq'!$B$6),"")</f>
        <v/>
      </c>
      <c r="X442" s="151" t="n">
        <f aca="false">IF(ISNUMBER(B442),IF(L442&lt;W442,J442*'13_Mapa_Liq'!$C$17,0),0)</f>
        <v>0</v>
      </c>
      <c r="Y442" s="151" t="str">
        <f aca="false">IF(ISNUMBER(B442),B442*(1-1/'13_Mapa_Liq'!$B$18+'13_Mapa_Liq'!$B$6),"")</f>
        <v/>
      </c>
      <c r="Z442" s="151" t="n">
        <f aca="false">IF(ISNUMBER(B442),IF(K442&gt;Y442,I442*'13_Mapa_Liq'!$C$18,0),0)</f>
        <v>0</v>
      </c>
      <c r="AA442" s="151" t="str">
        <f aca="false">IF(ISNUMBER(B442),B442*(1+1/'13_Mapa_Liq'!$B$18-'13_Mapa_Liq'!$B$6),"")</f>
        <v/>
      </c>
      <c r="AB442" s="151" t="n">
        <f aca="false">IF(ISNUMBER(B442),IF(L442&lt;AA442,J442*'13_Mapa_Liq'!$C$18,0),0)</f>
        <v>0</v>
      </c>
      <c r="AC442" s="151" t="str">
        <f aca="false">IF(ISNUMBER(B442),B442*(1-1/'13_Mapa_Liq'!$B$19+'13_Mapa_Liq'!$B$6),"")</f>
        <v/>
      </c>
      <c r="AD442" s="151" t="n">
        <f aca="false">IF(ISNUMBER(B442),IF(K442&gt;AC442,I442*'13_Mapa_Liq'!$C$19,0),0)</f>
        <v>0</v>
      </c>
      <c r="AE442" s="151" t="str">
        <f aca="false">IF(ISNUMBER(B442),B442*(1+1/'13_Mapa_Liq'!$B$19-'13_Mapa_Liq'!$B$6),"")</f>
        <v/>
      </c>
      <c r="AF442" s="151" t="n">
        <f aca="false">IF(ISNUMBER(B442),IF(L442&lt;AE442,J442*'13_Mapa_Liq'!$C$19,0),0)</f>
        <v>0</v>
      </c>
      <c r="AG442" s="151"/>
      <c r="AH442" s="151" t="n">
        <f aca="false">IF(ISNUMBER(B442),E442*F442*((K442&lt;=M442)*'13_Mapa_Liq'!$C$15+(K442&lt;=Q442)*'13_Mapa_Liq'!$C$16+(K442&lt;=U442)*'13_Mapa_Liq'!$C$17+(K442&lt;=Y442)*'13_Mapa_Liq'!$C$18+(K442&lt;=AC442)*'13_Mapa_Liq'!$C$19),0)</f>
        <v>0</v>
      </c>
      <c r="AI442" s="151" t="n">
        <f aca="false">IF(ISNUMBER(B442),E442*(1-F442)*((L442&gt;=O442)*'13_Mapa_Liq'!$C$15+(L442&gt;=S442)*'13_Mapa_Liq'!$C$16+(L442&gt;=W442)*'13_Mapa_Liq'!$C$17+(L442&gt;=AA442)*'13_Mapa_Liq'!$C$18+(L442&gt;=AE442)*'13_Mapa_Liq'!$C$19),0)</f>
        <v>0</v>
      </c>
    </row>
    <row r="443" customFormat="false" ht="15" hidden="false" customHeight="false" outlineLevel="0" collapsed="false">
      <c r="A443" s="151" t="str">
        <f aca="false">IF(ISNUMBER('12_Datos_5m'!F443),ROW()-4,"")</f>
        <v/>
      </c>
      <c r="B443" s="151" t="str">
        <f aca="false">IF(ISNUMBER('12_Datos_5m'!F443),'12_Datos_5m'!F443,"")</f>
        <v/>
      </c>
      <c r="C443" s="151" t="str">
        <f aca="false">IF(ISNUMBER('12_Datos_5m'!A443),'12_Datos_5m'!A443,"")</f>
        <v/>
      </c>
      <c r="D443" s="151" t="n">
        <f aca="false">IF(AND(ISNUMBER('12_Datos_5m'!I443),ISNUMBER('12_Datos_5m'!I442)),'12_Datos_5m'!I443-'12_Datos_5m'!I442,0)</f>
        <v>0</v>
      </c>
      <c r="E443" s="151" t="n">
        <f aca="false">MAX(0,D443)</f>
        <v>0</v>
      </c>
      <c r="F443" s="151" t="n">
        <f aca="false">IF(AND(ISNUMBER('12_Datos_5m'!G443),N('12_Datos_5m'!G443)&gt;0),'12_Datos_5m'!H443/'12_Datos_5m'!G443,0.5)</f>
        <v>0.5</v>
      </c>
      <c r="G443" s="151" t="n">
        <f aca="false">IF(ISNUMBER(C443),($C$2-C443)/3600000,0)</f>
        <v>0</v>
      </c>
      <c r="H443" s="151" t="n">
        <f aca="false">EXP(-G443/'13_Mapa_Liq'!$B$7)</f>
        <v>1</v>
      </c>
      <c r="I443" s="151" t="n">
        <f aca="false">E443*F443*H443</f>
        <v>0</v>
      </c>
      <c r="J443" s="151" t="n">
        <f aca="false">E443*(1-F443)*H443</f>
        <v>0</v>
      </c>
      <c r="K443" s="151" t="n">
        <f aca="false">IF(COUNT('12_Datos_5m'!E444:E$504)=0,1000000000000,MIN('12_Datos_5m'!E444:E$504))</f>
        <v>1000000000000</v>
      </c>
      <c r="L443" s="151" t="n">
        <f aca="false">IF(COUNT('12_Datos_5m'!D444:D$504)=0,0,MAX('12_Datos_5m'!D444:D$504))</f>
        <v>0</v>
      </c>
      <c r="M443" s="151" t="str">
        <f aca="false">IF(ISNUMBER(B443),B443*(1-1/'13_Mapa_Liq'!$B$15+'13_Mapa_Liq'!$B$6),"")</f>
        <v/>
      </c>
      <c r="N443" s="151" t="n">
        <f aca="false">IF(ISNUMBER(B443),IF(K443&gt;M443,I443*'13_Mapa_Liq'!$C$15,0),0)</f>
        <v>0</v>
      </c>
      <c r="O443" s="151" t="str">
        <f aca="false">IF(ISNUMBER(B443),B443*(1+1/'13_Mapa_Liq'!$B$15-'13_Mapa_Liq'!$B$6),"")</f>
        <v/>
      </c>
      <c r="P443" s="151" t="n">
        <f aca="false">IF(ISNUMBER(B443),IF(L443&lt;O443,J443*'13_Mapa_Liq'!$C$15,0),0)</f>
        <v>0</v>
      </c>
      <c r="Q443" s="151" t="str">
        <f aca="false">IF(ISNUMBER(B443),B443*(1-1/'13_Mapa_Liq'!$B$16+'13_Mapa_Liq'!$B$6),"")</f>
        <v/>
      </c>
      <c r="R443" s="151" t="n">
        <f aca="false">IF(ISNUMBER(B443),IF(K443&gt;Q443,I443*'13_Mapa_Liq'!$C$16,0),0)</f>
        <v>0</v>
      </c>
      <c r="S443" s="151" t="str">
        <f aca="false">IF(ISNUMBER(B443),B443*(1+1/'13_Mapa_Liq'!$B$16-'13_Mapa_Liq'!$B$6),"")</f>
        <v/>
      </c>
      <c r="T443" s="151" t="n">
        <f aca="false">IF(ISNUMBER(B443),IF(L443&lt;S443,J443*'13_Mapa_Liq'!$C$16,0),0)</f>
        <v>0</v>
      </c>
      <c r="U443" s="151" t="str">
        <f aca="false">IF(ISNUMBER(B443),B443*(1-1/'13_Mapa_Liq'!$B$17+'13_Mapa_Liq'!$B$6),"")</f>
        <v/>
      </c>
      <c r="V443" s="151" t="n">
        <f aca="false">IF(ISNUMBER(B443),IF(K443&gt;U443,I443*'13_Mapa_Liq'!$C$17,0),0)</f>
        <v>0</v>
      </c>
      <c r="W443" s="151" t="str">
        <f aca="false">IF(ISNUMBER(B443),B443*(1+1/'13_Mapa_Liq'!$B$17-'13_Mapa_Liq'!$B$6),"")</f>
        <v/>
      </c>
      <c r="X443" s="151" t="n">
        <f aca="false">IF(ISNUMBER(B443),IF(L443&lt;W443,J443*'13_Mapa_Liq'!$C$17,0),0)</f>
        <v>0</v>
      </c>
      <c r="Y443" s="151" t="str">
        <f aca="false">IF(ISNUMBER(B443),B443*(1-1/'13_Mapa_Liq'!$B$18+'13_Mapa_Liq'!$B$6),"")</f>
        <v/>
      </c>
      <c r="Z443" s="151" t="n">
        <f aca="false">IF(ISNUMBER(B443),IF(K443&gt;Y443,I443*'13_Mapa_Liq'!$C$18,0),0)</f>
        <v>0</v>
      </c>
      <c r="AA443" s="151" t="str">
        <f aca="false">IF(ISNUMBER(B443),B443*(1+1/'13_Mapa_Liq'!$B$18-'13_Mapa_Liq'!$B$6),"")</f>
        <v/>
      </c>
      <c r="AB443" s="151" t="n">
        <f aca="false">IF(ISNUMBER(B443),IF(L443&lt;AA443,J443*'13_Mapa_Liq'!$C$18,0),0)</f>
        <v>0</v>
      </c>
      <c r="AC443" s="151" t="str">
        <f aca="false">IF(ISNUMBER(B443),B443*(1-1/'13_Mapa_Liq'!$B$19+'13_Mapa_Liq'!$B$6),"")</f>
        <v/>
      </c>
      <c r="AD443" s="151" t="n">
        <f aca="false">IF(ISNUMBER(B443),IF(K443&gt;AC443,I443*'13_Mapa_Liq'!$C$19,0),0)</f>
        <v>0</v>
      </c>
      <c r="AE443" s="151" t="str">
        <f aca="false">IF(ISNUMBER(B443),B443*(1+1/'13_Mapa_Liq'!$B$19-'13_Mapa_Liq'!$B$6),"")</f>
        <v/>
      </c>
      <c r="AF443" s="151" t="n">
        <f aca="false">IF(ISNUMBER(B443),IF(L443&lt;AE443,J443*'13_Mapa_Liq'!$C$19,0),0)</f>
        <v>0</v>
      </c>
      <c r="AG443" s="151"/>
      <c r="AH443" s="151" t="n">
        <f aca="false">IF(ISNUMBER(B443),E443*F443*((K443&lt;=M443)*'13_Mapa_Liq'!$C$15+(K443&lt;=Q443)*'13_Mapa_Liq'!$C$16+(K443&lt;=U443)*'13_Mapa_Liq'!$C$17+(K443&lt;=Y443)*'13_Mapa_Liq'!$C$18+(K443&lt;=AC443)*'13_Mapa_Liq'!$C$19),0)</f>
        <v>0</v>
      </c>
      <c r="AI443" s="151" t="n">
        <f aca="false">IF(ISNUMBER(B443),E443*(1-F443)*((L443&gt;=O443)*'13_Mapa_Liq'!$C$15+(L443&gt;=S443)*'13_Mapa_Liq'!$C$16+(L443&gt;=W443)*'13_Mapa_Liq'!$C$17+(L443&gt;=AA443)*'13_Mapa_Liq'!$C$18+(L443&gt;=AE443)*'13_Mapa_Liq'!$C$19),0)</f>
        <v>0</v>
      </c>
    </row>
    <row r="444" customFormat="false" ht="15" hidden="false" customHeight="false" outlineLevel="0" collapsed="false">
      <c r="A444" s="151" t="str">
        <f aca="false">IF(ISNUMBER('12_Datos_5m'!F444),ROW()-4,"")</f>
        <v/>
      </c>
      <c r="B444" s="151" t="str">
        <f aca="false">IF(ISNUMBER('12_Datos_5m'!F444),'12_Datos_5m'!F444,"")</f>
        <v/>
      </c>
      <c r="C444" s="151" t="str">
        <f aca="false">IF(ISNUMBER('12_Datos_5m'!A444),'12_Datos_5m'!A444,"")</f>
        <v/>
      </c>
      <c r="D444" s="151" t="n">
        <f aca="false">IF(AND(ISNUMBER('12_Datos_5m'!I444),ISNUMBER('12_Datos_5m'!I443)),'12_Datos_5m'!I444-'12_Datos_5m'!I443,0)</f>
        <v>0</v>
      </c>
      <c r="E444" s="151" t="n">
        <f aca="false">MAX(0,D444)</f>
        <v>0</v>
      </c>
      <c r="F444" s="151" t="n">
        <f aca="false">IF(AND(ISNUMBER('12_Datos_5m'!G444),N('12_Datos_5m'!G444)&gt;0),'12_Datos_5m'!H444/'12_Datos_5m'!G444,0.5)</f>
        <v>0.5</v>
      </c>
      <c r="G444" s="151" t="n">
        <f aca="false">IF(ISNUMBER(C444),($C$2-C444)/3600000,0)</f>
        <v>0</v>
      </c>
      <c r="H444" s="151" t="n">
        <f aca="false">EXP(-G444/'13_Mapa_Liq'!$B$7)</f>
        <v>1</v>
      </c>
      <c r="I444" s="151" t="n">
        <f aca="false">E444*F444*H444</f>
        <v>0</v>
      </c>
      <c r="J444" s="151" t="n">
        <f aca="false">E444*(1-F444)*H444</f>
        <v>0</v>
      </c>
      <c r="K444" s="151" t="n">
        <f aca="false">IF(COUNT('12_Datos_5m'!E445:E$504)=0,1000000000000,MIN('12_Datos_5m'!E445:E$504))</f>
        <v>1000000000000</v>
      </c>
      <c r="L444" s="151" t="n">
        <f aca="false">IF(COUNT('12_Datos_5m'!D445:D$504)=0,0,MAX('12_Datos_5m'!D445:D$504))</f>
        <v>0</v>
      </c>
      <c r="M444" s="151" t="str">
        <f aca="false">IF(ISNUMBER(B444),B444*(1-1/'13_Mapa_Liq'!$B$15+'13_Mapa_Liq'!$B$6),"")</f>
        <v/>
      </c>
      <c r="N444" s="151" t="n">
        <f aca="false">IF(ISNUMBER(B444),IF(K444&gt;M444,I444*'13_Mapa_Liq'!$C$15,0),0)</f>
        <v>0</v>
      </c>
      <c r="O444" s="151" t="str">
        <f aca="false">IF(ISNUMBER(B444),B444*(1+1/'13_Mapa_Liq'!$B$15-'13_Mapa_Liq'!$B$6),"")</f>
        <v/>
      </c>
      <c r="P444" s="151" t="n">
        <f aca="false">IF(ISNUMBER(B444),IF(L444&lt;O444,J444*'13_Mapa_Liq'!$C$15,0),0)</f>
        <v>0</v>
      </c>
      <c r="Q444" s="151" t="str">
        <f aca="false">IF(ISNUMBER(B444),B444*(1-1/'13_Mapa_Liq'!$B$16+'13_Mapa_Liq'!$B$6),"")</f>
        <v/>
      </c>
      <c r="R444" s="151" t="n">
        <f aca="false">IF(ISNUMBER(B444),IF(K444&gt;Q444,I444*'13_Mapa_Liq'!$C$16,0),0)</f>
        <v>0</v>
      </c>
      <c r="S444" s="151" t="str">
        <f aca="false">IF(ISNUMBER(B444),B444*(1+1/'13_Mapa_Liq'!$B$16-'13_Mapa_Liq'!$B$6),"")</f>
        <v/>
      </c>
      <c r="T444" s="151" t="n">
        <f aca="false">IF(ISNUMBER(B444),IF(L444&lt;S444,J444*'13_Mapa_Liq'!$C$16,0),0)</f>
        <v>0</v>
      </c>
      <c r="U444" s="151" t="str">
        <f aca="false">IF(ISNUMBER(B444),B444*(1-1/'13_Mapa_Liq'!$B$17+'13_Mapa_Liq'!$B$6),"")</f>
        <v/>
      </c>
      <c r="V444" s="151" t="n">
        <f aca="false">IF(ISNUMBER(B444),IF(K444&gt;U444,I444*'13_Mapa_Liq'!$C$17,0),0)</f>
        <v>0</v>
      </c>
      <c r="W444" s="151" t="str">
        <f aca="false">IF(ISNUMBER(B444),B444*(1+1/'13_Mapa_Liq'!$B$17-'13_Mapa_Liq'!$B$6),"")</f>
        <v/>
      </c>
      <c r="X444" s="151" t="n">
        <f aca="false">IF(ISNUMBER(B444),IF(L444&lt;W444,J444*'13_Mapa_Liq'!$C$17,0),0)</f>
        <v>0</v>
      </c>
      <c r="Y444" s="151" t="str">
        <f aca="false">IF(ISNUMBER(B444),B444*(1-1/'13_Mapa_Liq'!$B$18+'13_Mapa_Liq'!$B$6),"")</f>
        <v/>
      </c>
      <c r="Z444" s="151" t="n">
        <f aca="false">IF(ISNUMBER(B444),IF(K444&gt;Y444,I444*'13_Mapa_Liq'!$C$18,0),0)</f>
        <v>0</v>
      </c>
      <c r="AA444" s="151" t="str">
        <f aca="false">IF(ISNUMBER(B444),B444*(1+1/'13_Mapa_Liq'!$B$18-'13_Mapa_Liq'!$B$6),"")</f>
        <v/>
      </c>
      <c r="AB444" s="151" t="n">
        <f aca="false">IF(ISNUMBER(B444),IF(L444&lt;AA444,J444*'13_Mapa_Liq'!$C$18,0),0)</f>
        <v>0</v>
      </c>
      <c r="AC444" s="151" t="str">
        <f aca="false">IF(ISNUMBER(B444),B444*(1-1/'13_Mapa_Liq'!$B$19+'13_Mapa_Liq'!$B$6),"")</f>
        <v/>
      </c>
      <c r="AD444" s="151" t="n">
        <f aca="false">IF(ISNUMBER(B444),IF(K444&gt;AC444,I444*'13_Mapa_Liq'!$C$19,0),0)</f>
        <v>0</v>
      </c>
      <c r="AE444" s="151" t="str">
        <f aca="false">IF(ISNUMBER(B444),B444*(1+1/'13_Mapa_Liq'!$B$19-'13_Mapa_Liq'!$B$6),"")</f>
        <v/>
      </c>
      <c r="AF444" s="151" t="n">
        <f aca="false">IF(ISNUMBER(B444),IF(L444&lt;AE444,J444*'13_Mapa_Liq'!$C$19,0),0)</f>
        <v>0</v>
      </c>
      <c r="AG444" s="151"/>
      <c r="AH444" s="151" t="n">
        <f aca="false">IF(ISNUMBER(B444),E444*F444*((K444&lt;=M444)*'13_Mapa_Liq'!$C$15+(K444&lt;=Q444)*'13_Mapa_Liq'!$C$16+(K444&lt;=U444)*'13_Mapa_Liq'!$C$17+(K444&lt;=Y444)*'13_Mapa_Liq'!$C$18+(K444&lt;=AC444)*'13_Mapa_Liq'!$C$19),0)</f>
        <v>0</v>
      </c>
      <c r="AI444" s="151" t="n">
        <f aca="false">IF(ISNUMBER(B444),E444*(1-F444)*((L444&gt;=O444)*'13_Mapa_Liq'!$C$15+(L444&gt;=S444)*'13_Mapa_Liq'!$C$16+(L444&gt;=W444)*'13_Mapa_Liq'!$C$17+(L444&gt;=AA444)*'13_Mapa_Liq'!$C$18+(L444&gt;=AE444)*'13_Mapa_Liq'!$C$19),0)</f>
        <v>0</v>
      </c>
    </row>
    <row r="445" customFormat="false" ht="15" hidden="false" customHeight="false" outlineLevel="0" collapsed="false">
      <c r="A445" s="151" t="str">
        <f aca="false">IF(ISNUMBER('12_Datos_5m'!F445),ROW()-4,"")</f>
        <v/>
      </c>
      <c r="B445" s="151" t="str">
        <f aca="false">IF(ISNUMBER('12_Datos_5m'!F445),'12_Datos_5m'!F445,"")</f>
        <v/>
      </c>
      <c r="C445" s="151" t="str">
        <f aca="false">IF(ISNUMBER('12_Datos_5m'!A445),'12_Datos_5m'!A445,"")</f>
        <v/>
      </c>
      <c r="D445" s="151" t="n">
        <f aca="false">IF(AND(ISNUMBER('12_Datos_5m'!I445),ISNUMBER('12_Datos_5m'!I444)),'12_Datos_5m'!I445-'12_Datos_5m'!I444,0)</f>
        <v>0</v>
      </c>
      <c r="E445" s="151" t="n">
        <f aca="false">MAX(0,D445)</f>
        <v>0</v>
      </c>
      <c r="F445" s="151" t="n">
        <f aca="false">IF(AND(ISNUMBER('12_Datos_5m'!G445),N('12_Datos_5m'!G445)&gt;0),'12_Datos_5m'!H445/'12_Datos_5m'!G445,0.5)</f>
        <v>0.5</v>
      </c>
      <c r="G445" s="151" t="n">
        <f aca="false">IF(ISNUMBER(C445),($C$2-C445)/3600000,0)</f>
        <v>0</v>
      </c>
      <c r="H445" s="151" t="n">
        <f aca="false">EXP(-G445/'13_Mapa_Liq'!$B$7)</f>
        <v>1</v>
      </c>
      <c r="I445" s="151" t="n">
        <f aca="false">E445*F445*H445</f>
        <v>0</v>
      </c>
      <c r="J445" s="151" t="n">
        <f aca="false">E445*(1-F445)*H445</f>
        <v>0</v>
      </c>
      <c r="K445" s="151" t="n">
        <f aca="false">IF(COUNT('12_Datos_5m'!E446:E$504)=0,1000000000000,MIN('12_Datos_5m'!E446:E$504))</f>
        <v>1000000000000</v>
      </c>
      <c r="L445" s="151" t="n">
        <f aca="false">IF(COUNT('12_Datos_5m'!D446:D$504)=0,0,MAX('12_Datos_5m'!D446:D$504))</f>
        <v>0</v>
      </c>
      <c r="M445" s="151" t="str">
        <f aca="false">IF(ISNUMBER(B445),B445*(1-1/'13_Mapa_Liq'!$B$15+'13_Mapa_Liq'!$B$6),"")</f>
        <v/>
      </c>
      <c r="N445" s="151" t="n">
        <f aca="false">IF(ISNUMBER(B445),IF(K445&gt;M445,I445*'13_Mapa_Liq'!$C$15,0),0)</f>
        <v>0</v>
      </c>
      <c r="O445" s="151" t="str">
        <f aca="false">IF(ISNUMBER(B445),B445*(1+1/'13_Mapa_Liq'!$B$15-'13_Mapa_Liq'!$B$6),"")</f>
        <v/>
      </c>
      <c r="P445" s="151" t="n">
        <f aca="false">IF(ISNUMBER(B445),IF(L445&lt;O445,J445*'13_Mapa_Liq'!$C$15,0),0)</f>
        <v>0</v>
      </c>
      <c r="Q445" s="151" t="str">
        <f aca="false">IF(ISNUMBER(B445),B445*(1-1/'13_Mapa_Liq'!$B$16+'13_Mapa_Liq'!$B$6),"")</f>
        <v/>
      </c>
      <c r="R445" s="151" t="n">
        <f aca="false">IF(ISNUMBER(B445),IF(K445&gt;Q445,I445*'13_Mapa_Liq'!$C$16,0),0)</f>
        <v>0</v>
      </c>
      <c r="S445" s="151" t="str">
        <f aca="false">IF(ISNUMBER(B445),B445*(1+1/'13_Mapa_Liq'!$B$16-'13_Mapa_Liq'!$B$6),"")</f>
        <v/>
      </c>
      <c r="T445" s="151" t="n">
        <f aca="false">IF(ISNUMBER(B445),IF(L445&lt;S445,J445*'13_Mapa_Liq'!$C$16,0),0)</f>
        <v>0</v>
      </c>
      <c r="U445" s="151" t="str">
        <f aca="false">IF(ISNUMBER(B445),B445*(1-1/'13_Mapa_Liq'!$B$17+'13_Mapa_Liq'!$B$6),"")</f>
        <v/>
      </c>
      <c r="V445" s="151" t="n">
        <f aca="false">IF(ISNUMBER(B445),IF(K445&gt;U445,I445*'13_Mapa_Liq'!$C$17,0),0)</f>
        <v>0</v>
      </c>
      <c r="W445" s="151" t="str">
        <f aca="false">IF(ISNUMBER(B445),B445*(1+1/'13_Mapa_Liq'!$B$17-'13_Mapa_Liq'!$B$6),"")</f>
        <v/>
      </c>
      <c r="X445" s="151" t="n">
        <f aca="false">IF(ISNUMBER(B445),IF(L445&lt;W445,J445*'13_Mapa_Liq'!$C$17,0),0)</f>
        <v>0</v>
      </c>
      <c r="Y445" s="151" t="str">
        <f aca="false">IF(ISNUMBER(B445),B445*(1-1/'13_Mapa_Liq'!$B$18+'13_Mapa_Liq'!$B$6),"")</f>
        <v/>
      </c>
      <c r="Z445" s="151" t="n">
        <f aca="false">IF(ISNUMBER(B445),IF(K445&gt;Y445,I445*'13_Mapa_Liq'!$C$18,0),0)</f>
        <v>0</v>
      </c>
      <c r="AA445" s="151" t="str">
        <f aca="false">IF(ISNUMBER(B445),B445*(1+1/'13_Mapa_Liq'!$B$18-'13_Mapa_Liq'!$B$6),"")</f>
        <v/>
      </c>
      <c r="AB445" s="151" t="n">
        <f aca="false">IF(ISNUMBER(B445),IF(L445&lt;AA445,J445*'13_Mapa_Liq'!$C$18,0),0)</f>
        <v>0</v>
      </c>
      <c r="AC445" s="151" t="str">
        <f aca="false">IF(ISNUMBER(B445),B445*(1-1/'13_Mapa_Liq'!$B$19+'13_Mapa_Liq'!$B$6),"")</f>
        <v/>
      </c>
      <c r="AD445" s="151" t="n">
        <f aca="false">IF(ISNUMBER(B445),IF(K445&gt;AC445,I445*'13_Mapa_Liq'!$C$19,0),0)</f>
        <v>0</v>
      </c>
      <c r="AE445" s="151" t="str">
        <f aca="false">IF(ISNUMBER(B445),B445*(1+1/'13_Mapa_Liq'!$B$19-'13_Mapa_Liq'!$B$6),"")</f>
        <v/>
      </c>
      <c r="AF445" s="151" t="n">
        <f aca="false">IF(ISNUMBER(B445),IF(L445&lt;AE445,J445*'13_Mapa_Liq'!$C$19,0),0)</f>
        <v>0</v>
      </c>
      <c r="AG445" s="151"/>
      <c r="AH445" s="151" t="n">
        <f aca="false">IF(ISNUMBER(B445),E445*F445*((K445&lt;=M445)*'13_Mapa_Liq'!$C$15+(K445&lt;=Q445)*'13_Mapa_Liq'!$C$16+(K445&lt;=U445)*'13_Mapa_Liq'!$C$17+(K445&lt;=Y445)*'13_Mapa_Liq'!$C$18+(K445&lt;=AC445)*'13_Mapa_Liq'!$C$19),0)</f>
        <v>0</v>
      </c>
      <c r="AI445" s="151" t="n">
        <f aca="false">IF(ISNUMBER(B445),E445*(1-F445)*((L445&gt;=O445)*'13_Mapa_Liq'!$C$15+(L445&gt;=S445)*'13_Mapa_Liq'!$C$16+(L445&gt;=W445)*'13_Mapa_Liq'!$C$17+(L445&gt;=AA445)*'13_Mapa_Liq'!$C$18+(L445&gt;=AE445)*'13_Mapa_Liq'!$C$19),0)</f>
        <v>0</v>
      </c>
    </row>
    <row r="446" customFormat="false" ht="15" hidden="false" customHeight="false" outlineLevel="0" collapsed="false">
      <c r="A446" s="151" t="str">
        <f aca="false">IF(ISNUMBER('12_Datos_5m'!F446),ROW()-4,"")</f>
        <v/>
      </c>
      <c r="B446" s="151" t="str">
        <f aca="false">IF(ISNUMBER('12_Datos_5m'!F446),'12_Datos_5m'!F446,"")</f>
        <v/>
      </c>
      <c r="C446" s="151" t="str">
        <f aca="false">IF(ISNUMBER('12_Datos_5m'!A446),'12_Datos_5m'!A446,"")</f>
        <v/>
      </c>
      <c r="D446" s="151" t="n">
        <f aca="false">IF(AND(ISNUMBER('12_Datos_5m'!I446),ISNUMBER('12_Datos_5m'!I445)),'12_Datos_5m'!I446-'12_Datos_5m'!I445,0)</f>
        <v>0</v>
      </c>
      <c r="E446" s="151" t="n">
        <f aca="false">MAX(0,D446)</f>
        <v>0</v>
      </c>
      <c r="F446" s="151" t="n">
        <f aca="false">IF(AND(ISNUMBER('12_Datos_5m'!G446),N('12_Datos_5m'!G446)&gt;0),'12_Datos_5m'!H446/'12_Datos_5m'!G446,0.5)</f>
        <v>0.5</v>
      </c>
      <c r="G446" s="151" t="n">
        <f aca="false">IF(ISNUMBER(C446),($C$2-C446)/3600000,0)</f>
        <v>0</v>
      </c>
      <c r="H446" s="151" t="n">
        <f aca="false">EXP(-G446/'13_Mapa_Liq'!$B$7)</f>
        <v>1</v>
      </c>
      <c r="I446" s="151" t="n">
        <f aca="false">E446*F446*H446</f>
        <v>0</v>
      </c>
      <c r="J446" s="151" t="n">
        <f aca="false">E446*(1-F446)*H446</f>
        <v>0</v>
      </c>
      <c r="K446" s="151" t="n">
        <f aca="false">IF(COUNT('12_Datos_5m'!E447:E$504)=0,1000000000000,MIN('12_Datos_5m'!E447:E$504))</f>
        <v>1000000000000</v>
      </c>
      <c r="L446" s="151" t="n">
        <f aca="false">IF(COUNT('12_Datos_5m'!D447:D$504)=0,0,MAX('12_Datos_5m'!D447:D$504))</f>
        <v>0</v>
      </c>
      <c r="M446" s="151" t="str">
        <f aca="false">IF(ISNUMBER(B446),B446*(1-1/'13_Mapa_Liq'!$B$15+'13_Mapa_Liq'!$B$6),"")</f>
        <v/>
      </c>
      <c r="N446" s="151" t="n">
        <f aca="false">IF(ISNUMBER(B446),IF(K446&gt;M446,I446*'13_Mapa_Liq'!$C$15,0),0)</f>
        <v>0</v>
      </c>
      <c r="O446" s="151" t="str">
        <f aca="false">IF(ISNUMBER(B446),B446*(1+1/'13_Mapa_Liq'!$B$15-'13_Mapa_Liq'!$B$6),"")</f>
        <v/>
      </c>
      <c r="P446" s="151" t="n">
        <f aca="false">IF(ISNUMBER(B446),IF(L446&lt;O446,J446*'13_Mapa_Liq'!$C$15,0),0)</f>
        <v>0</v>
      </c>
      <c r="Q446" s="151" t="str">
        <f aca="false">IF(ISNUMBER(B446),B446*(1-1/'13_Mapa_Liq'!$B$16+'13_Mapa_Liq'!$B$6),"")</f>
        <v/>
      </c>
      <c r="R446" s="151" t="n">
        <f aca="false">IF(ISNUMBER(B446),IF(K446&gt;Q446,I446*'13_Mapa_Liq'!$C$16,0),0)</f>
        <v>0</v>
      </c>
      <c r="S446" s="151" t="str">
        <f aca="false">IF(ISNUMBER(B446),B446*(1+1/'13_Mapa_Liq'!$B$16-'13_Mapa_Liq'!$B$6),"")</f>
        <v/>
      </c>
      <c r="T446" s="151" t="n">
        <f aca="false">IF(ISNUMBER(B446),IF(L446&lt;S446,J446*'13_Mapa_Liq'!$C$16,0),0)</f>
        <v>0</v>
      </c>
      <c r="U446" s="151" t="str">
        <f aca="false">IF(ISNUMBER(B446),B446*(1-1/'13_Mapa_Liq'!$B$17+'13_Mapa_Liq'!$B$6),"")</f>
        <v/>
      </c>
      <c r="V446" s="151" t="n">
        <f aca="false">IF(ISNUMBER(B446),IF(K446&gt;U446,I446*'13_Mapa_Liq'!$C$17,0),0)</f>
        <v>0</v>
      </c>
      <c r="W446" s="151" t="str">
        <f aca="false">IF(ISNUMBER(B446),B446*(1+1/'13_Mapa_Liq'!$B$17-'13_Mapa_Liq'!$B$6),"")</f>
        <v/>
      </c>
      <c r="X446" s="151" t="n">
        <f aca="false">IF(ISNUMBER(B446),IF(L446&lt;W446,J446*'13_Mapa_Liq'!$C$17,0),0)</f>
        <v>0</v>
      </c>
      <c r="Y446" s="151" t="str">
        <f aca="false">IF(ISNUMBER(B446),B446*(1-1/'13_Mapa_Liq'!$B$18+'13_Mapa_Liq'!$B$6),"")</f>
        <v/>
      </c>
      <c r="Z446" s="151" t="n">
        <f aca="false">IF(ISNUMBER(B446),IF(K446&gt;Y446,I446*'13_Mapa_Liq'!$C$18,0),0)</f>
        <v>0</v>
      </c>
      <c r="AA446" s="151" t="str">
        <f aca="false">IF(ISNUMBER(B446),B446*(1+1/'13_Mapa_Liq'!$B$18-'13_Mapa_Liq'!$B$6),"")</f>
        <v/>
      </c>
      <c r="AB446" s="151" t="n">
        <f aca="false">IF(ISNUMBER(B446),IF(L446&lt;AA446,J446*'13_Mapa_Liq'!$C$18,0),0)</f>
        <v>0</v>
      </c>
      <c r="AC446" s="151" t="str">
        <f aca="false">IF(ISNUMBER(B446),B446*(1-1/'13_Mapa_Liq'!$B$19+'13_Mapa_Liq'!$B$6),"")</f>
        <v/>
      </c>
      <c r="AD446" s="151" t="n">
        <f aca="false">IF(ISNUMBER(B446),IF(K446&gt;AC446,I446*'13_Mapa_Liq'!$C$19,0),0)</f>
        <v>0</v>
      </c>
      <c r="AE446" s="151" t="str">
        <f aca="false">IF(ISNUMBER(B446),B446*(1+1/'13_Mapa_Liq'!$B$19-'13_Mapa_Liq'!$B$6),"")</f>
        <v/>
      </c>
      <c r="AF446" s="151" t="n">
        <f aca="false">IF(ISNUMBER(B446),IF(L446&lt;AE446,J446*'13_Mapa_Liq'!$C$19,0),0)</f>
        <v>0</v>
      </c>
      <c r="AG446" s="151"/>
      <c r="AH446" s="151" t="n">
        <f aca="false">IF(ISNUMBER(B446),E446*F446*((K446&lt;=M446)*'13_Mapa_Liq'!$C$15+(K446&lt;=Q446)*'13_Mapa_Liq'!$C$16+(K446&lt;=U446)*'13_Mapa_Liq'!$C$17+(K446&lt;=Y446)*'13_Mapa_Liq'!$C$18+(K446&lt;=AC446)*'13_Mapa_Liq'!$C$19),0)</f>
        <v>0</v>
      </c>
      <c r="AI446" s="151" t="n">
        <f aca="false">IF(ISNUMBER(B446),E446*(1-F446)*((L446&gt;=O446)*'13_Mapa_Liq'!$C$15+(L446&gt;=S446)*'13_Mapa_Liq'!$C$16+(L446&gt;=W446)*'13_Mapa_Liq'!$C$17+(L446&gt;=AA446)*'13_Mapa_Liq'!$C$18+(L446&gt;=AE446)*'13_Mapa_Liq'!$C$19),0)</f>
        <v>0</v>
      </c>
    </row>
    <row r="447" customFormat="false" ht="15" hidden="false" customHeight="false" outlineLevel="0" collapsed="false">
      <c r="A447" s="151" t="str">
        <f aca="false">IF(ISNUMBER('12_Datos_5m'!F447),ROW()-4,"")</f>
        <v/>
      </c>
      <c r="B447" s="151" t="str">
        <f aca="false">IF(ISNUMBER('12_Datos_5m'!F447),'12_Datos_5m'!F447,"")</f>
        <v/>
      </c>
      <c r="C447" s="151" t="str">
        <f aca="false">IF(ISNUMBER('12_Datos_5m'!A447),'12_Datos_5m'!A447,"")</f>
        <v/>
      </c>
      <c r="D447" s="151" t="n">
        <f aca="false">IF(AND(ISNUMBER('12_Datos_5m'!I447),ISNUMBER('12_Datos_5m'!I446)),'12_Datos_5m'!I447-'12_Datos_5m'!I446,0)</f>
        <v>0</v>
      </c>
      <c r="E447" s="151" t="n">
        <f aca="false">MAX(0,D447)</f>
        <v>0</v>
      </c>
      <c r="F447" s="151" t="n">
        <f aca="false">IF(AND(ISNUMBER('12_Datos_5m'!G447),N('12_Datos_5m'!G447)&gt;0),'12_Datos_5m'!H447/'12_Datos_5m'!G447,0.5)</f>
        <v>0.5</v>
      </c>
      <c r="G447" s="151" t="n">
        <f aca="false">IF(ISNUMBER(C447),($C$2-C447)/3600000,0)</f>
        <v>0</v>
      </c>
      <c r="H447" s="151" t="n">
        <f aca="false">EXP(-G447/'13_Mapa_Liq'!$B$7)</f>
        <v>1</v>
      </c>
      <c r="I447" s="151" t="n">
        <f aca="false">E447*F447*H447</f>
        <v>0</v>
      </c>
      <c r="J447" s="151" t="n">
        <f aca="false">E447*(1-F447)*H447</f>
        <v>0</v>
      </c>
      <c r="K447" s="151" t="n">
        <f aca="false">IF(COUNT('12_Datos_5m'!E448:E$504)=0,1000000000000,MIN('12_Datos_5m'!E448:E$504))</f>
        <v>1000000000000</v>
      </c>
      <c r="L447" s="151" t="n">
        <f aca="false">IF(COUNT('12_Datos_5m'!D448:D$504)=0,0,MAX('12_Datos_5m'!D448:D$504))</f>
        <v>0</v>
      </c>
      <c r="M447" s="151" t="str">
        <f aca="false">IF(ISNUMBER(B447),B447*(1-1/'13_Mapa_Liq'!$B$15+'13_Mapa_Liq'!$B$6),"")</f>
        <v/>
      </c>
      <c r="N447" s="151" t="n">
        <f aca="false">IF(ISNUMBER(B447),IF(K447&gt;M447,I447*'13_Mapa_Liq'!$C$15,0),0)</f>
        <v>0</v>
      </c>
      <c r="O447" s="151" t="str">
        <f aca="false">IF(ISNUMBER(B447),B447*(1+1/'13_Mapa_Liq'!$B$15-'13_Mapa_Liq'!$B$6),"")</f>
        <v/>
      </c>
      <c r="P447" s="151" t="n">
        <f aca="false">IF(ISNUMBER(B447),IF(L447&lt;O447,J447*'13_Mapa_Liq'!$C$15,0),0)</f>
        <v>0</v>
      </c>
      <c r="Q447" s="151" t="str">
        <f aca="false">IF(ISNUMBER(B447),B447*(1-1/'13_Mapa_Liq'!$B$16+'13_Mapa_Liq'!$B$6),"")</f>
        <v/>
      </c>
      <c r="R447" s="151" t="n">
        <f aca="false">IF(ISNUMBER(B447),IF(K447&gt;Q447,I447*'13_Mapa_Liq'!$C$16,0),0)</f>
        <v>0</v>
      </c>
      <c r="S447" s="151" t="str">
        <f aca="false">IF(ISNUMBER(B447),B447*(1+1/'13_Mapa_Liq'!$B$16-'13_Mapa_Liq'!$B$6),"")</f>
        <v/>
      </c>
      <c r="T447" s="151" t="n">
        <f aca="false">IF(ISNUMBER(B447),IF(L447&lt;S447,J447*'13_Mapa_Liq'!$C$16,0),0)</f>
        <v>0</v>
      </c>
      <c r="U447" s="151" t="str">
        <f aca="false">IF(ISNUMBER(B447),B447*(1-1/'13_Mapa_Liq'!$B$17+'13_Mapa_Liq'!$B$6),"")</f>
        <v/>
      </c>
      <c r="V447" s="151" t="n">
        <f aca="false">IF(ISNUMBER(B447),IF(K447&gt;U447,I447*'13_Mapa_Liq'!$C$17,0),0)</f>
        <v>0</v>
      </c>
      <c r="W447" s="151" t="str">
        <f aca="false">IF(ISNUMBER(B447),B447*(1+1/'13_Mapa_Liq'!$B$17-'13_Mapa_Liq'!$B$6),"")</f>
        <v/>
      </c>
      <c r="X447" s="151" t="n">
        <f aca="false">IF(ISNUMBER(B447),IF(L447&lt;W447,J447*'13_Mapa_Liq'!$C$17,0),0)</f>
        <v>0</v>
      </c>
      <c r="Y447" s="151" t="str">
        <f aca="false">IF(ISNUMBER(B447),B447*(1-1/'13_Mapa_Liq'!$B$18+'13_Mapa_Liq'!$B$6),"")</f>
        <v/>
      </c>
      <c r="Z447" s="151" t="n">
        <f aca="false">IF(ISNUMBER(B447),IF(K447&gt;Y447,I447*'13_Mapa_Liq'!$C$18,0),0)</f>
        <v>0</v>
      </c>
      <c r="AA447" s="151" t="str">
        <f aca="false">IF(ISNUMBER(B447),B447*(1+1/'13_Mapa_Liq'!$B$18-'13_Mapa_Liq'!$B$6),"")</f>
        <v/>
      </c>
      <c r="AB447" s="151" t="n">
        <f aca="false">IF(ISNUMBER(B447),IF(L447&lt;AA447,J447*'13_Mapa_Liq'!$C$18,0),0)</f>
        <v>0</v>
      </c>
      <c r="AC447" s="151" t="str">
        <f aca="false">IF(ISNUMBER(B447),B447*(1-1/'13_Mapa_Liq'!$B$19+'13_Mapa_Liq'!$B$6),"")</f>
        <v/>
      </c>
      <c r="AD447" s="151" t="n">
        <f aca="false">IF(ISNUMBER(B447),IF(K447&gt;AC447,I447*'13_Mapa_Liq'!$C$19,0),0)</f>
        <v>0</v>
      </c>
      <c r="AE447" s="151" t="str">
        <f aca="false">IF(ISNUMBER(B447),B447*(1+1/'13_Mapa_Liq'!$B$19-'13_Mapa_Liq'!$B$6),"")</f>
        <v/>
      </c>
      <c r="AF447" s="151" t="n">
        <f aca="false">IF(ISNUMBER(B447),IF(L447&lt;AE447,J447*'13_Mapa_Liq'!$C$19,0),0)</f>
        <v>0</v>
      </c>
      <c r="AG447" s="151"/>
      <c r="AH447" s="151" t="n">
        <f aca="false">IF(ISNUMBER(B447),E447*F447*((K447&lt;=M447)*'13_Mapa_Liq'!$C$15+(K447&lt;=Q447)*'13_Mapa_Liq'!$C$16+(K447&lt;=U447)*'13_Mapa_Liq'!$C$17+(K447&lt;=Y447)*'13_Mapa_Liq'!$C$18+(K447&lt;=AC447)*'13_Mapa_Liq'!$C$19),0)</f>
        <v>0</v>
      </c>
      <c r="AI447" s="151" t="n">
        <f aca="false">IF(ISNUMBER(B447),E447*(1-F447)*((L447&gt;=O447)*'13_Mapa_Liq'!$C$15+(L447&gt;=S447)*'13_Mapa_Liq'!$C$16+(L447&gt;=W447)*'13_Mapa_Liq'!$C$17+(L447&gt;=AA447)*'13_Mapa_Liq'!$C$18+(L447&gt;=AE447)*'13_Mapa_Liq'!$C$19),0)</f>
        <v>0</v>
      </c>
    </row>
    <row r="448" customFormat="false" ht="15" hidden="false" customHeight="false" outlineLevel="0" collapsed="false">
      <c r="A448" s="151" t="str">
        <f aca="false">IF(ISNUMBER('12_Datos_5m'!F448),ROW()-4,"")</f>
        <v/>
      </c>
      <c r="B448" s="151" t="str">
        <f aca="false">IF(ISNUMBER('12_Datos_5m'!F448),'12_Datos_5m'!F448,"")</f>
        <v/>
      </c>
      <c r="C448" s="151" t="str">
        <f aca="false">IF(ISNUMBER('12_Datos_5m'!A448),'12_Datos_5m'!A448,"")</f>
        <v/>
      </c>
      <c r="D448" s="151" t="n">
        <f aca="false">IF(AND(ISNUMBER('12_Datos_5m'!I448),ISNUMBER('12_Datos_5m'!I447)),'12_Datos_5m'!I448-'12_Datos_5m'!I447,0)</f>
        <v>0</v>
      </c>
      <c r="E448" s="151" t="n">
        <f aca="false">MAX(0,D448)</f>
        <v>0</v>
      </c>
      <c r="F448" s="151" t="n">
        <f aca="false">IF(AND(ISNUMBER('12_Datos_5m'!G448),N('12_Datos_5m'!G448)&gt;0),'12_Datos_5m'!H448/'12_Datos_5m'!G448,0.5)</f>
        <v>0.5</v>
      </c>
      <c r="G448" s="151" t="n">
        <f aca="false">IF(ISNUMBER(C448),($C$2-C448)/3600000,0)</f>
        <v>0</v>
      </c>
      <c r="H448" s="151" t="n">
        <f aca="false">EXP(-G448/'13_Mapa_Liq'!$B$7)</f>
        <v>1</v>
      </c>
      <c r="I448" s="151" t="n">
        <f aca="false">E448*F448*H448</f>
        <v>0</v>
      </c>
      <c r="J448" s="151" t="n">
        <f aca="false">E448*(1-F448)*H448</f>
        <v>0</v>
      </c>
      <c r="K448" s="151" t="n">
        <f aca="false">IF(COUNT('12_Datos_5m'!E449:E$504)=0,1000000000000,MIN('12_Datos_5m'!E449:E$504))</f>
        <v>1000000000000</v>
      </c>
      <c r="L448" s="151" t="n">
        <f aca="false">IF(COUNT('12_Datos_5m'!D449:D$504)=0,0,MAX('12_Datos_5m'!D449:D$504))</f>
        <v>0</v>
      </c>
      <c r="M448" s="151" t="str">
        <f aca="false">IF(ISNUMBER(B448),B448*(1-1/'13_Mapa_Liq'!$B$15+'13_Mapa_Liq'!$B$6),"")</f>
        <v/>
      </c>
      <c r="N448" s="151" t="n">
        <f aca="false">IF(ISNUMBER(B448),IF(K448&gt;M448,I448*'13_Mapa_Liq'!$C$15,0),0)</f>
        <v>0</v>
      </c>
      <c r="O448" s="151" t="str">
        <f aca="false">IF(ISNUMBER(B448),B448*(1+1/'13_Mapa_Liq'!$B$15-'13_Mapa_Liq'!$B$6),"")</f>
        <v/>
      </c>
      <c r="P448" s="151" t="n">
        <f aca="false">IF(ISNUMBER(B448),IF(L448&lt;O448,J448*'13_Mapa_Liq'!$C$15,0),0)</f>
        <v>0</v>
      </c>
      <c r="Q448" s="151" t="str">
        <f aca="false">IF(ISNUMBER(B448),B448*(1-1/'13_Mapa_Liq'!$B$16+'13_Mapa_Liq'!$B$6),"")</f>
        <v/>
      </c>
      <c r="R448" s="151" t="n">
        <f aca="false">IF(ISNUMBER(B448),IF(K448&gt;Q448,I448*'13_Mapa_Liq'!$C$16,0),0)</f>
        <v>0</v>
      </c>
      <c r="S448" s="151" t="str">
        <f aca="false">IF(ISNUMBER(B448),B448*(1+1/'13_Mapa_Liq'!$B$16-'13_Mapa_Liq'!$B$6),"")</f>
        <v/>
      </c>
      <c r="T448" s="151" t="n">
        <f aca="false">IF(ISNUMBER(B448),IF(L448&lt;S448,J448*'13_Mapa_Liq'!$C$16,0),0)</f>
        <v>0</v>
      </c>
      <c r="U448" s="151" t="str">
        <f aca="false">IF(ISNUMBER(B448),B448*(1-1/'13_Mapa_Liq'!$B$17+'13_Mapa_Liq'!$B$6),"")</f>
        <v/>
      </c>
      <c r="V448" s="151" t="n">
        <f aca="false">IF(ISNUMBER(B448),IF(K448&gt;U448,I448*'13_Mapa_Liq'!$C$17,0),0)</f>
        <v>0</v>
      </c>
      <c r="W448" s="151" t="str">
        <f aca="false">IF(ISNUMBER(B448),B448*(1+1/'13_Mapa_Liq'!$B$17-'13_Mapa_Liq'!$B$6),"")</f>
        <v/>
      </c>
      <c r="X448" s="151" t="n">
        <f aca="false">IF(ISNUMBER(B448),IF(L448&lt;W448,J448*'13_Mapa_Liq'!$C$17,0),0)</f>
        <v>0</v>
      </c>
      <c r="Y448" s="151" t="str">
        <f aca="false">IF(ISNUMBER(B448),B448*(1-1/'13_Mapa_Liq'!$B$18+'13_Mapa_Liq'!$B$6),"")</f>
        <v/>
      </c>
      <c r="Z448" s="151" t="n">
        <f aca="false">IF(ISNUMBER(B448),IF(K448&gt;Y448,I448*'13_Mapa_Liq'!$C$18,0),0)</f>
        <v>0</v>
      </c>
      <c r="AA448" s="151" t="str">
        <f aca="false">IF(ISNUMBER(B448),B448*(1+1/'13_Mapa_Liq'!$B$18-'13_Mapa_Liq'!$B$6),"")</f>
        <v/>
      </c>
      <c r="AB448" s="151" t="n">
        <f aca="false">IF(ISNUMBER(B448),IF(L448&lt;AA448,J448*'13_Mapa_Liq'!$C$18,0),0)</f>
        <v>0</v>
      </c>
      <c r="AC448" s="151" t="str">
        <f aca="false">IF(ISNUMBER(B448),B448*(1-1/'13_Mapa_Liq'!$B$19+'13_Mapa_Liq'!$B$6),"")</f>
        <v/>
      </c>
      <c r="AD448" s="151" t="n">
        <f aca="false">IF(ISNUMBER(B448),IF(K448&gt;AC448,I448*'13_Mapa_Liq'!$C$19,0),0)</f>
        <v>0</v>
      </c>
      <c r="AE448" s="151" t="str">
        <f aca="false">IF(ISNUMBER(B448),B448*(1+1/'13_Mapa_Liq'!$B$19-'13_Mapa_Liq'!$B$6),"")</f>
        <v/>
      </c>
      <c r="AF448" s="151" t="n">
        <f aca="false">IF(ISNUMBER(B448),IF(L448&lt;AE448,J448*'13_Mapa_Liq'!$C$19,0),0)</f>
        <v>0</v>
      </c>
      <c r="AG448" s="151"/>
      <c r="AH448" s="151" t="n">
        <f aca="false">IF(ISNUMBER(B448),E448*F448*((K448&lt;=M448)*'13_Mapa_Liq'!$C$15+(K448&lt;=Q448)*'13_Mapa_Liq'!$C$16+(K448&lt;=U448)*'13_Mapa_Liq'!$C$17+(K448&lt;=Y448)*'13_Mapa_Liq'!$C$18+(K448&lt;=AC448)*'13_Mapa_Liq'!$C$19),0)</f>
        <v>0</v>
      </c>
      <c r="AI448" s="151" t="n">
        <f aca="false">IF(ISNUMBER(B448),E448*(1-F448)*((L448&gt;=O448)*'13_Mapa_Liq'!$C$15+(L448&gt;=S448)*'13_Mapa_Liq'!$C$16+(L448&gt;=W448)*'13_Mapa_Liq'!$C$17+(L448&gt;=AA448)*'13_Mapa_Liq'!$C$18+(L448&gt;=AE448)*'13_Mapa_Liq'!$C$19),0)</f>
        <v>0</v>
      </c>
    </row>
    <row r="449" customFormat="false" ht="15" hidden="false" customHeight="false" outlineLevel="0" collapsed="false">
      <c r="A449" s="151" t="str">
        <f aca="false">IF(ISNUMBER('12_Datos_5m'!F449),ROW()-4,"")</f>
        <v/>
      </c>
      <c r="B449" s="151" t="str">
        <f aca="false">IF(ISNUMBER('12_Datos_5m'!F449),'12_Datos_5m'!F449,"")</f>
        <v/>
      </c>
      <c r="C449" s="151" t="str">
        <f aca="false">IF(ISNUMBER('12_Datos_5m'!A449),'12_Datos_5m'!A449,"")</f>
        <v/>
      </c>
      <c r="D449" s="151" t="n">
        <f aca="false">IF(AND(ISNUMBER('12_Datos_5m'!I449),ISNUMBER('12_Datos_5m'!I448)),'12_Datos_5m'!I449-'12_Datos_5m'!I448,0)</f>
        <v>0</v>
      </c>
      <c r="E449" s="151" t="n">
        <f aca="false">MAX(0,D449)</f>
        <v>0</v>
      </c>
      <c r="F449" s="151" t="n">
        <f aca="false">IF(AND(ISNUMBER('12_Datos_5m'!G449),N('12_Datos_5m'!G449)&gt;0),'12_Datos_5m'!H449/'12_Datos_5m'!G449,0.5)</f>
        <v>0.5</v>
      </c>
      <c r="G449" s="151" t="n">
        <f aca="false">IF(ISNUMBER(C449),($C$2-C449)/3600000,0)</f>
        <v>0</v>
      </c>
      <c r="H449" s="151" t="n">
        <f aca="false">EXP(-G449/'13_Mapa_Liq'!$B$7)</f>
        <v>1</v>
      </c>
      <c r="I449" s="151" t="n">
        <f aca="false">E449*F449*H449</f>
        <v>0</v>
      </c>
      <c r="J449" s="151" t="n">
        <f aca="false">E449*(1-F449)*H449</f>
        <v>0</v>
      </c>
      <c r="K449" s="151" t="n">
        <f aca="false">IF(COUNT('12_Datos_5m'!E450:E$504)=0,1000000000000,MIN('12_Datos_5m'!E450:E$504))</f>
        <v>1000000000000</v>
      </c>
      <c r="L449" s="151" t="n">
        <f aca="false">IF(COUNT('12_Datos_5m'!D450:D$504)=0,0,MAX('12_Datos_5m'!D450:D$504))</f>
        <v>0</v>
      </c>
      <c r="M449" s="151" t="str">
        <f aca="false">IF(ISNUMBER(B449),B449*(1-1/'13_Mapa_Liq'!$B$15+'13_Mapa_Liq'!$B$6),"")</f>
        <v/>
      </c>
      <c r="N449" s="151" t="n">
        <f aca="false">IF(ISNUMBER(B449),IF(K449&gt;M449,I449*'13_Mapa_Liq'!$C$15,0),0)</f>
        <v>0</v>
      </c>
      <c r="O449" s="151" t="str">
        <f aca="false">IF(ISNUMBER(B449),B449*(1+1/'13_Mapa_Liq'!$B$15-'13_Mapa_Liq'!$B$6),"")</f>
        <v/>
      </c>
      <c r="P449" s="151" t="n">
        <f aca="false">IF(ISNUMBER(B449),IF(L449&lt;O449,J449*'13_Mapa_Liq'!$C$15,0),0)</f>
        <v>0</v>
      </c>
      <c r="Q449" s="151" t="str">
        <f aca="false">IF(ISNUMBER(B449),B449*(1-1/'13_Mapa_Liq'!$B$16+'13_Mapa_Liq'!$B$6),"")</f>
        <v/>
      </c>
      <c r="R449" s="151" t="n">
        <f aca="false">IF(ISNUMBER(B449),IF(K449&gt;Q449,I449*'13_Mapa_Liq'!$C$16,0),0)</f>
        <v>0</v>
      </c>
      <c r="S449" s="151" t="str">
        <f aca="false">IF(ISNUMBER(B449),B449*(1+1/'13_Mapa_Liq'!$B$16-'13_Mapa_Liq'!$B$6),"")</f>
        <v/>
      </c>
      <c r="T449" s="151" t="n">
        <f aca="false">IF(ISNUMBER(B449),IF(L449&lt;S449,J449*'13_Mapa_Liq'!$C$16,0),0)</f>
        <v>0</v>
      </c>
      <c r="U449" s="151" t="str">
        <f aca="false">IF(ISNUMBER(B449),B449*(1-1/'13_Mapa_Liq'!$B$17+'13_Mapa_Liq'!$B$6),"")</f>
        <v/>
      </c>
      <c r="V449" s="151" t="n">
        <f aca="false">IF(ISNUMBER(B449),IF(K449&gt;U449,I449*'13_Mapa_Liq'!$C$17,0),0)</f>
        <v>0</v>
      </c>
      <c r="W449" s="151" t="str">
        <f aca="false">IF(ISNUMBER(B449),B449*(1+1/'13_Mapa_Liq'!$B$17-'13_Mapa_Liq'!$B$6),"")</f>
        <v/>
      </c>
      <c r="X449" s="151" t="n">
        <f aca="false">IF(ISNUMBER(B449),IF(L449&lt;W449,J449*'13_Mapa_Liq'!$C$17,0),0)</f>
        <v>0</v>
      </c>
      <c r="Y449" s="151" t="str">
        <f aca="false">IF(ISNUMBER(B449),B449*(1-1/'13_Mapa_Liq'!$B$18+'13_Mapa_Liq'!$B$6),"")</f>
        <v/>
      </c>
      <c r="Z449" s="151" t="n">
        <f aca="false">IF(ISNUMBER(B449),IF(K449&gt;Y449,I449*'13_Mapa_Liq'!$C$18,0),0)</f>
        <v>0</v>
      </c>
      <c r="AA449" s="151" t="str">
        <f aca="false">IF(ISNUMBER(B449),B449*(1+1/'13_Mapa_Liq'!$B$18-'13_Mapa_Liq'!$B$6),"")</f>
        <v/>
      </c>
      <c r="AB449" s="151" t="n">
        <f aca="false">IF(ISNUMBER(B449),IF(L449&lt;AA449,J449*'13_Mapa_Liq'!$C$18,0),0)</f>
        <v>0</v>
      </c>
      <c r="AC449" s="151" t="str">
        <f aca="false">IF(ISNUMBER(B449),B449*(1-1/'13_Mapa_Liq'!$B$19+'13_Mapa_Liq'!$B$6),"")</f>
        <v/>
      </c>
      <c r="AD449" s="151" t="n">
        <f aca="false">IF(ISNUMBER(B449),IF(K449&gt;AC449,I449*'13_Mapa_Liq'!$C$19,0),0)</f>
        <v>0</v>
      </c>
      <c r="AE449" s="151" t="str">
        <f aca="false">IF(ISNUMBER(B449),B449*(1+1/'13_Mapa_Liq'!$B$19-'13_Mapa_Liq'!$B$6),"")</f>
        <v/>
      </c>
      <c r="AF449" s="151" t="n">
        <f aca="false">IF(ISNUMBER(B449),IF(L449&lt;AE449,J449*'13_Mapa_Liq'!$C$19,0),0)</f>
        <v>0</v>
      </c>
      <c r="AG449" s="151"/>
      <c r="AH449" s="151" t="n">
        <f aca="false">IF(ISNUMBER(B449),E449*F449*((K449&lt;=M449)*'13_Mapa_Liq'!$C$15+(K449&lt;=Q449)*'13_Mapa_Liq'!$C$16+(K449&lt;=U449)*'13_Mapa_Liq'!$C$17+(K449&lt;=Y449)*'13_Mapa_Liq'!$C$18+(K449&lt;=AC449)*'13_Mapa_Liq'!$C$19),0)</f>
        <v>0</v>
      </c>
      <c r="AI449" s="151" t="n">
        <f aca="false">IF(ISNUMBER(B449),E449*(1-F449)*((L449&gt;=O449)*'13_Mapa_Liq'!$C$15+(L449&gt;=S449)*'13_Mapa_Liq'!$C$16+(L449&gt;=W449)*'13_Mapa_Liq'!$C$17+(L449&gt;=AA449)*'13_Mapa_Liq'!$C$18+(L449&gt;=AE449)*'13_Mapa_Liq'!$C$19),0)</f>
        <v>0</v>
      </c>
    </row>
    <row r="450" customFormat="false" ht="15" hidden="false" customHeight="false" outlineLevel="0" collapsed="false">
      <c r="A450" s="151" t="str">
        <f aca="false">IF(ISNUMBER('12_Datos_5m'!F450),ROW()-4,"")</f>
        <v/>
      </c>
      <c r="B450" s="151" t="str">
        <f aca="false">IF(ISNUMBER('12_Datos_5m'!F450),'12_Datos_5m'!F450,"")</f>
        <v/>
      </c>
      <c r="C450" s="151" t="str">
        <f aca="false">IF(ISNUMBER('12_Datos_5m'!A450),'12_Datos_5m'!A450,"")</f>
        <v/>
      </c>
      <c r="D450" s="151" t="n">
        <f aca="false">IF(AND(ISNUMBER('12_Datos_5m'!I450),ISNUMBER('12_Datos_5m'!I449)),'12_Datos_5m'!I450-'12_Datos_5m'!I449,0)</f>
        <v>0</v>
      </c>
      <c r="E450" s="151" t="n">
        <f aca="false">MAX(0,D450)</f>
        <v>0</v>
      </c>
      <c r="F450" s="151" t="n">
        <f aca="false">IF(AND(ISNUMBER('12_Datos_5m'!G450),N('12_Datos_5m'!G450)&gt;0),'12_Datos_5m'!H450/'12_Datos_5m'!G450,0.5)</f>
        <v>0.5</v>
      </c>
      <c r="G450" s="151" t="n">
        <f aca="false">IF(ISNUMBER(C450),($C$2-C450)/3600000,0)</f>
        <v>0</v>
      </c>
      <c r="H450" s="151" t="n">
        <f aca="false">EXP(-G450/'13_Mapa_Liq'!$B$7)</f>
        <v>1</v>
      </c>
      <c r="I450" s="151" t="n">
        <f aca="false">E450*F450*H450</f>
        <v>0</v>
      </c>
      <c r="J450" s="151" t="n">
        <f aca="false">E450*(1-F450)*H450</f>
        <v>0</v>
      </c>
      <c r="K450" s="151" t="n">
        <f aca="false">IF(COUNT('12_Datos_5m'!E451:E$504)=0,1000000000000,MIN('12_Datos_5m'!E451:E$504))</f>
        <v>1000000000000</v>
      </c>
      <c r="L450" s="151" t="n">
        <f aca="false">IF(COUNT('12_Datos_5m'!D451:D$504)=0,0,MAX('12_Datos_5m'!D451:D$504))</f>
        <v>0</v>
      </c>
      <c r="M450" s="151" t="str">
        <f aca="false">IF(ISNUMBER(B450),B450*(1-1/'13_Mapa_Liq'!$B$15+'13_Mapa_Liq'!$B$6),"")</f>
        <v/>
      </c>
      <c r="N450" s="151" t="n">
        <f aca="false">IF(ISNUMBER(B450),IF(K450&gt;M450,I450*'13_Mapa_Liq'!$C$15,0),0)</f>
        <v>0</v>
      </c>
      <c r="O450" s="151" t="str">
        <f aca="false">IF(ISNUMBER(B450),B450*(1+1/'13_Mapa_Liq'!$B$15-'13_Mapa_Liq'!$B$6),"")</f>
        <v/>
      </c>
      <c r="P450" s="151" t="n">
        <f aca="false">IF(ISNUMBER(B450),IF(L450&lt;O450,J450*'13_Mapa_Liq'!$C$15,0),0)</f>
        <v>0</v>
      </c>
      <c r="Q450" s="151" t="str">
        <f aca="false">IF(ISNUMBER(B450),B450*(1-1/'13_Mapa_Liq'!$B$16+'13_Mapa_Liq'!$B$6),"")</f>
        <v/>
      </c>
      <c r="R450" s="151" t="n">
        <f aca="false">IF(ISNUMBER(B450),IF(K450&gt;Q450,I450*'13_Mapa_Liq'!$C$16,0),0)</f>
        <v>0</v>
      </c>
      <c r="S450" s="151" t="str">
        <f aca="false">IF(ISNUMBER(B450),B450*(1+1/'13_Mapa_Liq'!$B$16-'13_Mapa_Liq'!$B$6),"")</f>
        <v/>
      </c>
      <c r="T450" s="151" t="n">
        <f aca="false">IF(ISNUMBER(B450),IF(L450&lt;S450,J450*'13_Mapa_Liq'!$C$16,0),0)</f>
        <v>0</v>
      </c>
      <c r="U450" s="151" t="str">
        <f aca="false">IF(ISNUMBER(B450),B450*(1-1/'13_Mapa_Liq'!$B$17+'13_Mapa_Liq'!$B$6),"")</f>
        <v/>
      </c>
      <c r="V450" s="151" t="n">
        <f aca="false">IF(ISNUMBER(B450),IF(K450&gt;U450,I450*'13_Mapa_Liq'!$C$17,0),0)</f>
        <v>0</v>
      </c>
      <c r="W450" s="151" t="str">
        <f aca="false">IF(ISNUMBER(B450),B450*(1+1/'13_Mapa_Liq'!$B$17-'13_Mapa_Liq'!$B$6),"")</f>
        <v/>
      </c>
      <c r="X450" s="151" t="n">
        <f aca="false">IF(ISNUMBER(B450),IF(L450&lt;W450,J450*'13_Mapa_Liq'!$C$17,0),0)</f>
        <v>0</v>
      </c>
      <c r="Y450" s="151" t="str">
        <f aca="false">IF(ISNUMBER(B450),B450*(1-1/'13_Mapa_Liq'!$B$18+'13_Mapa_Liq'!$B$6),"")</f>
        <v/>
      </c>
      <c r="Z450" s="151" t="n">
        <f aca="false">IF(ISNUMBER(B450),IF(K450&gt;Y450,I450*'13_Mapa_Liq'!$C$18,0),0)</f>
        <v>0</v>
      </c>
      <c r="AA450" s="151" t="str">
        <f aca="false">IF(ISNUMBER(B450),B450*(1+1/'13_Mapa_Liq'!$B$18-'13_Mapa_Liq'!$B$6),"")</f>
        <v/>
      </c>
      <c r="AB450" s="151" t="n">
        <f aca="false">IF(ISNUMBER(B450),IF(L450&lt;AA450,J450*'13_Mapa_Liq'!$C$18,0),0)</f>
        <v>0</v>
      </c>
      <c r="AC450" s="151" t="str">
        <f aca="false">IF(ISNUMBER(B450),B450*(1-1/'13_Mapa_Liq'!$B$19+'13_Mapa_Liq'!$B$6),"")</f>
        <v/>
      </c>
      <c r="AD450" s="151" t="n">
        <f aca="false">IF(ISNUMBER(B450),IF(K450&gt;AC450,I450*'13_Mapa_Liq'!$C$19,0),0)</f>
        <v>0</v>
      </c>
      <c r="AE450" s="151" t="str">
        <f aca="false">IF(ISNUMBER(B450),B450*(1+1/'13_Mapa_Liq'!$B$19-'13_Mapa_Liq'!$B$6),"")</f>
        <v/>
      </c>
      <c r="AF450" s="151" t="n">
        <f aca="false">IF(ISNUMBER(B450),IF(L450&lt;AE450,J450*'13_Mapa_Liq'!$C$19,0),0)</f>
        <v>0</v>
      </c>
      <c r="AG450" s="151"/>
      <c r="AH450" s="151" t="n">
        <f aca="false">IF(ISNUMBER(B450),E450*F450*((K450&lt;=M450)*'13_Mapa_Liq'!$C$15+(K450&lt;=Q450)*'13_Mapa_Liq'!$C$16+(K450&lt;=U450)*'13_Mapa_Liq'!$C$17+(K450&lt;=Y450)*'13_Mapa_Liq'!$C$18+(K450&lt;=AC450)*'13_Mapa_Liq'!$C$19),0)</f>
        <v>0</v>
      </c>
      <c r="AI450" s="151" t="n">
        <f aca="false">IF(ISNUMBER(B450),E450*(1-F450)*((L450&gt;=O450)*'13_Mapa_Liq'!$C$15+(L450&gt;=S450)*'13_Mapa_Liq'!$C$16+(L450&gt;=W450)*'13_Mapa_Liq'!$C$17+(L450&gt;=AA450)*'13_Mapa_Liq'!$C$18+(L450&gt;=AE450)*'13_Mapa_Liq'!$C$19),0)</f>
        <v>0</v>
      </c>
    </row>
    <row r="451" customFormat="false" ht="15" hidden="false" customHeight="false" outlineLevel="0" collapsed="false">
      <c r="A451" s="151" t="str">
        <f aca="false">IF(ISNUMBER('12_Datos_5m'!F451),ROW()-4,"")</f>
        <v/>
      </c>
      <c r="B451" s="151" t="str">
        <f aca="false">IF(ISNUMBER('12_Datos_5m'!F451),'12_Datos_5m'!F451,"")</f>
        <v/>
      </c>
      <c r="C451" s="151" t="str">
        <f aca="false">IF(ISNUMBER('12_Datos_5m'!A451),'12_Datos_5m'!A451,"")</f>
        <v/>
      </c>
      <c r="D451" s="151" t="n">
        <f aca="false">IF(AND(ISNUMBER('12_Datos_5m'!I451),ISNUMBER('12_Datos_5m'!I450)),'12_Datos_5m'!I451-'12_Datos_5m'!I450,0)</f>
        <v>0</v>
      </c>
      <c r="E451" s="151" t="n">
        <f aca="false">MAX(0,D451)</f>
        <v>0</v>
      </c>
      <c r="F451" s="151" t="n">
        <f aca="false">IF(AND(ISNUMBER('12_Datos_5m'!G451),N('12_Datos_5m'!G451)&gt;0),'12_Datos_5m'!H451/'12_Datos_5m'!G451,0.5)</f>
        <v>0.5</v>
      </c>
      <c r="G451" s="151" t="n">
        <f aca="false">IF(ISNUMBER(C451),($C$2-C451)/3600000,0)</f>
        <v>0</v>
      </c>
      <c r="H451" s="151" t="n">
        <f aca="false">EXP(-G451/'13_Mapa_Liq'!$B$7)</f>
        <v>1</v>
      </c>
      <c r="I451" s="151" t="n">
        <f aca="false">E451*F451*H451</f>
        <v>0</v>
      </c>
      <c r="J451" s="151" t="n">
        <f aca="false">E451*(1-F451)*H451</f>
        <v>0</v>
      </c>
      <c r="K451" s="151" t="n">
        <f aca="false">IF(COUNT('12_Datos_5m'!E452:E$504)=0,1000000000000,MIN('12_Datos_5m'!E452:E$504))</f>
        <v>1000000000000</v>
      </c>
      <c r="L451" s="151" t="n">
        <f aca="false">IF(COUNT('12_Datos_5m'!D452:D$504)=0,0,MAX('12_Datos_5m'!D452:D$504))</f>
        <v>0</v>
      </c>
      <c r="M451" s="151" t="str">
        <f aca="false">IF(ISNUMBER(B451),B451*(1-1/'13_Mapa_Liq'!$B$15+'13_Mapa_Liq'!$B$6),"")</f>
        <v/>
      </c>
      <c r="N451" s="151" t="n">
        <f aca="false">IF(ISNUMBER(B451),IF(K451&gt;M451,I451*'13_Mapa_Liq'!$C$15,0),0)</f>
        <v>0</v>
      </c>
      <c r="O451" s="151" t="str">
        <f aca="false">IF(ISNUMBER(B451),B451*(1+1/'13_Mapa_Liq'!$B$15-'13_Mapa_Liq'!$B$6),"")</f>
        <v/>
      </c>
      <c r="P451" s="151" t="n">
        <f aca="false">IF(ISNUMBER(B451),IF(L451&lt;O451,J451*'13_Mapa_Liq'!$C$15,0),0)</f>
        <v>0</v>
      </c>
      <c r="Q451" s="151" t="str">
        <f aca="false">IF(ISNUMBER(B451),B451*(1-1/'13_Mapa_Liq'!$B$16+'13_Mapa_Liq'!$B$6),"")</f>
        <v/>
      </c>
      <c r="R451" s="151" t="n">
        <f aca="false">IF(ISNUMBER(B451),IF(K451&gt;Q451,I451*'13_Mapa_Liq'!$C$16,0),0)</f>
        <v>0</v>
      </c>
      <c r="S451" s="151" t="str">
        <f aca="false">IF(ISNUMBER(B451),B451*(1+1/'13_Mapa_Liq'!$B$16-'13_Mapa_Liq'!$B$6),"")</f>
        <v/>
      </c>
      <c r="T451" s="151" t="n">
        <f aca="false">IF(ISNUMBER(B451),IF(L451&lt;S451,J451*'13_Mapa_Liq'!$C$16,0),0)</f>
        <v>0</v>
      </c>
      <c r="U451" s="151" t="str">
        <f aca="false">IF(ISNUMBER(B451),B451*(1-1/'13_Mapa_Liq'!$B$17+'13_Mapa_Liq'!$B$6),"")</f>
        <v/>
      </c>
      <c r="V451" s="151" t="n">
        <f aca="false">IF(ISNUMBER(B451),IF(K451&gt;U451,I451*'13_Mapa_Liq'!$C$17,0),0)</f>
        <v>0</v>
      </c>
      <c r="W451" s="151" t="str">
        <f aca="false">IF(ISNUMBER(B451),B451*(1+1/'13_Mapa_Liq'!$B$17-'13_Mapa_Liq'!$B$6),"")</f>
        <v/>
      </c>
      <c r="X451" s="151" t="n">
        <f aca="false">IF(ISNUMBER(B451),IF(L451&lt;W451,J451*'13_Mapa_Liq'!$C$17,0),0)</f>
        <v>0</v>
      </c>
      <c r="Y451" s="151" t="str">
        <f aca="false">IF(ISNUMBER(B451),B451*(1-1/'13_Mapa_Liq'!$B$18+'13_Mapa_Liq'!$B$6),"")</f>
        <v/>
      </c>
      <c r="Z451" s="151" t="n">
        <f aca="false">IF(ISNUMBER(B451),IF(K451&gt;Y451,I451*'13_Mapa_Liq'!$C$18,0),0)</f>
        <v>0</v>
      </c>
      <c r="AA451" s="151" t="str">
        <f aca="false">IF(ISNUMBER(B451),B451*(1+1/'13_Mapa_Liq'!$B$18-'13_Mapa_Liq'!$B$6),"")</f>
        <v/>
      </c>
      <c r="AB451" s="151" t="n">
        <f aca="false">IF(ISNUMBER(B451),IF(L451&lt;AA451,J451*'13_Mapa_Liq'!$C$18,0),0)</f>
        <v>0</v>
      </c>
      <c r="AC451" s="151" t="str">
        <f aca="false">IF(ISNUMBER(B451),B451*(1-1/'13_Mapa_Liq'!$B$19+'13_Mapa_Liq'!$B$6),"")</f>
        <v/>
      </c>
      <c r="AD451" s="151" t="n">
        <f aca="false">IF(ISNUMBER(B451),IF(K451&gt;AC451,I451*'13_Mapa_Liq'!$C$19,0),0)</f>
        <v>0</v>
      </c>
      <c r="AE451" s="151" t="str">
        <f aca="false">IF(ISNUMBER(B451),B451*(1+1/'13_Mapa_Liq'!$B$19-'13_Mapa_Liq'!$B$6),"")</f>
        <v/>
      </c>
      <c r="AF451" s="151" t="n">
        <f aca="false">IF(ISNUMBER(B451),IF(L451&lt;AE451,J451*'13_Mapa_Liq'!$C$19,0),0)</f>
        <v>0</v>
      </c>
      <c r="AG451" s="151"/>
      <c r="AH451" s="151" t="n">
        <f aca="false">IF(ISNUMBER(B451),E451*F451*((K451&lt;=M451)*'13_Mapa_Liq'!$C$15+(K451&lt;=Q451)*'13_Mapa_Liq'!$C$16+(K451&lt;=U451)*'13_Mapa_Liq'!$C$17+(K451&lt;=Y451)*'13_Mapa_Liq'!$C$18+(K451&lt;=AC451)*'13_Mapa_Liq'!$C$19),0)</f>
        <v>0</v>
      </c>
      <c r="AI451" s="151" t="n">
        <f aca="false">IF(ISNUMBER(B451),E451*(1-F451)*((L451&gt;=O451)*'13_Mapa_Liq'!$C$15+(L451&gt;=S451)*'13_Mapa_Liq'!$C$16+(L451&gt;=W451)*'13_Mapa_Liq'!$C$17+(L451&gt;=AA451)*'13_Mapa_Liq'!$C$18+(L451&gt;=AE451)*'13_Mapa_Liq'!$C$19),0)</f>
        <v>0</v>
      </c>
    </row>
    <row r="452" customFormat="false" ht="15" hidden="false" customHeight="false" outlineLevel="0" collapsed="false">
      <c r="A452" s="151" t="str">
        <f aca="false">IF(ISNUMBER('12_Datos_5m'!F452),ROW()-4,"")</f>
        <v/>
      </c>
      <c r="B452" s="151" t="str">
        <f aca="false">IF(ISNUMBER('12_Datos_5m'!F452),'12_Datos_5m'!F452,"")</f>
        <v/>
      </c>
      <c r="C452" s="151" t="str">
        <f aca="false">IF(ISNUMBER('12_Datos_5m'!A452),'12_Datos_5m'!A452,"")</f>
        <v/>
      </c>
      <c r="D452" s="151" t="n">
        <f aca="false">IF(AND(ISNUMBER('12_Datos_5m'!I452),ISNUMBER('12_Datos_5m'!I451)),'12_Datos_5m'!I452-'12_Datos_5m'!I451,0)</f>
        <v>0</v>
      </c>
      <c r="E452" s="151" t="n">
        <f aca="false">MAX(0,D452)</f>
        <v>0</v>
      </c>
      <c r="F452" s="151" t="n">
        <f aca="false">IF(AND(ISNUMBER('12_Datos_5m'!G452),N('12_Datos_5m'!G452)&gt;0),'12_Datos_5m'!H452/'12_Datos_5m'!G452,0.5)</f>
        <v>0.5</v>
      </c>
      <c r="G452" s="151" t="n">
        <f aca="false">IF(ISNUMBER(C452),($C$2-C452)/3600000,0)</f>
        <v>0</v>
      </c>
      <c r="H452" s="151" t="n">
        <f aca="false">EXP(-G452/'13_Mapa_Liq'!$B$7)</f>
        <v>1</v>
      </c>
      <c r="I452" s="151" t="n">
        <f aca="false">E452*F452*H452</f>
        <v>0</v>
      </c>
      <c r="J452" s="151" t="n">
        <f aca="false">E452*(1-F452)*H452</f>
        <v>0</v>
      </c>
      <c r="K452" s="151" t="n">
        <f aca="false">IF(COUNT('12_Datos_5m'!E453:E$504)=0,1000000000000,MIN('12_Datos_5m'!E453:E$504))</f>
        <v>1000000000000</v>
      </c>
      <c r="L452" s="151" t="n">
        <f aca="false">IF(COUNT('12_Datos_5m'!D453:D$504)=0,0,MAX('12_Datos_5m'!D453:D$504))</f>
        <v>0</v>
      </c>
      <c r="M452" s="151" t="str">
        <f aca="false">IF(ISNUMBER(B452),B452*(1-1/'13_Mapa_Liq'!$B$15+'13_Mapa_Liq'!$B$6),"")</f>
        <v/>
      </c>
      <c r="N452" s="151" t="n">
        <f aca="false">IF(ISNUMBER(B452),IF(K452&gt;M452,I452*'13_Mapa_Liq'!$C$15,0),0)</f>
        <v>0</v>
      </c>
      <c r="O452" s="151" t="str">
        <f aca="false">IF(ISNUMBER(B452),B452*(1+1/'13_Mapa_Liq'!$B$15-'13_Mapa_Liq'!$B$6),"")</f>
        <v/>
      </c>
      <c r="P452" s="151" t="n">
        <f aca="false">IF(ISNUMBER(B452),IF(L452&lt;O452,J452*'13_Mapa_Liq'!$C$15,0),0)</f>
        <v>0</v>
      </c>
      <c r="Q452" s="151" t="str">
        <f aca="false">IF(ISNUMBER(B452),B452*(1-1/'13_Mapa_Liq'!$B$16+'13_Mapa_Liq'!$B$6),"")</f>
        <v/>
      </c>
      <c r="R452" s="151" t="n">
        <f aca="false">IF(ISNUMBER(B452),IF(K452&gt;Q452,I452*'13_Mapa_Liq'!$C$16,0),0)</f>
        <v>0</v>
      </c>
      <c r="S452" s="151" t="str">
        <f aca="false">IF(ISNUMBER(B452),B452*(1+1/'13_Mapa_Liq'!$B$16-'13_Mapa_Liq'!$B$6),"")</f>
        <v/>
      </c>
      <c r="T452" s="151" t="n">
        <f aca="false">IF(ISNUMBER(B452),IF(L452&lt;S452,J452*'13_Mapa_Liq'!$C$16,0),0)</f>
        <v>0</v>
      </c>
      <c r="U452" s="151" t="str">
        <f aca="false">IF(ISNUMBER(B452),B452*(1-1/'13_Mapa_Liq'!$B$17+'13_Mapa_Liq'!$B$6),"")</f>
        <v/>
      </c>
      <c r="V452" s="151" t="n">
        <f aca="false">IF(ISNUMBER(B452),IF(K452&gt;U452,I452*'13_Mapa_Liq'!$C$17,0),0)</f>
        <v>0</v>
      </c>
      <c r="W452" s="151" t="str">
        <f aca="false">IF(ISNUMBER(B452),B452*(1+1/'13_Mapa_Liq'!$B$17-'13_Mapa_Liq'!$B$6),"")</f>
        <v/>
      </c>
      <c r="X452" s="151" t="n">
        <f aca="false">IF(ISNUMBER(B452),IF(L452&lt;W452,J452*'13_Mapa_Liq'!$C$17,0),0)</f>
        <v>0</v>
      </c>
      <c r="Y452" s="151" t="str">
        <f aca="false">IF(ISNUMBER(B452),B452*(1-1/'13_Mapa_Liq'!$B$18+'13_Mapa_Liq'!$B$6),"")</f>
        <v/>
      </c>
      <c r="Z452" s="151" t="n">
        <f aca="false">IF(ISNUMBER(B452),IF(K452&gt;Y452,I452*'13_Mapa_Liq'!$C$18,0),0)</f>
        <v>0</v>
      </c>
      <c r="AA452" s="151" t="str">
        <f aca="false">IF(ISNUMBER(B452),B452*(1+1/'13_Mapa_Liq'!$B$18-'13_Mapa_Liq'!$B$6),"")</f>
        <v/>
      </c>
      <c r="AB452" s="151" t="n">
        <f aca="false">IF(ISNUMBER(B452),IF(L452&lt;AA452,J452*'13_Mapa_Liq'!$C$18,0),0)</f>
        <v>0</v>
      </c>
      <c r="AC452" s="151" t="str">
        <f aca="false">IF(ISNUMBER(B452),B452*(1-1/'13_Mapa_Liq'!$B$19+'13_Mapa_Liq'!$B$6),"")</f>
        <v/>
      </c>
      <c r="AD452" s="151" t="n">
        <f aca="false">IF(ISNUMBER(B452),IF(K452&gt;AC452,I452*'13_Mapa_Liq'!$C$19,0),0)</f>
        <v>0</v>
      </c>
      <c r="AE452" s="151" t="str">
        <f aca="false">IF(ISNUMBER(B452),B452*(1+1/'13_Mapa_Liq'!$B$19-'13_Mapa_Liq'!$B$6),"")</f>
        <v/>
      </c>
      <c r="AF452" s="151" t="n">
        <f aca="false">IF(ISNUMBER(B452),IF(L452&lt;AE452,J452*'13_Mapa_Liq'!$C$19,0),0)</f>
        <v>0</v>
      </c>
      <c r="AG452" s="151"/>
      <c r="AH452" s="151" t="n">
        <f aca="false">IF(ISNUMBER(B452),E452*F452*((K452&lt;=M452)*'13_Mapa_Liq'!$C$15+(K452&lt;=Q452)*'13_Mapa_Liq'!$C$16+(K452&lt;=U452)*'13_Mapa_Liq'!$C$17+(K452&lt;=Y452)*'13_Mapa_Liq'!$C$18+(K452&lt;=AC452)*'13_Mapa_Liq'!$C$19),0)</f>
        <v>0</v>
      </c>
      <c r="AI452" s="151" t="n">
        <f aca="false">IF(ISNUMBER(B452),E452*(1-F452)*((L452&gt;=O452)*'13_Mapa_Liq'!$C$15+(L452&gt;=S452)*'13_Mapa_Liq'!$C$16+(L452&gt;=W452)*'13_Mapa_Liq'!$C$17+(L452&gt;=AA452)*'13_Mapa_Liq'!$C$18+(L452&gt;=AE452)*'13_Mapa_Liq'!$C$19),0)</f>
        <v>0</v>
      </c>
    </row>
    <row r="453" customFormat="false" ht="15" hidden="false" customHeight="false" outlineLevel="0" collapsed="false">
      <c r="A453" s="151" t="str">
        <f aca="false">IF(ISNUMBER('12_Datos_5m'!F453),ROW()-4,"")</f>
        <v/>
      </c>
      <c r="B453" s="151" t="str">
        <f aca="false">IF(ISNUMBER('12_Datos_5m'!F453),'12_Datos_5m'!F453,"")</f>
        <v/>
      </c>
      <c r="C453" s="151" t="str">
        <f aca="false">IF(ISNUMBER('12_Datos_5m'!A453),'12_Datos_5m'!A453,"")</f>
        <v/>
      </c>
      <c r="D453" s="151" t="n">
        <f aca="false">IF(AND(ISNUMBER('12_Datos_5m'!I453),ISNUMBER('12_Datos_5m'!I452)),'12_Datos_5m'!I453-'12_Datos_5m'!I452,0)</f>
        <v>0</v>
      </c>
      <c r="E453" s="151" t="n">
        <f aca="false">MAX(0,D453)</f>
        <v>0</v>
      </c>
      <c r="F453" s="151" t="n">
        <f aca="false">IF(AND(ISNUMBER('12_Datos_5m'!G453),N('12_Datos_5m'!G453)&gt;0),'12_Datos_5m'!H453/'12_Datos_5m'!G453,0.5)</f>
        <v>0.5</v>
      </c>
      <c r="G453" s="151" t="n">
        <f aca="false">IF(ISNUMBER(C453),($C$2-C453)/3600000,0)</f>
        <v>0</v>
      </c>
      <c r="H453" s="151" t="n">
        <f aca="false">EXP(-G453/'13_Mapa_Liq'!$B$7)</f>
        <v>1</v>
      </c>
      <c r="I453" s="151" t="n">
        <f aca="false">E453*F453*H453</f>
        <v>0</v>
      </c>
      <c r="J453" s="151" t="n">
        <f aca="false">E453*(1-F453)*H453</f>
        <v>0</v>
      </c>
      <c r="K453" s="151" t="n">
        <f aca="false">IF(COUNT('12_Datos_5m'!E454:E$504)=0,1000000000000,MIN('12_Datos_5m'!E454:E$504))</f>
        <v>1000000000000</v>
      </c>
      <c r="L453" s="151" t="n">
        <f aca="false">IF(COUNT('12_Datos_5m'!D454:D$504)=0,0,MAX('12_Datos_5m'!D454:D$504))</f>
        <v>0</v>
      </c>
      <c r="M453" s="151" t="str">
        <f aca="false">IF(ISNUMBER(B453),B453*(1-1/'13_Mapa_Liq'!$B$15+'13_Mapa_Liq'!$B$6),"")</f>
        <v/>
      </c>
      <c r="N453" s="151" t="n">
        <f aca="false">IF(ISNUMBER(B453),IF(K453&gt;M453,I453*'13_Mapa_Liq'!$C$15,0),0)</f>
        <v>0</v>
      </c>
      <c r="O453" s="151" t="str">
        <f aca="false">IF(ISNUMBER(B453),B453*(1+1/'13_Mapa_Liq'!$B$15-'13_Mapa_Liq'!$B$6),"")</f>
        <v/>
      </c>
      <c r="P453" s="151" t="n">
        <f aca="false">IF(ISNUMBER(B453),IF(L453&lt;O453,J453*'13_Mapa_Liq'!$C$15,0),0)</f>
        <v>0</v>
      </c>
      <c r="Q453" s="151" t="str">
        <f aca="false">IF(ISNUMBER(B453),B453*(1-1/'13_Mapa_Liq'!$B$16+'13_Mapa_Liq'!$B$6),"")</f>
        <v/>
      </c>
      <c r="R453" s="151" t="n">
        <f aca="false">IF(ISNUMBER(B453),IF(K453&gt;Q453,I453*'13_Mapa_Liq'!$C$16,0),0)</f>
        <v>0</v>
      </c>
      <c r="S453" s="151" t="str">
        <f aca="false">IF(ISNUMBER(B453),B453*(1+1/'13_Mapa_Liq'!$B$16-'13_Mapa_Liq'!$B$6),"")</f>
        <v/>
      </c>
      <c r="T453" s="151" t="n">
        <f aca="false">IF(ISNUMBER(B453),IF(L453&lt;S453,J453*'13_Mapa_Liq'!$C$16,0),0)</f>
        <v>0</v>
      </c>
      <c r="U453" s="151" t="str">
        <f aca="false">IF(ISNUMBER(B453),B453*(1-1/'13_Mapa_Liq'!$B$17+'13_Mapa_Liq'!$B$6),"")</f>
        <v/>
      </c>
      <c r="V453" s="151" t="n">
        <f aca="false">IF(ISNUMBER(B453),IF(K453&gt;U453,I453*'13_Mapa_Liq'!$C$17,0),0)</f>
        <v>0</v>
      </c>
      <c r="W453" s="151" t="str">
        <f aca="false">IF(ISNUMBER(B453),B453*(1+1/'13_Mapa_Liq'!$B$17-'13_Mapa_Liq'!$B$6),"")</f>
        <v/>
      </c>
      <c r="X453" s="151" t="n">
        <f aca="false">IF(ISNUMBER(B453),IF(L453&lt;W453,J453*'13_Mapa_Liq'!$C$17,0),0)</f>
        <v>0</v>
      </c>
      <c r="Y453" s="151" t="str">
        <f aca="false">IF(ISNUMBER(B453),B453*(1-1/'13_Mapa_Liq'!$B$18+'13_Mapa_Liq'!$B$6),"")</f>
        <v/>
      </c>
      <c r="Z453" s="151" t="n">
        <f aca="false">IF(ISNUMBER(B453),IF(K453&gt;Y453,I453*'13_Mapa_Liq'!$C$18,0),0)</f>
        <v>0</v>
      </c>
      <c r="AA453" s="151" t="str">
        <f aca="false">IF(ISNUMBER(B453),B453*(1+1/'13_Mapa_Liq'!$B$18-'13_Mapa_Liq'!$B$6),"")</f>
        <v/>
      </c>
      <c r="AB453" s="151" t="n">
        <f aca="false">IF(ISNUMBER(B453),IF(L453&lt;AA453,J453*'13_Mapa_Liq'!$C$18,0),0)</f>
        <v>0</v>
      </c>
      <c r="AC453" s="151" t="str">
        <f aca="false">IF(ISNUMBER(B453),B453*(1-1/'13_Mapa_Liq'!$B$19+'13_Mapa_Liq'!$B$6),"")</f>
        <v/>
      </c>
      <c r="AD453" s="151" t="n">
        <f aca="false">IF(ISNUMBER(B453),IF(K453&gt;AC453,I453*'13_Mapa_Liq'!$C$19,0),0)</f>
        <v>0</v>
      </c>
      <c r="AE453" s="151" t="str">
        <f aca="false">IF(ISNUMBER(B453),B453*(1+1/'13_Mapa_Liq'!$B$19-'13_Mapa_Liq'!$B$6),"")</f>
        <v/>
      </c>
      <c r="AF453" s="151" t="n">
        <f aca="false">IF(ISNUMBER(B453),IF(L453&lt;AE453,J453*'13_Mapa_Liq'!$C$19,0),0)</f>
        <v>0</v>
      </c>
      <c r="AG453" s="151"/>
      <c r="AH453" s="151" t="n">
        <f aca="false">IF(ISNUMBER(B453),E453*F453*((K453&lt;=M453)*'13_Mapa_Liq'!$C$15+(K453&lt;=Q453)*'13_Mapa_Liq'!$C$16+(K453&lt;=U453)*'13_Mapa_Liq'!$C$17+(K453&lt;=Y453)*'13_Mapa_Liq'!$C$18+(K453&lt;=AC453)*'13_Mapa_Liq'!$C$19),0)</f>
        <v>0</v>
      </c>
      <c r="AI453" s="151" t="n">
        <f aca="false">IF(ISNUMBER(B453),E453*(1-F453)*((L453&gt;=O453)*'13_Mapa_Liq'!$C$15+(L453&gt;=S453)*'13_Mapa_Liq'!$C$16+(L453&gt;=W453)*'13_Mapa_Liq'!$C$17+(L453&gt;=AA453)*'13_Mapa_Liq'!$C$18+(L453&gt;=AE453)*'13_Mapa_Liq'!$C$19),0)</f>
        <v>0</v>
      </c>
    </row>
    <row r="454" customFormat="false" ht="15" hidden="false" customHeight="false" outlineLevel="0" collapsed="false">
      <c r="A454" s="151" t="str">
        <f aca="false">IF(ISNUMBER('12_Datos_5m'!F454),ROW()-4,"")</f>
        <v/>
      </c>
      <c r="B454" s="151" t="str">
        <f aca="false">IF(ISNUMBER('12_Datos_5m'!F454),'12_Datos_5m'!F454,"")</f>
        <v/>
      </c>
      <c r="C454" s="151" t="str">
        <f aca="false">IF(ISNUMBER('12_Datos_5m'!A454),'12_Datos_5m'!A454,"")</f>
        <v/>
      </c>
      <c r="D454" s="151" t="n">
        <f aca="false">IF(AND(ISNUMBER('12_Datos_5m'!I454),ISNUMBER('12_Datos_5m'!I453)),'12_Datos_5m'!I454-'12_Datos_5m'!I453,0)</f>
        <v>0</v>
      </c>
      <c r="E454" s="151" t="n">
        <f aca="false">MAX(0,D454)</f>
        <v>0</v>
      </c>
      <c r="F454" s="151" t="n">
        <f aca="false">IF(AND(ISNUMBER('12_Datos_5m'!G454),N('12_Datos_5m'!G454)&gt;0),'12_Datos_5m'!H454/'12_Datos_5m'!G454,0.5)</f>
        <v>0.5</v>
      </c>
      <c r="G454" s="151" t="n">
        <f aca="false">IF(ISNUMBER(C454),($C$2-C454)/3600000,0)</f>
        <v>0</v>
      </c>
      <c r="H454" s="151" t="n">
        <f aca="false">EXP(-G454/'13_Mapa_Liq'!$B$7)</f>
        <v>1</v>
      </c>
      <c r="I454" s="151" t="n">
        <f aca="false">E454*F454*H454</f>
        <v>0</v>
      </c>
      <c r="J454" s="151" t="n">
        <f aca="false">E454*(1-F454)*H454</f>
        <v>0</v>
      </c>
      <c r="K454" s="151" t="n">
        <f aca="false">IF(COUNT('12_Datos_5m'!E455:E$504)=0,1000000000000,MIN('12_Datos_5m'!E455:E$504))</f>
        <v>1000000000000</v>
      </c>
      <c r="L454" s="151" t="n">
        <f aca="false">IF(COUNT('12_Datos_5m'!D455:D$504)=0,0,MAX('12_Datos_5m'!D455:D$504))</f>
        <v>0</v>
      </c>
      <c r="M454" s="151" t="str">
        <f aca="false">IF(ISNUMBER(B454),B454*(1-1/'13_Mapa_Liq'!$B$15+'13_Mapa_Liq'!$B$6),"")</f>
        <v/>
      </c>
      <c r="N454" s="151" t="n">
        <f aca="false">IF(ISNUMBER(B454),IF(K454&gt;M454,I454*'13_Mapa_Liq'!$C$15,0),0)</f>
        <v>0</v>
      </c>
      <c r="O454" s="151" t="str">
        <f aca="false">IF(ISNUMBER(B454),B454*(1+1/'13_Mapa_Liq'!$B$15-'13_Mapa_Liq'!$B$6),"")</f>
        <v/>
      </c>
      <c r="P454" s="151" t="n">
        <f aca="false">IF(ISNUMBER(B454),IF(L454&lt;O454,J454*'13_Mapa_Liq'!$C$15,0),0)</f>
        <v>0</v>
      </c>
      <c r="Q454" s="151" t="str">
        <f aca="false">IF(ISNUMBER(B454),B454*(1-1/'13_Mapa_Liq'!$B$16+'13_Mapa_Liq'!$B$6),"")</f>
        <v/>
      </c>
      <c r="R454" s="151" t="n">
        <f aca="false">IF(ISNUMBER(B454),IF(K454&gt;Q454,I454*'13_Mapa_Liq'!$C$16,0),0)</f>
        <v>0</v>
      </c>
      <c r="S454" s="151" t="str">
        <f aca="false">IF(ISNUMBER(B454),B454*(1+1/'13_Mapa_Liq'!$B$16-'13_Mapa_Liq'!$B$6),"")</f>
        <v/>
      </c>
      <c r="T454" s="151" t="n">
        <f aca="false">IF(ISNUMBER(B454),IF(L454&lt;S454,J454*'13_Mapa_Liq'!$C$16,0),0)</f>
        <v>0</v>
      </c>
      <c r="U454" s="151" t="str">
        <f aca="false">IF(ISNUMBER(B454),B454*(1-1/'13_Mapa_Liq'!$B$17+'13_Mapa_Liq'!$B$6),"")</f>
        <v/>
      </c>
      <c r="V454" s="151" t="n">
        <f aca="false">IF(ISNUMBER(B454),IF(K454&gt;U454,I454*'13_Mapa_Liq'!$C$17,0),0)</f>
        <v>0</v>
      </c>
      <c r="W454" s="151" t="str">
        <f aca="false">IF(ISNUMBER(B454),B454*(1+1/'13_Mapa_Liq'!$B$17-'13_Mapa_Liq'!$B$6),"")</f>
        <v/>
      </c>
      <c r="X454" s="151" t="n">
        <f aca="false">IF(ISNUMBER(B454),IF(L454&lt;W454,J454*'13_Mapa_Liq'!$C$17,0),0)</f>
        <v>0</v>
      </c>
      <c r="Y454" s="151" t="str">
        <f aca="false">IF(ISNUMBER(B454),B454*(1-1/'13_Mapa_Liq'!$B$18+'13_Mapa_Liq'!$B$6),"")</f>
        <v/>
      </c>
      <c r="Z454" s="151" t="n">
        <f aca="false">IF(ISNUMBER(B454),IF(K454&gt;Y454,I454*'13_Mapa_Liq'!$C$18,0),0)</f>
        <v>0</v>
      </c>
      <c r="AA454" s="151" t="str">
        <f aca="false">IF(ISNUMBER(B454),B454*(1+1/'13_Mapa_Liq'!$B$18-'13_Mapa_Liq'!$B$6),"")</f>
        <v/>
      </c>
      <c r="AB454" s="151" t="n">
        <f aca="false">IF(ISNUMBER(B454),IF(L454&lt;AA454,J454*'13_Mapa_Liq'!$C$18,0),0)</f>
        <v>0</v>
      </c>
      <c r="AC454" s="151" t="str">
        <f aca="false">IF(ISNUMBER(B454),B454*(1-1/'13_Mapa_Liq'!$B$19+'13_Mapa_Liq'!$B$6),"")</f>
        <v/>
      </c>
      <c r="AD454" s="151" t="n">
        <f aca="false">IF(ISNUMBER(B454),IF(K454&gt;AC454,I454*'13_Mapa_Liq'!$C$19,0),0)</f>
        <v>0</v>
      </c>
      <c r="AE454" s="151" t="str">
        <f aca="false">IF(ISNUMBER(B454),B454*(1+1/'13_Mapa_Liq'!$B$19-'13_Mapa_Liq'!$B$6),"")</f>
        <v/>
      </c>
      <c r="AF454" s="151" t="n">
        <f aca="false">IF(ISNUMBER(B454),IF(L454&lt;AE454,J454*'13_Mapa_Liq'!$C$19,0),0)</f>
        <v>0</v>
      </c>
      <c r="AG454" s="151"/>
      <c r="AH454" s="151" t="n">
        <f aca="false">IF(ISNUMBER(B454),E454*F454*((K454&lt;=M454)*'13_Mapa_Liq'!$C$15+(K454&lt;=Q454)*'13_Mapa_Liq'!$C$16+(K454&lt;=U454)*'13_Mapa_Liq'!$C$17+(K454&lt;=Y454)*'13_Mapa_Liq'!$C$18+(K454&lt;=AC454)*'13_Mapa_Liq'!$C$19),0)</f>
        <v>0</v>
      </c>
      <c r="AI454" s="151" t="n">
        <f aca="false">IF(ISNUMBER(B454),E454*(1-F454)*((L454&gt;=O454)*'13_Mapa_Liq'!$C$15+(L454&gt;=S454)*'13_Mapa_Liq'!$C$16+(L454&gt;=W454)*'13_Mapa_Liq'!$C$17+(L454&gt;=AA454)*'13_Mapa_Liq'!$C$18+(L454&gt;=AE454)*'13_Mapa_Liq'!$C$19),0)</f>
        <v>0</v>
      </c>
    </row>
    <row r="455" customFormat="false" ht="15" hidden="false" customHeight="false" outlineLevel="0" collapsed="false">
      <c r="A455" s="151" t="str">
        <f aca="false">IF(ISNUMBER('12_Datos_5m'!F455),ROW()-4,"")</f>
        <v/>
      </c>
      <c r="B455" s="151" t="str">
        <f aca="false">IF(ISNUMBER('12_Datos_5m'!F455),'12_Datos_5m'!F455,"")</f>
        <v/>
      </c>
      <c r="C455" s="151" t="str">
        <f aca="false">IF(ISNUMBER('12_Datos_5m'!A455),'12_Datos_5m'!A455,"")</f>
        <v/>
      </c>
      <c r="D455" s="151" t="n">
        <f aca="false">IF(AND(ISNUMBER('12_Datos_5m'!I455),ISNUMBER('12_Datos_5m'!I454)),'12_Datos_5m'!I455-'12_Datos_5m'!I454,0)</f>
        <v>0</v>
      </c>
      <c r="E455" s="151" t="n">
        <f aca="false">MAX(0,D455)</f>
        <v>0</v>
      </c>
      <c r="F455" s="151" t="n">
        <f aca="false">IF(AND(ISNUMBER('12_Datos_5m'!G455),N('12_Datos_5m'!G455)&gt;0),'12_Datos_5m'!H455/'12_Datos_5m'!G455,0.5)</f>
        <v>0.5</v>
      </c>
      <c r="G455" s="151" t="n">
        <f aca="false">IF(ISNUMBER(C455),($C$2-C455)/3600000,0)</f>
        <v>0</v>
      </c>
      <c r="H455" s="151" t="n">
        <f aca="false">EXP(-G455/'13_Mapa_Liq'!$B$7)</f>
        <v>1</v>
      </c>
      <c r="I455" s="151" t="n">
        <f aca="false">E455*F455*H455</f>
        <v>0</v>
      </c>
      <c r="J455" s="151" t="n">
        <f aca="false">E455*(1-F455)*H455</f>
        <v>0</v>
      </c>
      <c r="K455" s="151" t="n">
        <f aca="false">IF(COUNT('12_Datos_5m'!E456:E$504)=0,1000000000000,MIN('12_Datos_5m'!E456:E$504))</f>
        <v>1000000000000</v>
      </c>
      <c r="L455" s="151" t="n">
        <f aca="false">IF(COUNT('12_Datos_5m'!D456:D$504)=0,0,MAX('12_Datos_5m'!D456:D$504))</f>
        <v>0</v>
      </c>
      <c r="M455" s="151" t="str">
        <f aca="false">IF(ISNUMBER(B455),B455*(1-1/'13_Mapa_Liq'!$B$15+'13_Mapa_Liq'!$B$6),"")</f>
        <v/>
      </c>
      <c r="N455" s="151" t="n">
        <f aca="false">IF(ISNUMBER(B455),IF(K455&gt;M455,I455*'13_Mapa_Liq'!$C$15,0),0)</f>
        <v>0</v>
      </c>
      <c r="O455" s="151" t="str">
        <f aca="false">IF(ISNUMBER(B455),B455*(1+1/'13_Mapa_Liq'!$B$15-'13_Mapa_Liq'!$B$6),"")</f>
        <v/>
      </c>
      <c r="P455" s="151" t="n">
        <f aca="false">IF(ISNUMBER(B455),IF(L455&lt;O455,J455*'13_Mapa_Liq'!$C$15,0),0)</f>
        <v>0</v>
      </c>
      <c r="Q455" s="151" t="str">
        <f aca="false">IF(ISNUMBER(B455),B455*(1-1/'13_Mapa_Liq'!$B$16+'13_Mapa_Liq'!$B$6),"")</f>
        <v/>
      </c>
      <c r="R455" s="151" t="n">
        <f aca="false">IF(ISNUMBER(B455),IF(K455&gt;Q455,I455*'13_Mapa_Liq'!$C$16,0),0)</f>
        <v>0</v>
      </c>
      <c r="S455" s="151" t="str">
        <f aca="false">IF(ISNUMBER(B455),B455*(1+1/'13_Mapa_Liq'!$B$16-'13_Mapa_Liq'!$B$6),"")</f>
        <v/>
      </c>
      <c r="T455" s="151" t="n">
        <f aca="false">IF(ISNUMBER(B455),IF(L455&lt;S455,J455*'13_Mapa_Liq'!$C$16,0),0)</f>
        <v>0</v>
      </c>
      <c r="U455" s="151" t="str">
        <f aca="false">IF(ISNUMBER(B455),B455*(1-1/'13_Mapa_Liq'!$B$17+'13_Mapa_Liq'!$B$6),"")</f>
        <v/>
      </c>
      <c r="V455" s="151" t="n">
        <f aca="false">IF(ISNUMBER(B455),IF(K455&gt;U455,I455*'13_Mapa_Liq'!$C$17,0),0)</f>
        <v>0</v>
      </c>
      <c r="W455" s="151" t="str">
        <f aca="false">IF(ISNUMBER(B455),B455*(1+1/'13_Mapa_Liq'!$B$17-'13_Mapa_Liq'!$B$6),"")</f>
        <v/>
      </c>
      <c r="X455" s="151" t="n">
        <f aca="false">IF(ISNUMBER(B455),IF(L455&lt;W455,J455*'13_Mapa_Liq'!$C$17,0),0)</f>
        <v>0</v>
      </c>
      <c r="Y455" s="151" t="str">
        <f aca="false">IF(ISNUMBER(B455),B455*(1-1/'13_Mapa_Liq'!$B$18+'13_Mapa_Liq'!$B$6),"")</f>
        <v/>
      </c>
      <c r="Z455" s="151" t="n">
        <f aca="false">IF(ISNUMBER(B455),IF(K455&gt;Y455,I455*'13_Mapa_Liq'!$C$18,0),0)</f>
        <v>0</v>
      </c>
      <c r="AA455" s="151" t="str">
        <f aca="false">IF(ISNUMBER(B455),B455*(1+1/'13_Mapa_Liq'!$B$18-'13_Mapa_Liq'!$B$6),"")</f>
        <v/>
      </c>
      <c r="AB455" s="151" t="n">
        <f aca="false">IF(ISNUMBER(B455),IF(L455&lt;AA455,J455*'13_Mapa_Liq'!$C$18,0),0)</f>
        <v>0</v>
      </c>
      <c r="AC455" s="151" t="str">
        <f aca="false">IF(ISNUMBER(B455),B455*(1-1/'13_Mapa_Liq'!$B$19+'13_Mapa_Liq'!$B$6),"")</f>
        <v/>
      </c>
      <c r="AD455" s="151" t="n">
        <f aca="false">IF(ISNUMBER(B455),IF(K455&gt;AC455,I455*'13_Mapa_Liq'!$C$19,0),0)</f>
        <v>0</v>
      </c>
      <c r="AE455" s="151" t="str">
        <f aca="false">IF(ISNUMBER(B455),B455*(1+1/'13_Mapa_Liq'!$B$19-'13_Mapa_Liq'!$B$6),"")</f>
        <v/>
      </c>
      <c r="AF455" s="151" t="n">
        <f aca="false">IF(ISNUMBER(B455),IF(L455&lt;AE455,J455*'13_Mapa_Liq'!$C$19,0),0)</f>
        <v>0</v>
      </c>
      <c r="AG455" s="151"/>
      <c r="AH455" s="151" t="n">
        <f aca="false">IF(ISNUMBER(B455),E455*F455*((K455&lt;=M455)*'13_Mapa_Liq'!$C$15+(K455&lt;=Q455)*'13_Mapa_Liq'!$C$16+(K455&lt;=U455)*'13_Mapa_Liq'!$C$17+(K455&lt;=Y455)*'13_Mapa_Liq'!$C$18+(K455&lt;=AC455)*'13_Mapa_Liq'!$C$19),0)</f>
        <v>0</v>
      </c>
      <c r="AI455" s="151" t="n">
        <f aca="false">IF(ISNUMBER(B455),E455*(1-F455)*((L455&gt;=O455)*'13_Mapa_Liq'!$C$15+(L455&gt;=S455)*'13_Mapa_Liq'!$C$16+(L455&gt;=W455)*'13_Mapa_Liq'!$C$17+(L455&gt;=AA455)*'13_Mapa_Liq'!$C$18+(L455&gt;=AE455)*'13_Mapa_Liq'!$C$19),0)</f>
        <v>0</v>
      </c>
    </row>
    <row r="456" customFormat="false" ht="15" hidden="false" customHeight="false" outlineLevel="0" collapsed="false">
      <c r="A456" s="151" t="str">
        <f aca="false">IF(ISNUMBER('12_Datos_5m'!F456),ROW()-4,"")</f>
        <v/>
      </c>
      <c r="B456" s="151" t="str">
        <f aca="false">IF(ISNUMBER('12_Datos_5m'!F456),'12_Datos_5m'!F456,"")</f>
        <v/>
      </c>
      <c r="C456" s="151" t="str">
        <f aca="false">IF(ISNUMBER('12_Datos_5m'!A456),'12_Datos_5m'!A456,"")</f>
        <v/>
      </c>
      <c r="D456" s="151" t="n">
        <f aca="false">IF(AND(ISNUMBER('12_Datos_5m'!I456),ISNUMBER('12_Datos_5m'!I455)),'12_Datos_5m'!I456-'12_Datos_5m'!I455,0)</f>
        <v>0</v>
      </c>
      <c r="E456" s="151" t="n">
        <f aca="false">MAX(0,D456)</f>
        <v>0</v>
      </c>
      <c r="F456" s="151" t="n">
        <f aca="false">IF(AND(ISNUMBER('12_Datos_5m'!G456),N('12_Datos_5m'!G456)&gt;0),'12_Datos_5m'!H456/'12_Datos_5m'!G456,0.5)</f>
        <v>0.5</v>
      </c>
      <c r="G456" s="151" t="n">
        <f aca="false">IF(ISNUMBER(C456),($C$2-C456)/3600000,0)</f>
        <v>0</v>
      </c>
      <c r="H456" s="151" t="n">
        <f aca="false">EXP(-G456/'13_Mapa_Liq'!$B$7)</f>
        <v>1</v>
      </c>
      <c r="I456" s="151" t="n">
        <f aca="false">E456*F456*H456</f>
        <v>0</v>
      </c>
      <c r="J456" s="151" t="n">
        <f aca="false">E456*(1-F456)*H456</f>
        <v>0</v>
      </c>
      <c r="K456" s="151" t="n">
        <f aca="false">IF(COUNT('12_Datos_5m'!E457:E$504)=0,1000000000000,MIN('12_Datos_5m'!E457:E$504))</f>
        <v>1000000000000</v>
      </c>
      <c r="L456" s="151" t="n">
        <f aca="false">IF(COUNT('12_Datos_5m'!D457:D$504)=0,0,MAX('12_Datos_5m'!D457:D$504))</f>
        <v>0</v>
      </c>
      <c r="M456" s="151" t="str">
        <f aca="false">IF(ISNUMBER(B456),B456*(1-1/'13_Mapa_Liq'!$B$15+'13_Mapa_Liq'!$B$6),"")</f>
        <v/>
      </c>
      <c r="N456" s="151" t="n">
        <f aca="false">IF(ISNUMBER(B456),IF(K456&gt;M456,I456*'13_Mapa_Liq'!$C$15,0),0)</f>
        <v>0</v>
      </c>
      <c r="O456" s="151" t="str">
        <f aca="false">IF(ISNUMBER(B456),B456*(1+1/'13_Mapa_Liq'!$B$15-'13_Mapa_Liq'!$B$6),"")</f>
        <v/>
      </c>
      <c r="P456" s="151" t="n">
        <f aca="false">IF(ISNUMBER(B456),IF(L456&lt;O456,J456*'13_Mapa_Liq'!$C$15,0),0)</f>
        <v>0</v>
      </c>
      <c r="Q456" s="151" t="str">
        <f aca="false">IF(ISNUMBER(B456),B456*(1-1/'13_Mapa_Liq'!$B$16+'13_Mapa_Liq'!$B$6),"")</f>
        <v/>
      </c>
      <c r="R456" s="151" t="n">
        <f aca="false">IF(ISNUMBER(B456),IF(K456&gt;Q456,I456*'13_Mapa_Liq'!$C$16,0),0)</f>
        <v>0</v>
      </c>
      <c r="S456" s="151" t="str">
        <f aca="false">IF(ISNUMBER(B456),B456*(1+1/'13_Mapa_Liq'!$B$16-'13_Mapa_Liq'!$B$6),"")</f>
        <v/>
      </c>
      <c r="T456" s="151" t="n">
        <f aca="false">IF(ISNUMBER(B456),IF(L456&lt;S456,J456*'13_Mapa_Liq'!$C$16,0),0)</f>
        <v>0</v>
      </c>
      <c r="U456" s="151" t="str">
        <f aca="false">IF(ISNUMBER(B456),B456*(1-1/'13_Mapa_Liq'!$B$17+'13_Mapa_Liq'!$B$6),"")</f>
        <v/>
      </c>
      <c r="V456" s="151" t="n">
        <f aca="false">IF(ISNUMBER(B456),IF(K456&gt;U456,I456*'13_Mapa_Liq'!$C$17,0),0)</f>
        <v>0</v>
      </c>
      <c r="W456" s="151" t="str">
        <f aca="false">IF(ISNUMBER(B456),B456*(1+1/'13_Mapa_Liq'!$B$17-'13_Mapa_Liq'!$B$6),"")</f>
        <v/>
      </c>
      <c r="X456" s="151" t="n">
        <f aca="false">IF(ISNUMBER(B456),IF(L456&lt;W456,J456*'13_Mapa_Liq'!$C$17,0),0)</f>
        <v>0</v>
      </c>
      <c r="Y456" s="151" t="str">
        <f aca="false">IF(ISNUMBER(B456),B456*(1-1/'13_Mapa_Liq'!$B$18+'13_Mapa_Liq'!$B$6),"")</f>
        <v/>
      </c>
      <c r="Z456" s="151" t="n">
        <f aca="false">IF(ISNUMBER(B456),IF(K456&gt;Y456,I456*'13_Mapa_Liq'!$C$18,0),0)</f>
        <v>0</v>
      </c>
      <c r="AA456" s="151" t="str">
        <f aca="false">IF(ISNUMBER(B456),B456*(1+1/'13_Mapa_Liq'!$B$18-'13_Mapa_Liq'!$B$6),"")</f>
        <v/>
      </c>
      <c r="AB456" s="151" t="n">
        <f aca="false">IF(ISNUMBER(B456),IF(L456&lt;AA456,J456*'13_Mapa_Liq'!$C$18,0),0)</f>
        <v>0</v>
      </c>
      <c r="AC456" s="151" t="str">
        <f aca="false">IF(ISNUMBER(B456),B456*(1-1/'13_Mapa_Liq'!$B$19+'13_Mapa_Liq'!$B$6),"")</f>
        <v/>
      </c>
      <c r="AD456" s="151" t="n">
        <f aca="false">IF(ISNUMBER(B456),IF(K456&gt;AC456,I456*'13_Mapa_Liq'!$C$19,0),0)</f>
        <v>0</v>
      </c>
      <c r="AE456" s="151" t="str">
        <f aca="false">IF(ISNUMBER(B456),B456*(1+1/'13_Mapa_Liq'!$B$19-'13_Mapa_Liq'!$B$6),"")</f>
        <v/>
      </c>
      <c r="AF456" s="151" t="n">
        <f aca="false">IF(ISNUMBER(B456),IF(L456&lt;AE456,J456*'13_Mapa_Liq'!$C$19,0),0)</f>
        <v>0</v>
      </c>
      <c r="AG456" s="151"/>
      <c r="AH456" s="151" t="n">
        <f aca="false">IF(ISNUMBER(B456),E456*F456*((K456&lt;=M456)*'13_Mapa_Liq'!$C$15+(K456&lt;=Q456)*'13_Mapa_Liq'!$C$16+(K456&lt;=U456)*'13_Mapa_Liq'!$C$17+(K456&lt;=Y456)*'13_Mapa_Liq'!$C$18+(K456&lt;=AC456)*'13_Mapa_Liq'!$C$19),0)</f>
        <v>0</v>
      </c>
      <c r="AI456" s="151" t="n">
        <f aca="false">IF(ISNUMBER(B456),E456*(1-F456)*((L456&gt;=O456)*'13_Mapa_Liq'!$C$15+(L456&gt;=S456)*'13_Mapa_Liq'!$C$16+(L456&gt;=W456)*'13_Mapa_Liq'!$C$17+(L456&gt;=AA456)*'13_Mapa_Liq'!$C$18+(L456&gt;=AE456)*'13_Mapa_Liq'!$C$19),0)</f>
        <v>0</v>
      </c>
    </row>
    <row r="457" customFormat="false" ht="15" hidden="false" customHeight="false" outlineLevel="0" collapsed="false">
      <c r="A457" s="151" t="str">
        <f aca="false">IF(ISNUMBER('12_Datos_5m'!F457),ROW()-4,"")</f>
        <v/>
      </c>
      <c r="B457" s="151" t="str">
        <f aca="false">IF(ISNUMBER('12_Datos_5m'!F457),'12_Datos_5m'!F457,"")</f>
        <v/>
      </c>
      <c r="C457" s="151" t="str">
        <f aca="false">IF(ISNUMBER('12_Datos_5m'!A457),'12_Datos_5m'!A457,"")</f>
        <v/>
      </c>
      <c r="D457" s="151" t="n">
        <f aca="false">IF(AND(ISNUMBER('12_Datos_5m'!I457),ISNUMBER('12_Datos_5m'!I456)),'12_Datos_5m'!I457-'12_Datos_5m'!I456,0)</f>
        <v>0</v>
      </c>
      <c r="E457" s="151" t="n">
        <f aca="false">MAX(0,D457)</f>
        <v>0</v>
      </c>
      <c r="F457" s="151" t="n">
        <f aca="false">IF(AND(ISNUMBER('12_Datos_5m'!G457),N('12_Datos_5m'!G457)&gt;0),'12_Datos_5m'!H457/'12_Datos_5m'!G457,0.5)</f>
        <v>0.5</v>
      </c>
      <c r="G457" s="151" t="n">
        <f aca="false">IF(ISNUMBER(C457),($C$2-C457)/3600000,0)</f>
        <v>0</v>
      </c>
      <c r="H457" s="151" t="n">
        <f aca="false">EXP(-G457/'13_Mapa_Liq'!$B$7)</f>
        <v>1</v>
      </c>
      <c r="I457" s="151" t="n">
        <f aca="false">E457*F457*H457</f>
        <v>0</v>
      </c>
      <c r="J457" s="151" t="n">
        <f aca="false">E457*(1-F457)*H457</f>
        <v>0</v>
      </c>
      <c r="K457" s="151" t="n">
        <f aca="false">IF(COUNT('12_Datos_5m'!E458:E$504)=0,1000000000000,MIN('12_Datos_5m'!E458:E$504))</f>
        <v>1000000000000</v>
      </c>
      <c r="L457" s="151" t="n">
        <f aca="false">IF(COUNT('12_Datos_5m'!D458:D$504)=0,0,MAX('12_Datos_5m'!D458:D$504))</f>
        <v>0</v>
      </c>
      <c r="M457" s="151" t="str">
        <f aca="false">IF(ISNUMBER(B457),B457*(1-1/'13_Mapa_Liq'!$B$15+'13_Mapa_Liq'!$B$6),"")</f>
        <v/>
      </c>
      <c r="N457" s="151" t="n">
        <f aca="false">IF(ISNUMBER(B457),IF(K457&gt;M457,I457*'13_Mapa_Liq'!$C$15,0),0)</f>
        <v>0</v>
      </c>
      <c r="O457" s="151" t="str">
        <f aca="false">IF(ISNUMBER(B457),B457*(1+1/'13_Mapa_Liq'!$B$15-'13_Mapa_Liq'!$B$6),"")</f>
        <v/>
      </c>
      <c r="P457" s="151" t="n">
        <f aca="false">IF(ISNUMBER(B457),IF(L457&lt;O457,J457*'13_Mapa_Liq'!$C$15,0),0)</f>
        <v>0</v>
      </c>
      <c r="Q457" s="151" t="str">
        <f aca="false">IF(ISNUMBER(B457),B457*(1-1/'13_Mapa_Liq'!$B$16+'13_Mapa_Liq'!$B$6),"")</f>
        <v/>
      </c>
      <c r="R457" s="151" t="n">
        <f aca="false">IF(ISNUMBER(B457),IF(K457&gt;Q457,I457*'13_Mapa_Liq'!$C$16,0),0)</f>
        <v>0</v>
      </c>
      <c r="S457" s="151" t="str">
        <f aca="false">IF(ISNUMBER(B457),B457*(1+1/'13_Mapa_Liq'!$B$16-'13_Mapa_Liq'!$B$6),"")</f>
        <v/>
      </c>
      <c r="T457" s="151" t="n">
        <f aca="false">IF(ISNUMBER(B457),IF(L457&lt;S457,J457*'13_Mapa_Liq'!$C$16,0),0)</f>
        <v>0</v>
      </c>
      <c r="U457" s="151" t="str">
        <f aca="false">IF(ISNUMBER(B457),B457*(1-1/'13_Mapa_Liq'!$B$17+'13_Mapa_Liq'!$B$6),"")</f>
        <v/>
      </c>
      <c r="V457" s="151" t="n">
        <f aca="false">IF(ISNUMBER(B457),IF(K457&gt;U457,I457*'13_Mapa_Liq'!$C$17,0),0)</f>
        <v>0</v>
      </c>
      <c r="W457" s="151" t="str">
        <f aca="false">IF(ISNUMBER(B457),B457*(1+1/'13_Mapa_Liq'!$B$17-'13_Mapa_Liq'!$B$6),"")</f>
        <v/>
      </c>
      <c r="X457" s="151" t="n">
        <f aca="false">IF(ISNUMBER(B457),IF(L457&lt;W457,J457*'13_Mapa_Liq'!$C$17,0),0)</f>
        <v>0</v>
      </c>
      <c r="Y457" s="151" t="str">
        <f aca="false">IF(ISNUMBER(B457),B457*(1-1/'13_Mapa_Liq'!$B$18+'13_Mapa_Liq'!$B$6),"")</f>
        <v/>
      </c>
      <c r="Z457" s="151" t="n">
        <f aca="false">IF(ISNUMBER(B457),IF(K457&gt;Y457,I457*'13_Mapa_Liq'!$C$18,0),0)</f>
        <v>0</v>
      </c>
      <c r="AA457" s="151" t="str">
        <f aca="false">IF(ISNUMBER(B457),B457*(1+1/'13_Mapa_Liq'!$B$18-'13_Mapa_Liq'!$B$6),"")</f>
        <v/>
      </c>
      <c r="AB457" s="151" t="n">
        <f aca="false">IF(ISNUMBER(B457),IF(L457&lt;AA457,J457*'13_Mapa_Liq'!$C$18,0),0)</f>
        <v>0</v>
      </c>
      <c r="AC457" s="151" t="str">
        <f aca="false">IF(ISNUMBER(B457),B457*(1-1/'13_Mapa_Liq'!$B$19+'13_Mapa_Liq'!$B$6),"")</f>
        <v/>
      </c>
      <c r="AD457" s="151" t="n">
        <f aca="false">IF(ISNUMBER(B457),IF(K457&gt;AC457,I457*'13_Mapa_Liq'!$C$19,0),0)</f>
        <v>0</v>
      </c>
      <c r="AE457" s="151" t="str">
        <f aca="false">IF(ISNUMBER(B457),B457*(1+1/'13_Mapa_Liq'!$B$19-'13_Mapa_Liq'!$B$6),"")</f>
        <v/>
      </c>
      <c r="AF457" s="151" t="n">
        <f aca="false">IF(ISNUMBER(B457),IF(L457&lt;AE457,J457*'13_Mapa_Liq'!$C$19,0),0)</f>
        <v>0</v>
      </c>
      <c r="AG457" s="151"/>
      <c r="AH457" s="151" t="n">
        <f aca="false">IF(ISNUMBER(B457),E457*F457*((K457&lt;=M457)*'13_Mapa_Liq'!$C$15+(K457&lt;=Q457)*'13_Mapa_Liq'!$C$16+(K457&lt;=U457)*'13_Mapa_Liq'!$C$17+(K457&lt;=Y457)*'13_Mapa_Liq'!$C$18+(K457&lt;=AC457)*'13_Mapa_Liq'!$C$19),0)</f>
        <v>0</v>
      </c>
      <c r="AI457" s="151" t="n">
        <f aca="false">IF(ISNUMBER(B457),E457*(1-F457)*((L457&gt;=O457)*'13_Mapa_Liq'!$C$15+(L457&gt;=S457)*'13_Mapa_Liq'!$C$16+(L457&gt;=W457)*'13_Mapa_Liq'!$C$17+(L457&gt;=AA457)*'13_Mapa_Liq'!$C$18+(L457&gt;=AE457)*'13_Mapa_Liq'!$C$19),0)</f>
        <v>0</v>
      </c>
    </row>
    <row r="458" customFormat="false" ht="15" hidden="false" customHeight="false" outlineLevel="0" collapsed="false">
      <c r="A458" s="151" t="str">
        <f aca="false">IF(ISNUMBER('12_Datos_5m'!F458),ROW()-4,"")</f>
        <v/>
      </c>
      <c r="B458" s="151" t="str">
        <f aca="false">IF(ISNUMBER('12_Datos_5m'!F458),'12_Datos_5m'!F458,"")</f>
        <v/>
      </c>
      <c r="C458" s="151" t="str">
        <f aca="false">IF(ISNUMBER('12_Datos_5m'!A458),'12_Datos_5m'!A458,"")</f>
        <v/>
      </c>
      <c r="D458" s="151" t="n">
        <f aca="false">IF(AND(ISNUMBER('12_Datos_5m'!I458),ISNUMBER('12_Datos_5m'!I457)),'12_Datos_5m'!I458-'12_Datos_5m'!I457,0)</f>
        <v>0</v>
      </c>
      <c r="E458" s="151" t="n">
        <f aca="false">MAX(0,D458)</f>
        <v>0</v>
      </c>
      <c r="F458" s="151" t="n">
        <f aca="false">IF(AND(ISNUMBER('12_Datos_5m'!G458),N('12_Datos_5m'!G458)&gt;0),'12_Datos_5m'!H458/'12_Datos_5m'!G458,0.5)</f>
        <v>0.5</v>
      </c>
      <c r="G458" s="151" t="n">
        <f aca="false">IF(ISNUMBER(C458),($C$2-C458)/3600000,0)</f>
        <v>0</v>
      </c>
      <c r="H458" s="151" t="n">
        <f aca="false">EXP(-G458/'13_Mapa_Liq'!$B$7)</f>
        <v>1</v>
      </c>
      <c r="I458" s="151" t="n">
        <f aca="false">E458*F458*H458</f>
        <v>0</v>
      </c>
      <c r="J458" s="151" t="n">
        <f aca="false">E458*(1-F458)*H458</f>
        <v>0</v>
      </c>
      <c r="K458" s="151" t="n">
        <f aca="false">IF(COUNT('12_Datos_5m'!E459:E$504)=0,1000000000000,MIN('12_Datos_5m'!E459:E$504))</f>
        <v>1000000000000</v>
      </c>
      <c r="L458" s="151" t="n">
        <f aca="false">IF(COUNT('12_Datos_5m'!D459:D$504)=0,0,MAX('12_Datos_5m'!D459:D$504))</f>
        <v>0</v>
      </c>
      <c r="M458" s="151" t="str">
        <f aca="false">IF(ISNUMBER(B458),B458*(1-1/'13_Mapa_Liq'!$B$15+'13_Mapa_Liq'!$B$6),"")</f>
        <v/>
      </c>
      <c r="N458" s="151" t="n">
        <f aca="false">IF(ISNUMBER(B458),IF(K458&gt;M458,I458*'13_Mapa_Liq'!$C$15,0),0)</f>
        <v>0</v>
      </c>
      <c r="O458" s="151" t="str">
        <f aca="false">IF(ISNUMBER(B458),B458*(1+1/'13_Mapa_Liq'!$B$15-'13_Mapa_Liq'!$B$6),"")</f>
        <v/>
      </c>
      <c r="P458" s="151" t="n">
        <f aca="false">IF(ISNUMBER(B458),IF(L458&lt;O458,J458*'13_Mapa_Liq'!$C$15,0),0)</f>
        <v>0</v>
      </c>
      <c r="Q458" s="151" t="str">
        <f aca="false">IF(ISNUMBER(B458),B458*(1-1/'13_Mapa_Liq'!$B$16+'13_Mapa_Liq'!$B$6),"")</f>
        <v/>
      </c>
      <c r="R458" s="151" t="n">
        <f aca="false">IF(ISNUMBER(B458),IF(K458&gt;Q458,I458*'13_Mapa_Liq'!$C$16,0),0)</f>
        <v>0</v>
      </c>
      <c r="S458" s="151" t="str">
        <f aca="false">IF(ISNUMBER(B458),B458*(1+1/'13_Mapa_Liq'!$B$16-'13_Mapa_Liq'!$B$6),"")</f>
        <v/>
      </c>
      <c r="T458" s="151" t="n">
        <f aca="false">IF(ISNUMBER(B458),IF(L458&lt;S458,J458*'13_Mapa_Liq'!$C$16,0),0)</f>
        <v>0</v>
      </c>
      <c r="U458" s="151" t="str">
        <f aca="false">IF(ISNUMBER(B458),B458*(1-1/'13_Mapa_Liq'!$B$17+'13_Mapa_Liq'!$B$6),"")</f>
        <v/>
      </c>
      <c r="V458" s="151" t="n">
        <f aca="false">IF(ISNUMBER(B458),IF(K458&gt;U458,I458*'13_Mapa_Liq'!$C$17,0),0)</f>
        <v>0</v>
      </c>
      <c r="W458" s="151" t="str">
        <f aca="false">IF(ISNUMBER(B458),B458*(1+1/'13_Mapa_Liq'!$B$17-'13_Mapa_Liq'!$B$6),"")</f>
        <v/>
      </c>
      <c r="X458" s="151" t="n">
        <f aca="false">IF(ISNUMBER(B458),IF(L458&lt;W458,J458*'13_Mapa_Liq'!$C$17,0),0)</f>
        <v>0</v>
      </c>
      <c r="Y458" s="151" t="str">
        <f aca="false">IF(ISNUMBER(B458),B458*(1-1/'13_Mapa_Liq'!$B$18+'13_Mapa_Liq'!$B$6),"")</f>
        <v/>
      </c>
      <c r="Z458" s="151" t="n">
        <f aca="false">IF(ISNUMBER(B458),IF(K458&gt;Y458,I458*'13_Mapa_Liq'!$C$18,0),0)</f>
        <v>0</v>
      </c>
      <c r="AA458" s="151" t="str">
        <f aca="false">IF(ISNUMBER(B458),B458*(1+1/'13_Mapa_Liq'!$B$18-'13_Mapa_Liq'!$B$6),"")</f>
        <v/>
      </c>
      <c r="AB458" s="151" t="n">
        <f aca="false">IF(ISNUMBER(B458),IF(L458&lt;AA458,J458*'13_Mapa_Liq'!$C$18,0),0)</f>
        <v>0</v>
      </c>
      <c r="AC458" s="151" t="str">
        <f aca="false">IF(ISNUMBER(B458),B458*(1-1/'13_Mapa_Liq'!$B$19+'13_Mapa_Liq'!$B$6),"")</f>
        <v/>
      </c>
      <c r="AD458" s="151" t="n">
        <f aca="false">IF(ISNUMBER(B458),IF(K458&gt;AC458,I458*'13_Mapa_Liq'!$C$19,0),0)</f>
        <v>0</v>
      </c>
      <c r="AE458" s="151" t="str">
        <f aca="false">IF(ISNUMBER(B458),B458*(1+1/'13_Mapa_Liq'!$B$19-'13_Mapa_Liq'!$B$6),"")</f>
        <v/>
      </c>
      <c r="AF458" s="151" t="n">
        <f aca="false">IF(ISNUMBER(B458),IF(L458&lt;AE458,J458*'13_Mapa_Liq'!$C$19,0),0)</f>
        <v>0</v>
      </c>
      <c r="AG458" s="151"/>
      <c r="AH458" s="151" t="n">
        <f aca="false">IF(ISNUMBER(B458),E458*F458*((K458&lt;=M458)*'13_Mapa_Liq'!$C$15+(K458&lt;=Q458)*'13_Mapa_Liq'!$C$16+(K458&lt;=U458)*'13_Mapa_Liq'!$C$17+(K458&lt;=Y458)*'13_Mapa_Liq'!$C$18+(K458&lt;=AC458)*'13_Mapa_Liq'!$C$19),0)</f>
        <v>0</v>
      </c>
      <c r="AI458" s="151" t="n">
        <f aca="false">IF(ISNUMBER(B458),E458*(1-F458)*((L458&gt;=O458)*'13_Mapa_Liq'!$C$15+(L458&gt;=S458)*'13_Mapa_Liq'!$C$16+(L458&gt;=W458)*'13_Mapa_Liq'!$C$17+(L458&gt;=AA458)*'13_Mapa_Liq'!$C$18+(L458&gt;=AE458)*'13_Mapa_Liq'!$C$19),0)</f>
        <v>0</v>
      </c>
    </row>
    <row r="459" customFormat="false" ht="15" hidden="false" customHeight="false" outlineLevel="0" collapsed="false">
      <c r="A459" s="151" t="str">
        <f aca="false">IF(ISNUMBER('12_Datos_5m'!F459),ROW()-4,"")</f>
        <v/>
      </c>
      <c r="B459" s="151" t="str">
        <f aca="false">IF(ISNUMBER('12_Datos_5m'!F459),'12_Datos_5m'!F459,"")</f>
        <v/>
      </c>
      <c r="C459" s="151" t="str">
        <f aca="false">IF(ISNUMBER('12_Datos_5m'!A459),'12_Datos_5m'!A459,"")</f>
        <v/>
      </c>
      <c r="D459" s="151" t="n">
        <f aca="false">IF(AND(ISNUMBER('12_Datos_5m'!I459),ISNUMBER('12_Datos_5m'!I458)),'12_Datos_5m'!I459-'12_Datos_5m'!I458,0)</f>
        <v>0</v>
      </c>
      <c r="E459" s="151" t="n">
        <f aca="false">MAX(0,D459)</f>
        <v>0</v>
      </c>
      <c r="F459" s="151" t="n">
        <f aca="false">IF(AND(ISNUMBER('12_Datos_5m'!G459),N('12_Datos_5m'!G459)&gt;0),'12_Datos_5m'!H459/'12_Datos_5m'!G459,0.5)</f>
        <v>0.5</v>
      </c>
      <c r="G459" s="151" t="n">
        <f aca="false">IF(ISNUMBER(C459),($C$2-C459)/3600000,0)</f>
        <v>0</v>
      </c>
      <c r="H459" s="151" t="n">
        <f aca="false">EXP(-G459/'13_Mapa_Liq'!$B$7)</f>
        <v>1</v>
      </c>
      <c r="I459" s="151" t="n">
        <f aca="false">E459*F459*H459</f>
        <v>0</v>
      </c>
      <c r="J459" s="151" t="n">
        <f aca="false">E459*(1-F459)*H459</f>
        <v>0</v>
      </c>
      <c r="K459" s="151" t="n">
        <f aca="false">IF(COUNT('12_Datos_5m'!E460:E$504)=0,1000000000000,MIN('12_Datos_5m'!E460:E$504))</f>
        <v>1000000000000</v>
      </c>
      <c r="L459" s="151" t="n">
        <f aca="false">IF(COUNT('12_Datos_5m'!D460:D$504)=0,0,MAX('12_Datos_5m'!D460:D$504))</f>
        <v>0</v>
      </c>
      <c r="M459" s="151" t="str">
        <f aca="false">IF(ISNUMBER(B459),B459*(1-1/'13_Mapa_Liq'!$B$15+'13_Mapa_Liq'!$B$6),"")</f>
        <v/>
      </c>
      <c r="N459" s="151" t="n">
        <f aca="false">IF(ISNUMBER(B459),IF(K459&gt;M459,I459*'13_Mapa_Liq'!$C$15,0),0)</f>
        <v>0</v>
      </c>
      <c r="O459" s="151" t="str">
        <f aca="false">IF(ISNUMBER(B459),B459*(1+1/'13_Mapa_Liq'!$B$15-'13_Mapa_Liq'!$B$6),"")</f>
        <v/>
      </c>
      <c r="P459" s="151" t="n">
        <f aca="false">IF(ISNUMBER(B459),IF(L459&lt;O459,J459*'13_Mapa_Liq'!$C$15,0),0)</f>
        <v>0</v>
      </c>
      <c r="Q459" s="151" t="str">
        <f aca="false">IF(ISNUMBER(B459),B459*(1-1/'13_Mapa_Liq'!$B$16+'13_Mapa_Liq'!$B$6),"")</f>
        <v/>
      </c>
      <c r="R459" s="151" t="n">
        <f aca="false">IF(ISNUMBER(B459),IF(K459&gt;Q459,I459*'13_Mapa_Liq'!$C$16,0),0)</f>
        <v>0</v>
      </c>
      <c r="S459" s="151" t="str">
        <f aca="false">IF(ISNUMBER(B459),B459*(1+1/'13_Mapa_Liq'!$B$16-'13_Mapa_Liq'!$B$6),"")</f>
        <v/>
      </c>
      <c r="T459" s="151" t="n">
        <f aca="false">IF(ISNUMBER(B459),IF(L459&lt;S459,J459*'13_Mapa_Liq'!$C$16,0),0)</f>
        <v>0</v>
      </c>
      <c r="U459" s="151" t="str">
        <f aca="false">IF(ISNUMBER(B459),B459*(1-1/'13_Mapa_Liq'!$B$17+'13_Mapa_Liq'!$B$6),"")</f>
        <v/>
      </c>
      <c r="V459" s="151" t="n">
        <f aca="false">IF(ISNUMBER(B459),IF(K459&gt;U459,I459*'13_Mapa_Liq'!$C$17,0),0)</f>
        <v>0</v>
      </c>
      <c r="W459" s="151" t="str">
        <f aca="false">IF(ISNUMBER(B459),B459*(1+1/'13_Mapa_Liq'!$B$17-'13_Mapa_Liq'!$B$6),"")</f>
        <v/>
      </c>
      <c r="X459" s="151" t="n">
        <f aca="false">IF(ISNUMBER(B459),IF(L459&lt;W459,J459*'13_Mapa_Liq'!$C$17,0),0)</f>
        <v>0</v>
      </c>
      <c r="Y459" s="151" t="str">
        <f aca="false">IF(ISNUMBER(B459),B459*(1-1/'13_Mapa_Liq'!$B$18+'13_Mapa_Liq'!$B$6),"")</f>
        <v/>
      </c>
      <c r="Z459" s="151" t="n">
        <f aca="false">IF(ISNUMBER(B459),IF(K459&gt;Y459,I459*'13_Mapa_Liq'!$C$18,0),0)</f>
        <v>0</v>
      </c>
      <c r="AA459" s="151" t="str">
        <f aca="false">IF(ISNUMBER(B459),B459*(1+1/'13_Mapa_Liq'!$B$18-'13_Mapa_Liq'!$B$6),"")</f>
        <v/>
      </c>
      <c r="AB459" s="151" t="n">
        <f aca="false">IF(ISNUMBER(B459),IF(L459&lt;AA459,J459*'13_Mapa_Liq'!$C$18,0),0)</f>
        <v>0</v>
      </c>
      <c r="AC459" s="151" t="str">
        <f aca="false">IF(ISNUMBER(B459),B459*(1-1/'13_Mapa_Liq'!$B$19+'13_Mapa_Liq'!$B$6),"")</f>
        <v/>
      </c>
      <c r="AD459" s="151" t="n">
        <f aca="false">IF(ISNUMBER(B459),IF(K459&gt;AC459,I459*'13_Mapa_Liq'!$C$19,0),0)</f>
        <v>0</v>
      </c>
      <c r="AE459" s="151" t="str">
        <f aca="false">IF(ISNUMBER(B459),B459*(1+1/'13_Mapa_Liq'!$B$19-'13_Mapa_Liq'!$B$6),"")</f>
        <v/>
      </c>
      <c r="AF459" s="151" t="n">
        <f aca="false">IF(ISNUMBER(B459),IF(L459&lt;AE459,J459*'13_Mapa_Liq'!$C$19,0),0)</f>
        <v>0</v>
      </c>
      <c r="AG459" s="151"/>
      <c r="AH459" s="151" t="n">
        <f aca="false">IF(ISNUMBER(B459),E459*F459*((K459&lt;=M459)*'13_Mapa_Liq'!$C$15+(K459&lt;=Q459)*'13_Mapa_Liq'!$C$16+(K459&lt;=U459)*'13_Mapa_Liq'!$C$17+(K459&lt;=Y459)*'13_Mapa_Liq'!$C$18+(K459&lt;=AC459)*'13_Mapa_Liq'!$C$19),0)</f>
        <v>0</v>
      </c>
      <c r="AI459" s="151" t="n">
        <f aca="false">IF(ISNUMBER(B459),E459*(1-F459)*((L459&gt;=O459)*'13_Mapa_Liq'!$C$15+(L459&gt;=S459)*'13_Mapa_Liq'!$C$16+(L459&gt;=W459)*'13_Mapa_Liq'!$C$17+(L459&gt;=AA459)*'13_Mapa_Liq'!$C$18+(L459&gt;=AE459)*'13_Mapa_Liq'!$C$19),0)</f>
        <v>0</v>
      </c>
    </row>
    <row r="460" customFormat="false" ht="15" hidden="false" customHeight="false" outlineLevel="0" collapsed="false">
      <c r="A460" s="151" t="str">
        <f aca="false">IF(ISNUMBER('12_Datos_5m'!F460),ROW()-4,"")</f>
        <v/>
      </c>
      <c r="B460" s="151" t="str">
        <f aca="false">IF(ISNUMBER('12_Datos_5m'!F460),'12_Datos_5m'!F460,"")</f>
        <v/>
      </c>
      <c r="C460" s="151" t="str">
        <f aca="false">IF(ISNUMBER('12_Datos_5m'!A460),'12_Datos_5m'!A460,"")</f>
        <v/>
      </c>
      <c r="D460" s="151" t="n">
        <f aca="false">IF(AND(ISNUMBER('12_Datos_5m'!I460),ISNUMBER('12_Datos_5m'!I459)),'12_Datos_5m'!I460-'12_Datos_5m'!I459,0)</f>
        <v>0</v>
      </c>
      <c r="E460" s="151" t="n">
        <f aca="false">MAX(0,D460)</f>
        <v>0</v>
      </c>
      <c r="F460" s="151" t="n">
        <f aca="false">IF(AND(ISNUMBER('12_Datos_5m'!G460),N('12_Datos_5m'!G460)&gt;0),'12_Datos_5m'!H460/'12_Datos_5m'!G460,0.5)</f>
        <v>0.5</v>
      </c>
      <c r="G460" s="151" t="n">
        <f aca="false">IF(ISNUMBER(C460),($C$2-C460)/3600000,0)</f>
        <v>0</v>
      </c>
      <c r="H460" s="151" t="n">
        <f aca="false">EXP(-G460/'13_Mapa_Liq'!$B$7)</f>
        <v>1</v>
      </c>
      <c r="I460" s="151" t="n">
        <f aca="false">E460*F460*H460</f>
        <v>0</v>
      </c>
      <c r="J460" s="151" t="n">
        <f aca="false">E460*(1-F460)*H460</f>
        <v>0</v>
      </c>
      <c r="K460" s="151" t="n">
        <f aca="false">IF(COUNT('12_Datos_5m'!E461:E$504)=0,1000000000000,MIN('12_Datos_5m'!E461:E$504))</f>
        <v>1000000000000</v>
      </c>
      <c r="L460" s="151" t="n">
        <f aca="false">IF(COUNT('12_Datos_5m'!D461:D$504)=0,0,MAX('12_Datos_5m'!D461:D$504))</f>
        <v>0</v>
      </c>
      <c r="M460" s="151" t="str">
        <f aca="false">IF(ISNUMBER(B460),B460*(1-1/'13_Mapa_Liq'!$B$15+'13_Mapa_Liq'!$B$6),"")</f>
        <v/>
      </c>
      <c r="N460" s="151" t="n">
        <f aca="false">IF(ISNUMBER(B460),IF(K460&gt;M460,I460*'13_Mapa_Liq'!$C$15,0),0)</f>
        <v>0</v>
      </c>
      <c r="O460" s="151" t="str">
        <f aca="false">IF(ISNUMBER(B460),B460*(1+1/'13_Mapa_Liq'!$B$15-'13_Mapa_Liq'!$B$6),"")</f>
        <v/>
      </c>
      <c r="P460" s="151" t="n">
        <f aca="false">IF(ISNUMBER(B460),IF(L460&lt;O460,J460*'13_Mapa_Liq'!$C$15,0),0)</f>
        <v>0</v>
      </c>
      <c r="Q460" s="151" t="str">
        <f aca="false">IF(ISNUMBER(B460),B460*(1-1/'13_Mapa_Liq'!$B$16+'13_Mapa_Liq'!$B$6),"")</f>
        <v/>
      </c>
      <c r="R460" s="151" t="n">
        <f aca="false">IF(ISNUMBER(B460),IF(K460&gt;Q460,I460*'13_Mapa_Liq'!$C$16,0),0)</f>
        <v>0</v>
      </c>
      <c r="S460" s="151" t="str">
        <f aca="false">IF(ISNUMBER(B460),B460*(1+1/'13_Mapa_Liq'!$B$16-'13_Mapa_Liq'!$B$6),"")</f>
        <v/>
      </c>
      <c r="T460" s="151" t="n">
        <f aca="false">IF(ISNUMBER(B460),IF(L460&lt;S460,J460*'13_Mapa_Liq'!$C$16,0),0)</f>
        <v>0</v>
      </c>
      <c r="U460" s="151" t="str">
        <f aca="false">IF(ISNUMBER(B460),B460*(1-1/'13_Mapa_Liq'!$B$17+'13_Mapa_Liq'!$B$6),"")</f>
        <v/>
      </c>
      <c r="V460" s="151" t="n">
        <f aca="false">IF(ISNUMBER(B460),IF(K460&gt;U460,I460*'13_Mapa_Liq'!$C$17,0),0)</f>
        <v>0</v>
      </c>
      <c r="W460" s="151" t="str">
        <f aca="false">IF(ISNUMBER(B460),B460*(1+1/'13_Mapa_Liq'!$B$17-'13_Mapa_Liq'!$B$6),"")</f>
        <v/>
      </c>
      <c r="X460" s="151" t="n">
        <f aca="false">IF(ISNUMBER(B460),IF(L460&lt;W460,J460*'13_Mapa_Liq'!$C$17,0),0)</f>
        <v>0</v>
      </c>
      <c r="Y460" s="151" t="str">
        <f aca="false">IF(ISNUMBER(B460),B460*(1-1/'13_Mapa_Liq'!$B$18+'13_Mapa_Liq'!$B$6),"")</f>
        <v/>
      </c>
      <c r="Z460" s="151" t="n">
        <f aca="false">IF(ISNUMBER(B460),IF(K460&gt;Y460,I460*'13_Mapa_Liq'!$C$18,0),0)</f>
        <v>0</v>
      </c>
      <c r="AA460" s="151" t="str">
        <f aca="false">IF(ISNUMBER(B460),B460*(1+1/'13_Mapa_Liq'!$B$18-'13_Mapa_Liq'!$B$6),"")</f>
        <v/>
      </c>
      <c r="AB460" s="151" t="n">
        <f aca="false">IF(ISNUMBER(B460),IF(L460&lt;AA460,J460*'13_Mapa_Liq'!$C$18,0),0)</f>
        <v>0</v>
      </c>
      <c r="AC460" s="151" t="str">
        <f aca="false">IF(ISNUMBER(B460),B460*(1-1/'13_Mapa_Liq'!$B$19+'13_Mapa_Liq'!$B$6),"")</f>
        <v/>
      </c>
      <c r="AD460" s="151" t="n">
        <f aca="false">IF(ISNUMBER(B460),IF(K460&gt;AC460,I460*'13_Mapa_Liq'!$C$19,0),0)</f>
        <v>0</v>
      </c>
      <c r="AE460" s="151" t="str">
        <f aca="false">IF(ISNUMBER(B460),B460*(1+1/'13_Mapa_Liq'!$B$19-'13_Mapa_Liq'!$B$6),"")</f>
        <v/>
      </c>
      <c r="AF460" s="151" t="n">
        <f aca="false">IF(ISNUMBER(B460),IF(L460&lt;AE460,J460*'13_Mapa_Liq'!$C$19,0),0)</f>
        <v>0</v>
      </c>
      <c r="AG460" s="151"/>
      <c r="AH460" s="151" t="n">
        <f aca="false">IF(ISNUMBER(B460),E460*F460*((K460&lt;=M460)*'13_Mapa_Liq'!$C$15+(K460&lt;=Q460)*'13_Mapa_Liq'!$C$16+(K460&lt;=U460)*'13_Mapa_Liq'!$C$17+(K460&lt;=Y460)*'13_Mapa_Liq'!$C$18+(K460&lt;=AC460)*'13_Mapa_Liq'!$C$19),0)</f>
        <v>0</v>
      </c>
      <c r="AI460" s="151" t="n">
        <f aca="false">IF(ISNUMBER(B460),E460*(1-F460)*((L460&gt;=O460)*'13_Mapa_Liq'!$C$15+(L460&gt;=S460)*'13_Mapa_Liq'!$C$16+(L460&gt;=W460)*'13_Mapa_Liq'!$C$17+(L460&gt;=AA460)*'13_Mapa_Liq'!$C$18+(L460&gt;=AE460)*'13_Mapa_Liq'!$C$19),0)</f>
        <v>0</v>
      </c>
    </row>
    <row r="461" customFormat="false" ht="15" hidden="false" customHeight="false" outlineLevel="0" collapsed="false">
      <c r="A461" s="151" t="str">
        <f aca="false">IF(ISNUMBER('12_Datos_5m'!F461),ROW()-4,"")</f>
        <v/>
      </c>
      <c r="B461" s="151" t="str">
        <f aca="false">IF(ISNUMBER('12_Datos_5m'!F461),'12_Datos_5m'!F461,"")</f>
        <v/>
      </c>
      <c r="C461" s="151" t="str">
        <f aca="false">IF(ISNUMBER('12_Datos_5m'!A461),'12_Datos_5m'!A461,"")</f>
        <v/>
      </c>
      <c r="D461" s="151" t="n">
        <f aca="false">IF(AND(ISNUMBER('12_Datos_5m'!I461),ISNUMBER('12_Datos_5m'!I460)),'12_Datos_5m'!I461-'12_Datos_5m'!I460,0)</f>
        <v>0</v>
      </c>
      <c r="E461" s="151" t="n">
        <f aca="false">MAX(0,D461)</f>
        <v>0</v>
      </c>
      <c r="F461" s="151" t="n">
        <f aca="false">IF(AND(ISNUMBER('12_Datos_5m'!G461),N('12_Datos_5m'!G461)&gt;0),'12_Datos_5m'!H461/'12_Datos_5m'!G461,0.5)</f>
        <v>0.5</v>
      </c>
      <c r="G461" s="151" t="n">
        <f aca="false">IF(ISNUMBER(C461),($C$2-C461)/3600000,0)</f>
        <v>0</v>
      </c>
      <c r="H461" s="151" t="n">
        <f aca="false">EXP(-G461/'13_Mapa_Liq'!$B$7)</f>
        <v>1</v>
      </c>
      <c r="I461" s="151" t="n">
        <f aca="false">E461*F461*H461</f>
        <v>0</v>
      </c>
      <c r="J461" s="151" t="n">
        <f aca="false">E461*(1-F461)*H461</f>
        <v>0</v>
      </c>
      <c r="K461" s="151" t="n">
        <f aca="false">IF(COUNT('12_Datos_5m'!E462:E$504)=0,1000000000000,MIN('12_Datos_5m'!E462:E$504))</f>
        <v>1000000000000</v>
      </c>
      <c r="L461" s="151" t="n">
        <f aca="false">IF(COUNT('12_Datos_5m'!D462:D$504)=0,0,MAX('12_Datos_5m'!D462:D$504))</f>
        <v>0</v>
      </c>
      <c r="M461" s="151" t="str">
        <f aca="false">IF(ISNUMBER(B461),B461*(1-1/'13_Mapa_Liq'!$B$15+'13_Mapa_Liq'!$B$6),"")</f>
        <v/>
      </c>
      <c r="N461" s="151" t="n">
        <f aca="false">IF(ISNUMBER(B461),IF(K461&gt;M461,I461*'13_Mapa_Liq'!$C$15,0),0)</f>
        <v>0</v>
      </c>
      <c r="O461" s="151" t="str">
        <f aca="false">IF(ISNUMBER(B461),B461*(1+1/'13_Mapa_Liq'!$B$15-'13_Mapa_Liq'!$B$6),"")</f>
        <v/>
      </c>
      <c r="P461" s="151" t="n">
        <f aca="false">IF(ISNUMBER(B461),IF(L461&lt;O461,J461*'13_Mapa_Liq'!$C$15,0),0)</f>
        <v>0</v>
      </c>
      <c r="Q461" s="151" t="str">
        <f aca="false">IF(ISNUMBER(B461),B461*(1-1/'13_Mapa_Liq'!$B$16+'13_Mapa_Liq'!$B$6),"")</f>
        <v/>
      </c>
      <c r="R461" s="151" t="n">
        <f aca="false">IF(ISNUMBER(B461),IF(K461&gt;Q461,I461*'13_Mapa_Liq'!$C$16,0),0)</f>
        <v>0</v>
      </c>
      <c r="S461" s="151" t="str">
        <f aca="false">IF(ISNUMBER(B461),B461*(1+1/'13_Mapa_Liq'!$B$16-'13_Mapa_Liq'!$B$6),"")</f>
        <v/>
      </c>
      <c r="T461" s="151" t="n">
        <f aca="false">IF(ISNUMBER(B461),IF(L461&lt;S461,J461*'13_Mapa_Liq'!$C$16,0),0)</f>
        <v>0</v>
      </c>
      <c r="U461" s="151" t="str">
        <f aca="false">IF(ISNUMBER(B461),B461*(1-1/'13_Mapa_Liq'!$B$17+'13_Mapa_Liq'!$B$6),"")</f>
        <v/>
      </c>
      <c r="V461" s="151" t="n">
        <f aca="false">IF(ISNUMBER(B461),IF(K461&gt;U461,I461*'13_Mapa_Liq'!$C$17,0),0)</f>
        <v>0</v>
      </c>
      <c r="W461" s="151" t="str">
        <f aca="false">IF(ISNUMBER(B461),B461*(1+1/'13_Mapa_Liq'!$B$17-'13_Mapa_Liq'!$B$6),"")</f>
        <v/>
      </c>
      <c r="X461" s="151" t="n">
        <f aca="false">IF(ISNUMBER(B461),IF(L461&lt;W461,J461*'13_Mapa_Liq'!$C$17,0),0)</f>
        <v>0</v>
      </c>
      <c r="Y461" s="151" t="str">
        <f aca="false">IF(ISNUMBER(B461),B461*(1-1/'13_Mapa_Liq'!$B$18+'13_Mapa_Liq'!$B$6),"")</f>
        <v/>
      </c>
      <c r="Z461" s="151" t="n">
        <f aca="false">IF(ISNUMBER(B461),IF(K461&gt;Y461,I461*'13_Mapa_Liq'!$C$18,0),0)</f>
        <v>0</v>
      </c>
      <c r="AA461" s="151" t="str">
        <f aca="false">IF(ISNUMBER(B461),B461*(1+1/'13_Mapa_Liq'!$B$18-'13_Mapa_Liq'!$B$6),"")</f>
        <v/>
      </c>
      <c r="AB461" s="151" t="n">
        <f aca="false">IF(ISNUMBER(B461),IF(L461&lt;AA461,J461*'13_Mapa_Liq'!$C$18,0),0)</f>
        <v>0</v>
      </c>
      <c r="AC461" s="151" t="str">
        <f aca="false">IF(ISNUMBER(B461),B461*(1-1/'13_Mapa_Liq'!$B$19+'13_Mapa_Liq'!$B$6),"")</f>
        <v/>
      </c>
      <c r="AD461" s="151" t="n">
        <f aca="false">IF(ISNUMBER(B461),IF(K461&gt;AC461,I461*'13_Mapa_Liq'!$C$19,0),0)</f>
        <v>0</v>
      </c>
      <c r="AE461" s="151" t="str">
        <f aca="false">IF(ISNUMBER(B461),B461*(1+1/'13_Mapa_Liq'!$B$19-'13_Mapa_Liq'!$B$6),"")</f>
        <v/>
      </c>
      <c r="AF461" s="151" t="n">
        <f aca="false">IF(ISNUMBER(B461),IF(L461&lt;AE461,J461*'13_Mapa_Liq'!$C$19,0),0)</f>
        <v>0</v>
      </c>
      <c r="AG461" s="151"/>
      <c r="AH461" s="151" t="n">
        <f aca="false">IF(ISNUMBER(B461),E461*F461*((K461&lt;=M461)*'13_Mapa_Liq'!$C$15+(K461&lt;=Q461)*'13_Mapa_Liq'!$C$16+(K461&lt;=U461)*'13_Mapa_Liq'!$C$17+(K461&lt;=Y461)*'13_Mapa_Liq'!$C$18+(K461&lt;=AC461)*'13_Mapa_Liq'!$C$19),0)</f>
        <v>0</v>
      </c>
      <c r="AI461" s="151" t="n">
        <f aca="false">IF(ISNUMBER(B461),E461*(1-F461)*((L461&gt;=O461)*'13_Mapa_Liq'!$C$15+(L461&gt;=S461)*'13_Mapa_Liq'!$C$16+(L461&gt;=W461)*'13_Mapa_Liq'!$C$17+(L461&gt;=AA461)*'13_Mapa_Liq'!$C$18+(L461&gt;=AE461)*'13_Mapa_Liq'!$C$19),0)</f>
        <v>0</v>
      </c>
    </row>
    <row r="462" customFormat="false" ht="15" hidden="false" customHeight="false" outlineLevel="0" collapsed="false">
      <c r="A462" s="151" t="str">
        <f aca="false">IF(ISNUMBER('12_Datos_5m'!F462),ROW()-4,"")</f>
        <v/>
      </c>
      <c r="B462" s="151" t="str">
        <f aca="false">IF(ISNUMBER('12_Datos_5m'!F462),'12_Datos_5m'!F462,"")</f>
        <v/>
      </c>
      <c r="C462" s="151" t="str">
        <f aca="false">IF(ISNUMBER('12_Datos_5m'!A462),'12_Datos_5m'!A462,"")</f>
        <v/>
      </c>
      <c r="D462" s="151" t="n">
        <f aca="false">IF(AND(ISNUMBER('12_Datos_5m'!I462),ISNUMBER('12_Datos_5m'!I461)),'12_Datos_5m'!I462-'12_Datos_5m'!I461,0)</f>
        <v>0</v>
      </c>
      <c r="E462" s="151" t="n">
        <f aca="false">MAX(0,D462)</f>
        <v>0</v>
      </c>
      <c r="F462" s="151" t="n">
        <f aca="false">IF(AND(ISNUMBER('12_Datos_5m'!G462),N('12_Datos_5m'!G462)&gt;0),'12_Datos_5m'!H462/'12_Datos_5m'!G462,0.5)</f>
        <v>0.5</v>
      </c>
      <c r="G462" s="151" t="n">
        <f aca="false">IF(ISNUMBER(C462),($C$2-C462)/3600000,0)</f>
        <v>0</v>
      </c>
      <c r="H462" s="151" t="n">
        <f aca="false">EXP(-G462/'13_Mapa_Liq'!$B$7)</f>
        <v>1</v>
      </c>
      <c r="I462" s="151" t="n">
        <f aca="false">E462*F462*H462</f>
        <v>0</v>
      </c>
      <c r="J462" s="151" t="n">
        <f aca="false">E462*(1-F462)*H462</f>
        <v>0</v>
      </c>
      <c r="K462" s="151" t="n">
        <f aca="false">IF(COUNT('12_Datos_5m'!E463:E$504)=0,1000000000000,MIN('12_Datos_5m'!E463:E$504))</f>
        <v>1000000000000</v>
      </c>
      <c r="L462" s="151" t="n">
        <f aca="false">IF(COUNT('12_Datos_5m'!D463:D$504)=0,0,MAX('12_Datos_5m'!D463:D$504))</f>
        <v>0</v>
      </c>
      <c r="M462" s="151" t="str">
        <f aca="false">IF(ISNUMBER(B462),B462*(1-1/'13_Mapa_Liq'!$B$15+'13_Mapa_Liq'!$B$6),"")</f>
        <v/>
      </c>
      <c r="N462" s="151" t="n">
        <f aca="false">IF(ISNUMBER(B462),IF(K462&gt;M462,I462*'13_Mapa_Liq'!$C$15,0),0)</f>
        <v>0</v>
      </c>
      <c r="O462" s="151" t="str">
        <f aca="false">IF(ISNUMBER(B462),B462*(1+1/'13_Mapa_Liq'!$B$15-'13_Mapa_Liq'!$B$6),"")</f>
        <v/>
      </c>
      <c r="P462" s="151" t="n">
        <f aca="false">IF(ISNUMBER(B462),IF(L462&lt;O462,J462*'13_Mapa_Liq'!$C$15,0),0)</f>
        <v>0</v>
      </c>
      <c r="Q462" s="151" t="str">
        <f aca="false">IF(ISNUMBER(B462),B462*(1-1/'13_Mapa_Liq'!$B$16+'13_Mapa_Liq'!$B$6),"")</f>
        <v/>
      </c>
      <c r="R462" s="151" t="n">
        <f aca="false">IF(ISNUMBER(B462),IF(K462&gt;Q462,I462*'13_Mapa_Liq'!$C$16,0),0)</f>
        <v>0</v>
      </c>
      <c r="S462" s="151" t="str">
        <f aca="false">IF(ISNUMBER(B462),B462*(1+1/'13_Mapa_Liq'!$B$16-'13_Mapa_Liq'!$B$6),"")</f>
        <v/>
      </c>
      <c r="T462" s="151" t="n">
        <f aca="false">IF(ISNUMBER(B462),IF(L462&lt;S462,J462*'13_Mapa_Liq'!$C$16,0),0)</f>
        <v>0</v>
      </c>
      <c r="U462" s="151" t="str">
        <f aca="false">IF(ISNUMBER(B462),B462*(1-1/'13_Mapa_Liq'!$B$17+'13_Mapa_Liq'!$B$6),"")</f>
        <v/>
      </c>
      <c r="V462" s="151" t="n">
        <f aca="false">IF(ISNUMBER(B462),IF(K462&gt;U462,I462*'13_Mapa_Liq'!$C$17,0),0)</f>
        <v>0</v>
      </c>
      <c r="W462" s="151" t="str">
        <f aca="false">IF(ISNUMBER(B462),B462*(1+1/'13_Mapa_Liq'!$B$17-'13_Mapa_Liq'!$B$6),"")</f>
        <v/>
      </c>
      <c r="X462" s="151" t="n">
        <f aca="false">IF(ISNUMBER(B462),IF(L462&lt;W462,J462*'13_Mapa_Liq'!$C$17,0),0)</f>
        <v>0</v>
      </c>
      <c r="Y462" s="151" t="str">
        <f aca="false">IF(ISNUMBER(B462),B462*(1-1/'13_Mapa_Liq'!$B$18+'13_Mapa_Liq'!$B$6),"")</f>
        <v/>
      </c>
      <c r="Z462" s="151" t="n">
        <f aca="false">IF(ISNUMBER(B462),IF(K462&gt;Y462,I462*'13_Mapa_Liq'!$C$18,0),0)</f>
        <v>0</v>
      </c>
      <c r="AA462" s="151" t="str">
        <f aca="false">IF(ISNUMBER(B462),B462*(1+1/'13_Mapa_Liq'!$B$18-'13_Mapa_Liq'!$B$6),"")</f>
        <v/>
      </c>
      <c r="AB462" s="151" t="n">
        <f aca="false">IF(ISNUMBER(B462),IF(L462&lt;AA462,J462*'13_Mapa_Liq'!$C$18,0),0)</f>
        <v>0</v>
      </c>
      <c r="AC462" s="151" t="str">
        <f aca="false">IF(ISNUMBER(B462),B462*(1-1/'13_Mapa_Liq'!$B$19+'13_Mapa_Liq'!$B$6),"")</f>
        <v/>
      </c>
      <c r="AD462" s="151" t="n">
        <f aca="false">IF(ISNUMBER(B462),IF(K462&gt;AC462,I462*'13_Mapa_Liq'!$C$19,0),0)</f>
        <v>0</v>
      </c>
      <c r="AE462" s="151" t="str">
        <f aca="false">IF(ISNUMBER(B462),B462*(1+1/'13_Mapa_Liq'!$B$19-'13_Mapa_Liq'!$B$6),"")</f>
        <v/>
      </c>
      <c r="AF462" s="151" t="n">
        <f aca="false">IF(ISNUMBER(B462),IF(L462&lt;AE462,J462*'13_Mapa_Liq'!$C$19,0),0)</f>
        <v>0</v>
      </c>
      <c r="AG462" s="151"/>
      <c r="AH462" s="151" t="n">
        <f aca="false">IF(ISNUMBER(B462),E462*F462*((K462&lt;=M462)*'13_Mapa_Liq'!$C$15+(K462&lt;=Q462)*'13_Mapa_Liq'!$C$16+(K462&lt;=U462)*'13_Mapa_Liq'!$C$17+(K462&lt;=Y462)*'13_Mapa_Liq'!$C$18+(K462&lt;=AC462)*'13_Mapa_Liq'!$C$19),0)</f>
        <v>0</v>
      </c>
      <c r="AI462" s="151" t="n">
        <f aca="false">IF(ISNUMBER(B462),E462*(1-F462)*((L462&gt;=O462)*'13_Mapa_Liq'!$C$15+(L462&gt;=S462)*'13_Mapa_Liq'!$C$16+(L462&gt;=W462)*'13_Mapa_Liq'!$C$17+(L462&gt;=AA462)*'13_Mapa_Liq'!$C$18+(L462&gt;=AE462)*'13_Mapa_Liq'!$C$19),0)</f>
        <v>0</v>
      </c>
    </row>
    <row r="463" customFormat="false" ht="15" hidden="false" customHeight="false" outlineLevel="0" collapsed="false">
      <c r="A463" s="151" t="str">
        <f aca="false">IF(ISNUMBER('12_Datos_5m'!F463),ROW()-4,"")</f>
        <v/>
      </c>
      <c r="B463" s="151" t="str">
        <f aca="false">IF(ISNUMBER('12_Datos_5m'!F463),'12_Datos_5m'!F463,"")</f>
        <v/>
      </c>
      <c r="C463" s="151" t="str">
        <f aca="false">IF(ISNUMBER('12_Datos_5m'!A463),'12_Datos_5m'!A463,"")</f>
        <v/>
      </c>
      <c r="D463" s="151" t="n">
        <f aca="false">IF(AND(ISNUMBER('12_Datos_5m'!I463),ISNUMBER('12_Datos_5m'!I462)),'12_Datos_5m'!I463-'12_Datos_5m'!I462,0)</f>
        <v>0</v>
      </c>
      <c r="E463" s="151" t="n">
        <f aca="false">MAX(0,D463)</f>
        <v>0</v>
      </c>
      <c r="F463" s="151" t="n">
        <f aca="false">IF(AND(ISNUMBER('12_Datos_5m'!G463),N('12_Datos_5m'!G463)&gt;0),'12_Datos_5m'!H463/'12_Datos_5m'!G463,0.5)</f>
        <v>0.5</v>
      </c>
      <c r="G463" s="151" t="n">
        <f aca="false">IF(ISNUMBER(C463),($C$2-C463)/3600000,0)</f>
        <v>0</v>
      </c>
      <c r="H463" s="151" t="n">
        <f aca="false">EXP(-G463/'13_Mapa_Liq'!$B$7)</f>
        <v>1</v>
      </c>
      <c r="I463" s="151" t="n">
        <f aca="false">E463*F463*H463</f>
        <v>0</v>
      </c>
      <c r="J463" s="151" t="n">
        <f aca="false">E463*(1-F463)*H463</f>
        <v>0</v>
      </c>
      <c r="K463" s="151" t="n">
        <f aca="false">IF(COUNT('12_Datos_5m'!E464:E$504)=0,1000000000000,MIN('12_Datos_5m'!E464:E$504))</f>
        <v>1000000000000</v>
      </c>
      <c r="L463" s="151" t="n">
        <f aca="false">IF(COUNT('12_Datos_5m'!D464:D$504)=0,0,MAX('12_Datos_5m'!D464:D$504))</f>
        <v>0</v>
      </c>
      <c r="M463" s="151" t="str">
        <f aca="false">IF(ISNUMBER(B463),B463*(1-1/'13_Mapa_Liq'!$B$15+'13_Mapa_Liq'!$B$6),"")</f>
        <v/>
      </c>
      <c r="N463" s="151" t="n">
        <f aca="false">IF(ISNUMBER(B463),IF(K463&gt;M463,I463*'13_Mapa_Liq'!$C$15,0),0)</f>
        <v>0</v>
      </c>
      <c r="O463" s="151" t="str">
        <f aca="false">IF(ISNUMBER(B463),B463*(1+1/'13_Mapa_Liq'!$B$15-'13_Mapa_Liq'!$B$6),"")</f>
        <v/>
      </c>
      <c r="P463" s="151" t="n">
        <f aca="false">IF(ISNUMBER(B463),IF(L463&lt;O463,J463*'13_Mapa_Liq'!$C$15,0),0)</f>
        <v>0</v>
      </c>
      <c r="Q463" s="151" t="str">
        <f aca="false">IF(ISNUMBER(B463),B463*(1-1/'13_Mapa_Liq'!$B$16+'13_Mapa_Liq'!$B$6),"")</f>
        <v/>
      </c>
      <c r="R463" s="151" t="n">
        <f aca="false">IF(ISNUMBER(B463),IF(K463&gt;Q463,I463*'13_Mapa_Liq'!$C$16,0),0)</f>
        <v>0</v>
      </c>
      <c r="S463" s="151" t="str">
        <f aca="false">IF(ISNUMBER(B463),B463*(1+1/'13_Mapa_Liq'!$B$16-'13_Mapa_Liq'!$B$6),"")</f>
        <v/>
      </c>
      <c r="T463" s="151" t="n">
        <f aca="false">IF(ISNUMBER(B463),IF(L463&lt;S463,J463*'13_Mapa_Liq'!$C$16,0),0)</f>
        <v>0</v>
      </c>
      <c r="U463" s="151" t="str">
        <f aca="false">IF(ISNUMBER(B463),B463*(1-1/'13_Mapa_Liq'!$B$17+'13_Mapa_Liq'!$B$6),"")</f>
        <v/>
      </c>
      <c r="V463" s="151" t="n">
        <f aca="false">IF(ISNUMBER(B463),IF(K463&gt;U463,I463*'13_Mapa_Liq'!$C$17,0),0)</f>
        <v>0</v>
      </c>
      <c r="W463" s="151" t="str">
        <f aca="false">IF(ISNUMBER(B463),B463*(1+1/'13_Mapa_Liq'!$B$17-'13_Mapa_Liq'!$B$6),"")</f>
        <v/>
      </c>
      <c r="X463" s="151" t="n">
        <f aca="false">IF(ISNUMBER(B463),IF(L463&lt;W463,J463*'13_Mapa_Liq'!$C$17,0),0)</f>
        <v>0</v>
      </c>
      <c r="Y463" s="151" t="str">
        <f aca="false">IF(ISNUMBER(B463),B463*(1-1/'13_Mapa_Liq'!$B$18+'13_Mapa_Liq'!$B$6),"")</f>
        <v/>
      </c>
      <c r="Z463" s="151" t="n">
        <f aca="false">IF(ISNUMBER(B463),IF(K463&gt;Y463,I463*'13_Mapa_Liq'!$C$18,0),0)</f>
        <v>0</v>
      </c>
      <c r="AA463" s="151" t="str">
        <f aca="false">IF(ISNUMBER(B463),B463*(1+1/'13_Mapa_Liq'!$B$18-'13_Mapa_Liq'!$B$6),"")</f>
        <v/>
      </c>
      <c r="AB463" s="151" t="n">
        <f aca="false">IF(ISNUMBER(B463),IF(L463&lt;AA463,J463*'13_Mapa_Liq'!$C$18,0),0)</f>
        <v>0</v>
      </c>
      <c r="AC463" s="151" t="str">
        <f aca="false">IF(ISNUMBER(B463),B463*(1-1/'13_Mapa_Liq'!$B$19+'13_Mapa_Liq'!$B$6),"")</f>
        <v/>
      </c>
      <c r="AD463" s="151" t="n">
        <f aca="false">IF(ISNUMBER(B463),IF(K463&gt;AC463,I463*'13_Mapa_Liq'!$C$19,0),0)</f>
        <v>0</v>
      </c>
      <c r="AE463" s="151" t="str">
        <f aca="false">IF(ISNUMBER(B463),B463*(1+1/'13_Mapa_Liq'!$B$19-'13_Mapa_Liq'!$B$6),"")</f>
        <v/>
      </c>
      <c r="AF463" s="151" t="n">
        <f aca="false">IF(ISNUMBER(B463),IF(L463&lt;AE463,J463*'13_Mapa_Liq'!$C$19,0),0)</f>
        <v>0</v>
      </c>
      <c r="AG463" s="151"/>
      <c r="AH463" s="151" t="n">
        <f aca="false">IF(ISNUMBER(B463),E463*F463*((K463&lt;=M463)*'13_Mapa_Liq'!$C$15+(K463&lt;=Q463)*'13_Mapa_Liq'!$C$16+(K463&lt;=U463)*'13_Mapa_Liq'!$C$17+(K463&lt;=Y463)*'13_Mapa_Liq'!$C$18+(K463&lt;=AC463)*'13_Mapa_Liq'!$C$19),0)</f>
        <v>0</v>
      </c>
      <c r="AI463" s="151" t="n">
        <f aca="false">IF(ISNUMBER(B463),E463*(1-F463)*((L463&gt;=O463)*'13_Mapa_Liq'!$C$15+(L463&gt;=S463)*'13_Mapa_Liq'!$C$16+(L463&gt;=W463)*'13_Mapa_Liq'!$C$17+(L463&gt;=AA463)*'13_Mapa_Liq'!$C$18+(L463&gt;=AE463)*'13_Mapa_Liq'!$C$19),0)</f>
        <v>0</v>
      </c>
    </row>
    <row r="464" customFormat="false" ht="15" hidden="false" customHeight="false" outlineLevel="0" collapsed="false">
      <c r="A464" s="151" t="str">
        <f aca="false">IF(ISNUMBER('12_Datos_5m'!F464),ROW()-4,"")</f>
        <v/>
      </c>
      <c r="B464" s="151" t="str">
        <f aca="false">IF(ISNUMBER('12_Datos_5m'!F464),'12_Datos_5m'!F464,"")</f>
        <v/>
      </c>
      <c r="C464" s="151" t="str">
        <f aca="false">IF(ISNUMBER('12_Datos_5m'!A464),'12_Datos_5m'!A464,"")</f>
        <v/>
      </c>
      <c r="D464" s="151" t="n">
        <f aca="false">IF(AND(ISNUMBER('12_Datos_5m'!I464),ISNUMBER('12_Datos_5m'!I463)),'12_Datos_5m'!I464-'12_Datos_5m'!I463,0)</f>
        <v>0</v>
      </c>
      <c r="E464" s="151" t="n">
        <f aca="false">MAX(0,D464)</f>
        <v>0</v>
      </c>
      <c r="F464" s="151" t="n">
        <f aca="false">IF(AND(ISNUMBER('12_Datos_5m'!G464),N('12_Datos_5m'!G464)&gt;0),'12_Datos_5m'!H464/'12_Datos_5m'!G464,0.5)</f>
        <v>0.5</v>
      </c>
      <c r="G464" s="151" t="n">
        <f aca="false">IF(ISNUMBER(C464),($C$2-C464)/3600000,0)</f>
        <v>0</v>
      </c>
      <c r="H464" s="151" t="n">
        <f aca="false">EXP(-G464/'13_Mapa_Liq'!$B$7)</f>
        <v>1</v>
      </c>
      <c r="I464" s="151" t="n">
        <f aca="false">E464*F464*H464</f>
        <v>0</v>
      </c>
      <c r="J464" s="151" t="n">
        <f aca="false">E464*(1-F464)*H464</f>
        <v>0</v>
      </c>
      <c r="K464" s="151" t="n">
        <f aca="false">IF(COUNT('12_Datos_5m'!E465:E$504)=0,1000000000000,MIN('12_Datos_5m'!E465:E$504))</f>
        <v>1000000000000</v>
      </c>
      <c r="L464" s="151" t="n">
        <f aca="false">IF(COUNT('12_Datos_5m'!D465:D$504)=0,0,MAX('12_Datos_5m'!D465:D$504))</f>
        <v>0</v>
      </c>
      <c r="M464" s="151" t="str">
        <f aca="false">IF(ISNUMBER(B464),B464*(1-1/'13_Mapa_Liq'!$B$15+'13_Mapa_Liq'!$B$6),"")</f>
        <v/>
      </c>
      <c r="N464" s="151" t="n">
        <f aca="false">IF(ISNUMBER(B464),IF(K464&gt;M464,I464*'13_Mapa_Liq'!$C$15,0),0)</f>
        <v>0</v>
      </c>
      <c r="O464" s="151" t="str">
        <f aca="false">IF(ISNUMBER(B464),B464*(1+1/'13_Mapa_Liq'!$B$15-'13_Mapa_Liq'!$B$6),"")</f>
        <v/>
      </c>
      <c r="P464" s="151" t="n">
        <f aca="false">IF(ISNUMBER(B464),IF(L464&lt;O464,J464*'13_Mapa_Liq'!$C$15,0),0)</f>
        <v>0</v>
      </c>
      <c r="Q464" s="151" t="str">
        <f aca="false">IF(ISNUMBER(B464),B464*(1-1/'13_Mapa_Liq'!$B$16+'13_Mapa_Liq'!$B$6),"")</f>
        <v/>
      </c>
      <c r="R464" s="151" t="n">
        <f aca="false">IF(ISNUMBER(B464),IF(K464&gt;Q464,I464*'13_Mapa_Liq'!$C$16,0),0)</f>
        <v>0</v>
      </c>
      <c r="S464" s="151" t="str">
        <f aca="false">IF(ISNUMBER(B464),B464*(1+1/'13_Mapa_Liq'!$B$16-'13_Mapa_Liq'!$B$6),"")</f>
        <v/>
      </c>
      <c r="T464" s="151" t="n">
        <f aca="false">IF(ISNUMBER(B464),IF(L464&lt;S464,J464*'13_Mapa_Liq'!$C$16,0),0)</f>
        <v>0</v>
      </c>
      <c r="U464" s="151" t="str">
        <f aca="false">IF(ISNUMBER(B464),B464*(1-1/'13_Mapa_Liq'!$B$17+'13_Mapa_Liq'!$B$6),"")</f>
        <v/>
      </c>
      <c r="V464" s="151" t="n">
        <f aca="false">IF(ISNUMBER(B464),IF(K464&gt;U464,I464*'13_Mapa_Liq'!$C$17,0),0)</f>
        <v>0</v>
      </c>
      <c r="W464" s="151" t="str">
        <f aca="false">IF(ISNUMBER(B464),B464*(1+1/'13_Mapa_Liq'!$B$17-'13_Mapa_Liq'!$B$6),"")</f>
        <v/>
      </c>
      <c r="X464" s="151" t="n">
        <f aca="false">IF(ISNUMBER(B464),IF(L464&lt;W464,J464*'13_Mapa_Liq'!$C$17,0),0)</f>
        <v>0</v>
      </c>
      <c r="Y464" s="151" t="str">
        <f aca="false">IF(ISNUMBER(B464),B464*(1-1/'13_Mapa_Liq'!$B$18+'13_Mapa_Liq'!$B$6),"")</f>
        <v/>
      </c>
      <c r="Z464" s="151" t="n">
        <f aca="false">IF(ISNUMBER(B464),IF(K464&gt;Y464,I464*'13_Mapa_Liq'!$C$18,0),0)</f>
        <v>0</v>
      </c>
      <c r="AA464" s="151" t="str">
        <f aca="false">IF(ISNUMBER(B464),B464*(1+1/'13_Mapa_Liq'!$B$18-'13_Mapa_Liq'!$B$6),"")</f>
        <v/>
      </c>
      <c r="AB464" s="151" t="n">
        <f aca="false">IF(ISNUMBER(B464),IF(L464&lt;AA464,J464*'13_Mapa_Liq'!$C$18,0),0)</f>
        <v>0</v>
      </c>
      <c r="AC464" s="151" t="str">
        <f aca="false">IF(ISNUMBER(B464),B464*(1-1/'13_Mapa_Liq'!$B$19+'13_Mapa_Liq'!$B$6),"")</f>
        <v/>
      </c>
      <c r="AD464" s="151" t="n">
        <f aca="false">IF(ISNUMBER(B464),IF(K464&gt;AC464,I464*'13_Mapa_Liq'!$C$19,0),0)</f>
        <v>0</v>
      </c>
      <c r="AE464" s="151" t="str">
        <f aca="false">IF(ISNUMBER(B464),B464*(1+1/'13_Mapa_Liq'!$B$19-'13_Mapa_Liq'!$B$6),"")</f>
        <v/>
      </c>
      <c r="AF464" s="151" t="n">
        <f aca="false">IF(ISNUMBER(B464),IF(L464&lt;AE464,J464*'13_Mapa_Liq'!$C$19,0),0)</f>
        <v>0</v>
      </c>
      <c r="AG464" s="151"/>
      <c r="AH464" s="151" t="n">
        <f aca="false">IF(ISNUMBER(B464),E464*F464*((K464&lt;=M464)*'13_Mapa_Liq'!$C$15+(K464&lt;=Q464)*'13_Mapa_Liq'!$C$16+(K464&lt;=U464)*'13_Mapa_Liq'!$C$17+(K464&lt;=Y464)*'13_Mapa_Liq'!$C$18+(K464&lt;=AC464)*'13_Mapa_Liq'!$C$19),0)</f>
        <v>0</v>
      </c>
      <c r="AI464" s="151" t="n">
        <f aca="false">IF(ISNUMBER(B464),E464*(1-F464)*((L464&gt;=O464)*'13_Mapa_Liq'!$C$15+(L464&gt;=S464)*'13_Mapa_Liq'!$C$16+(L464&gt;=W464)*'13_Mapa_Liq'!$C$17+(L464&gt;=AA464)*'13_Mapa_Liq'!$C$18+(L464&gt;=AE464)*'13_Mapa_Liq'!$C$19),0)</f>
        <v>0</v>
      </c>
    </row>
    <row r="465" customFormat="false" ht="15" hidden="false" customHeight="false" outlineLevel="0" collapsed="false">
      <c r="A465" s="151" t="str">
        <f aca="false">IF(ISNUMBER('12_Datos_5m'!F465),ROW()-4,"")</f>
        <v/>
      </c>
      <c r="B465" s="151" t="str">
        <f aca="false">IF(ISNUMBER('12_Datos_5m'!F465),'12_Datos_5m'!F465,"")</f>
        <v/>
      </c>
      <c r="C465" s="151" t="str">
        <f aca="false">IF(ISNUMBER('12_Datos_5m'!A465),'12_Datos_5m'!A465,"")</f>
        <v/>
      </c>
      <c r="D465" s="151" t="n">
        <f aca="false">IF(AND(ISNUMBER('12_Datos_5m'!I465),ISNUMBER('12_Datos_5m'!I464)),'12_Datos_5m'!I465-'12_Datos_5m'!I464,0)</f>
        <v>0</v>
      </c>
      <c r="E465" s="151" t="n">
        <f aca="false">MAX(0,D465)</f>
        <v>0</v>
      </c>
      <c r="F465" s="151" t="n">
        <f aca="false">IF(AND(ISNUMBER('12_Datos_5m'!G465),N('12_Datos_5m'!G465)&gt;0),'12_Datos_5m'!H465/'12_Datos_5m'!G465,0.5)</f>
        <v>0.5</v>
      </c>
      <c r="G465" s="151" t="n">
        <f aca="false">IF(ISNUMBER(C465),($C$2-C465)/3600000,0)</f>
        <v>0</v>
      </c>
      <c r="H465" s="151" t="n">
        <f aca="false">EXP(-G465/'13_Mapa_Liq'!$B$7)</f>
        <v>1</v>
      </c>
      <c r="I465" s="151" t="n">
        <f aca="false">E465*F465*H465</f>
        <v>0</v>
      </c>
      <c r="J465" s="151" t="n">
        <f aca="false">E465*(1-F465)*H465</f>
        <v>0</v>
      </c>
      <c r="K465" s="151" t="n">
        <f aca="false">IF(COUNT('12_Datos_5m'!E466:E$504)=0,1000000000000,MIN('12_Datos_5m'!E466:E$504))</f>
        <v>1000000000000</v>
      </c>
      <c r="L465" s="151" t="n">
        <f aca="false">IF(COUNT('12_Datos_5m'!D466:D$504)=0,0,MAX('12_Datos_5m'!D466:D$504))</f>
        <v>0</v>
      </c>
      <c r="M465" s="151" t="str">
        <f aca="false">IF(ISNUMBER(B465),B465*(1-1/'13_Mapa_Liq'!$B$15+'13_Mapa_Liq'!$B$6),"")</f>
        <v/>
      </c>
      <c r="N465" s="151" t="n">
        <f aca="false">IF(ISNUMBER(B465),IF(K465&gt;M465,I465*'13_Mapa_Liq'!$C$15,0),0)</f>
        <v>0</v>
      </c>
      <c r="O465" s="151" t="str">
        <f aca="false">IF(ISNUMBER(B465),B465*(1+1/'13_Mapa_Liq'!$B$15-'13_Mapa_Liq'!$B$6),"")</f>
        <v/>
      </c>
      <c r="P465" s="151" t="n">
        <f aca="false">IF(ISNUMBER(B465),IF(L465&lt;O465,J465*'13_Mapa_Liq'!$C$15,0),0)</f>
        <v>0</v>
      </c>
      <c r="Q465" s="151" t="str">
        <f aca="false">IF(ISNUMBER(B465),B465*(1-1/'13_Mapa_Liq'!$B$16+'13_Mapa_Liq'!$B$6),"")</f>
        <v/>
      </c>
      <c r="R465" s="151" t="n">
        <f aca="false">IF(ISNUMBER(B465),IF(K465&gt;Q465,I465*'13_Mapa_Liq'!$C$16,0),0)</f>
        <v>0</v>
      </c>
      <c r="S465" s="151" t="str">
        <f aca="false">IF(ISNUMBER(B465),B465*(1+1/'13_Mapa_Liq'!$B$16-'13_Mapa_Liq'!$B$6),"")</f>
        <v/>
      </c>
      <c r="T465" s="151" t="n">
        <f aca="false">IF(ISNUMBER(B465),IF(L465&lt;S465,J465*'13_Mapa_Liq'!$C$16,0),0)</f>
        <v>0</v>
      </c>
      <c r="U465" s="151" t="str">
        <f aca="false">IF(ISNUMBER(B465),B465*(1-1/'13_Mapa_Liq'!$B$17+'13_Mapa_Liq'!$B$6),"")</f>
        <v/>
      </c>
      <c r="V465" s="151" t="n">
        <f aca="false">IF(ISNUMBER(B465),IF(K465&gt;U465,I465*'13_Mapa_Liq'!$C$17,0),0)</f>
        <v>0</v>
      </c>
      <c r="W465" s="151" t="str">
        <f aca="false">IF(ISNUMBER(B465),B465*(1+1/'13_Mapa_Liq'!$B$17-'13_Mapa_Liq'!$B$6),"")</f>
        <v/>
      </c>
      <c r="X465" s="151" t="n">
        <f aca="false">IF(ISNUMBER(B465),IF(L465&lt;W465,J465*'13_Mapa_Liq'!$C$17,0),0)</f>
        <v>0</v>
      </c>
      <c r="Y465" s="151" t="str">
        <f aca="false">IF(ISNUMBER(B465),B465*(1-1/'13_Mapa_Liq'!$B$18+'13_Mapa_Liq'!$B$6),"")</f>
        <v/>
      </c>
      <c r="Z465" s="151" t="n">
        <f aca="false">IF(ISNUMBER(B465),IF(K465&gt;Y465,I465*'13_Mapa_Liq'!$C$18,0),0)</f>
        <v>0</v>
      </c>
      <c r="AA465" s="151" t="str">
        <f aca="false">IF(ISNUMBER(B465),B465*(1+1/'13_Mapa_Liq'!$B$18-'13_Mapa_Liq'!$B$6),"")</f>
        <v/>
      </c>
      <c r="AB465" s="151" t="n">
        <f aca="false">IF(ISNUMBER(B465),IF(L465&lt;AA465,J465*'13_Mapa_Liq'!$C$18,0),0)</f>
        <v>0</v>
      </c>
      <c r="AC465" s="151" t="str">
        <f aca="false">IF(ISNUMBER(B465),B465*(1-1/'13_Mapa_Liq'!$B$19+'13_Mapa_Liq'!$B$6),"")</f>
        <v/>
      </c>
      <c r="AD465" s="151" t="n">
        <f aca="false">IF(ISNUMBER(B465),IF(K465&gt;AC465,I465*'13_Mapa_Liq'!$C$19,0),0)</f>
        <v>0</v>
      </c>
      <c r="AE465" s="151" t="str">
        <f aca="false">IF(ISNUMBER(B465),B465*(1+1/'13_Mapa_Liq'!$B$19-'13_Mapa_Liq'!$B$6),"")</f>
        <v/>
      </c>
      <c r="AF465" s="151" t="n">
        <f aca="false">IF(ISNUMBER(B465),IF(L465&lt;AE465,J465*'13_Mapa_Liq'!$C$19,0),0)</f>
        <v>0</v>
      </c>
      <c r="AG465" s="151"/>
      <c r="AH465" s="151" t="n">
        <f aca="false">IF(ISNUMBER(B465),E465*F465*((K465&lt;=M465)*'13_Mapa_Liq'!$C$15+(K465&lt;=Q465)*'13_Mapa_Liq'!$C$16+(K465&lt;=U465)*'13_Mapa_Liq'!$C$17+(K465&lt;=Y465)*'13_Mapa_Liq'!$C$18+(K465&lt;=AC465)*'13_Mapa_Liq'!$C$19),0)</f>
        <v>0</v>
      </c>
      <c r="AI465" s="151" t="n">
        <f aca="false">IF(ISNUMBER(B465),E465*(1-F465)*((L465&gt;=O465)*'13_Mapa_Liq'!$C$15+(L465&gt;=S465)*'13_Mapa_Liq'!$C$16+(L465&gt;=W465)*'13_Mapa_Liq'!$C$17+(L465&gt;=AA465)*'13_Mapa_Liq'!$C$18+(L465&gt;=AE465)*'13_Mapa_Liq'!$C$19),0)</f>
        <v>0</v>
      </c>
    </row>
    <row r="466" customFormat="false" ht="15" hidden="false" customHeight="false" outlineLevel="0" collapsed="false">
      <c r="A466" s="151" t="str">
        <f aca="false">IF(ISNUMBER('12_Datos_5m'!F466),ROW()-4,"")</f>
        <v/>
      </c>
      <c r="B466" s="151" t="str">
        <f aca="false">IF(ISNUMBER('12_Datos_5m'!F466),'12_Datos_5m'!F466,"")</f>
        <v/>
      </c>
      <c r="C466" s="151" t="str">
        <f aca="false">IF(ISNUMBER('12_Datos_5m'!A466),'12_Datos_5m'!A466,"")</f>
        <v/>
      </c>
      <c r="D466" s="151" t="n">
        <f aca="false">IF(AND(ISNUMBER('12_Datos_5m'!I466),ISNUMBER('12_Datos_5m'!I465)),'12_Datos_5m'!I466-'12_Datos_5m'!I465,0)</f>
        <v>0</v>
      </c>
      <c r="E466" s="151" t="n">
        <f aca="false">MAX(0,D466)</f>
        <v>0</v>
      </c>
      <c r="F466" s="151" t="n">
        <f aca="false">IF(AND(ISNUMBER('12_Datos_5m'!G466),N('12_Datos_5m'!G466)&gt;0),'12_Datos_5m'!H466/'12_Datos_5m'!G466,0.5)</f>
        <v>0.5</v>
      </c>
      <c r="G466" s="151" t="n">
        <f aca="false">IF(ISNUMBER(C466),($C$2-C466)/3600000,0)</f>
        <v>0</v>
      </c>
      <c r="H466" s="151" t="n">
        <f aca="false">EXP(-G466/'13_Mapa_Liq'!$B$7)</f>
        <v>1</v>
      </c>
      <c r="I466" s="151" t="n">
        <f aca="false">E466*F466*H466</f>
        <v>0</v>
      </c>
      <c r="J466" s="151" t="n">
        <f aca="false">E466*(1-F466)*H466</f>
        <v>0</v>
      </c>
      <c r="K466" s="151" t="n">
        <f aca="false">IF(COUNT('12_Datos_5m'!E467:E$504)=0,1000000000000,MIN('12_Datos_5m'!E467:E$504))</f>
        <v>1000000000000</v>
      </c>
      <c r="L466" s="151" t="n">
        <f aca="false">IF(COUNT('12_Datos_5m'!D467:D$504)=0,0,MAX('12_Datos_5m'!D467:D$504))</f>
        <v>0</v>
      </c>
      <c r="M466" s="151" t="str">
        <f aca="false">IF(ISNUMBER(B466),B466*(1-1/'13_Mapa_Liq'!$B$15+'13_Mapa_Liq'!$B$6),"")</f>
        <v/>
      </c>
      <c r="N466" s="151" t="n">
        <f aca="false">IF(ISNUMBER(B466),IF(K466&gt;M466,I466*'13_Mapa_Liq'!$C$15,0),0)</f>
        <v>0</v>
      </c>
      <c r="O466" s="151" t="str">
        <f aca="false">IF(ISNUMBER(B466),B466*(1+1/'13_Mapa_Liq'!$B$15-'13_Mapa_Liq'!$B$6),"")</f>
        <v/>
      </c>
      <c r="P466" s="151" t="n">
        <f aca="false">IF(ISNUMBER(B466),IF(L466&lt;O466,J466*'13_Mapa_Liq'!$C$15,0),0)</f>
        <v>0</v>
      </c>
      <c r="Q466" s="151" t="str">
        <f aca="false">IF(ISNUMBER(B466),B466*(1-1/'13_Mapa_Liq'!$B$16+'13_Mapa_Liq'!$B$6),"")</f>
        <v/>
      </c>
      <c r="R466" s="151" t="n">
        <f aca="false">IF(ISNUMBER(B466),IF(K466&gt;Q466,I466*'13_Mapa_Liq'!$C$16,0),0)</f>
        <v>0</v>
      </c>
      <c r="S466" s="151" t="str">
        <f aca="false">IF(ISNUMBER(B466),B466*(1+1/'13_Mapa_Liq'!$B$16-'13_Mapa_Liq'!$B$6),"")</f>
        <v/>
      </c>
      <c r="T466" s="151" t="n">
        <f aca="false">IF(ISNUMBER(B466),IF(L466&lt;S466,J466*'13_Mapa_Liq'!$C$16,0),0)</f>
        <v>0</v>
      </c>
      <c r="U466" s="151" t="str">
        <f aca="false">IF(ISNUMBER(B466),B466*(1-1/'13_Mapa_Liq'!$B$17+'13_Mapa_Liq'!$B$6),"")</f>
        <v/>
      </c>
      <c r="V466" s="151" t="n">
        <f aca="false">IF(ISNUMBER(B466),IF(K466&gt;U466,I466*'13_Mapa_Liq'!$C$17,0),0)</f>
        <v>0</v>
      </c>
      <c r="W466" s="151" t="str">
        <f aca="false">IF(ISNUMBER(B466),B466*(1+1/'13_Mapa_Liq'!$B$17-'13_Mapa_Liq'!$B$6),"")</f>
        <v/>
      </c>
      <c r="X466" s="151" t="n">
        <f aca="false">IF(ISNUMBER(B466),IF(L466&lt;W466,J466*'13_Mapa_Liq'!$C$17,0),0)</f>
        <v>0</v>
      </c>
      <c r="Y466" s="151" t="str">
        <f aca="false">IF(ISNUMBER(B466),B466*(1-1/'13_Mapa_Liq'!$B$18+'13_Mapa_Liq'!$B$6),"")</f>
        <v/>
      </c>
      <c r="Z466" s="151" t="n">
        <f aca="false">IF(ISNUMBER(B466),IF(K466&gt;Y466,I466*'13_Mapa_Liq'!$C$18,0),0)</f>
        <v>0</v>
      </c>
      <c r="AA466" s="151" t="str">
        <f aca="false">IF(ISNUMBER(B466),B466*(1+1/'13_Mapa_Liq'!$B$18-'13_Mapa_Liq'!$B$6),"")</f>
        <v/>
      </c>
      <c r="AB466" s="151" t="n">
        <f aca="false">IF(ISNUMBER(B466),IF(L466&lt;AA466,J466*'13_Mapa_Liq'!$C$18,0),0)</f>
        <v>0</v>
      </c>
      <c r="AC466" s="151" t="str">
        <f aca="false">IF(ISNUMBER(B466),B466*(1-1/'13_Mapa_Liq'!$B$19+'13_Mapa_Liq'!$B$6),"")</f>
        <v/>
      </c>
      <c r="AD466" s="151" t="n">
        <f aca="false">IF(ISNUMBER(B466),IF(K466&gt;AC466,I466*'13_Mapa_Liq'!$C$19,0),0)</f>
        <v>0</v>
      </c>
      <c r="AE466" s="151" t="str">
        <f aca="false">IF(ISNUMBER(B466),B466*(1+1/'13_Mapa_Liq'!$B$19-'13_Mapa_Liq'!$B$6),"")</f>
        <v/>
      </c>
      <c r="AF466" s="151" t="n">
        <f aca="false">IF(ISNUMBER(B466),IF(L466&lt;AE466,J466*'13_Mapa_Liq'!$C$19,0),0)</f>
        <v>0</v>
      </c>
      <c r="AG466" s="151"/>
      <c r="AH466" s="151" t="n">
        <f aca="false">IF(ISNUMBER(B466),E466*F466*((K466&lt;=M466)*'13_Mapa_Liq'!$C$15+(K466&lt;=Q466)*'13_Mapa_Liq'!$C$16+(K466&lt;=U466)*'13_Mapa_Liq'!$C$17+(K466&lt;=Y466)*'13_Mapa_Liq'!$C$18+(K466&lt;=AC466)*'13_Mapa_Liq'!$C$19),0)</f>
        <v>0</v>
      </c>
      <c r="AI466" s="151" t="n">
        <f aca="false">IF(ISNUMBER(B466),E466*(1-F466)*((L466&gt;=O466)*'13_Mapa_Liq'!$C$15+(L466&gt;=S466)*'13_Mapa_Liq'!$C$16+(L466&gt;=W466)*'13_Mapa_Liq'!$C$17+(L466&gt;=AA466)*'13_Mapa_Liq'!$C$18+(L466&gt;=AE466)*'13_Mapa_Liq'!$C$19),0)</f>
        <v>0</v>
      </c>
    </row>
    <row r="467" customFormat="false" ht="15" hidden="false" customHeight="false" outlineLevel="0" collapsed="false">
      <c r="A467" s="151" t="str">
        <f aca="false">IF(ISNUMBER('12_Datos_5m'!F467),ROW()-4,"")</f>
        <v/>
      </c>
      <c r="B467" s="151" t="str">
        <f aca="false">IF(ISNUMBER('12_Datos_5m'!F467),'12_Datos_5m'!F467,"")</f>
        <v/>
      </c>
      <c r="C467" s="151" t="str">
        <f aca="false">IF(ISNUMBER('12_Datos_5m'!A467),'12_Datos_5m'!A467,"")</f>
        <v/>
      </c>
      <c r="D467" s="151" t="n">
        <f aca="false">IF(AND(ISNUMBER('12_Datos_5m'!I467),ISNUMBER('12_Datos_5m'!I466)),'12_Datos_5m'!I467-'12_Datos_5m'!I466,0)</f>
        <v>0</v>
      </c>
      <c r="E467" s="151" t="n">
        <f aca="false">MAX(0,D467)</f>
        <v>0</v>
      </c>
      <c r="F467" s="151" t="n">
        <f aca="false">IF(AND(ISNUMBER('12_Datos_5m'!G467),N('12_Datos_5m'!G467)&gt;0),'12_Datos_5m'!H467/'12_Datos_5m'!G467,0.5)</f>
        <v>0.5</v>
      </c>
      <c r="G467" s="151" t="n">
        <f aca="false">IF(ISNUMBER(C467),($C$2-C467)/3600000,0)</f>
        <v>0</v>
      </c>
      <c r="H467" s="151" t="n">
        <f aca="false">EXP(-G467/'13_Mapa_Liq'!$B$7)</f>
        <v>1</v>
      </c>
      <c r="I467" s="151" t="n">
        <f aca="false">E467*F467*H467</f>
        <v>0</v>
      </c>
      <c r="J467" s="151" t="n">
        <f aca="false">E467*(1-F467)*H467</f>
        <v>0</v>
      </c>
      <c r="K467" s="151" t="n">
        <f aca="false">IF(COUNT('12_Datos_5m'!E468:E$504)=0,1000000000000,MIN('12_Datos_5m'!E468:E$504))</f>
        <v>1000000000000</v>
      </c>
      <c r="L467" s="151" t="n">
        <f aca="false">IF(COUNT('12_Datos_5m'!D468:D$504)=0,0,MAX('12_Datos_5m'!D468:D$504))</f>
        <v>0</v>
      </c>
      <c r="M467" s="151" t="str">
        <f aca="false">IF(ISNUMBER(B467),B467*(1-1/'13_Mapa_Liq'!$B$15+'13_Mapa_Liq'!$B$6),"")</f>
        <v/>
      </c>
      <c r="N467" s="151" t="n">
        <f aca="false">IF(ISNUMBER(B467),IF(K467&gt;M467,I467*'13_Mapa_Liq'!$C$15,0),0)</f>
        <v>0</v>
      </c>
      <c r="O467" s="151" t="str">
        <f aca="false">IF(ISNUMBER(B467),B467*(1+1/'13_Mapa_Liq'!$B$15-'13_Mapa_Liq'!$B$6),"")</f>
        <v/>
      </c>
      <c r="P467" s="151" t="n">
        <f aca="false">IF(ISNUMBER(B467),IF(L467&lt;O467,J467*'13_Mapa_Liq'!$C$15,0),0)</f>
        <v>0</v>
      </c>
      <c r="Q467" s="151" t="str">
        <f aca="false">IF(ISNUMBER(B467),B467*(1-1/'13_Mapa_Liq'!$B$16+'13_Mapa_Liq'!$B$6),"")</f>
        <v/>
      </c>
      <c r="R467" s="151" t="n">
        <f aca="false">IF(ISNUMBER(B467),IF(K467&gt;Q467,I467*'13_Mapa_Liq'!$C$16,0),0)</f>
        <v>0</v>
      </c>
      <c r="S467" s="151" t="str">
        <f aca="false">IF(ISNUMBER(B467),B467*(1+1/'13_Mapa_Liq'!$B$16-'13_Mapa_Liq'!$B$6),"")</f>
        <v/>
      </c>
      <c r="T467" s="151" t="n">
        <f aca="false">IF(ISNUMBER(B467),IF(L467&lt;S467,J467*'13_Mapa_Liq'!$C$16,0),0)</f>
        <v>0</v>
      </c>
      <c r="U467" s="151" t="str">
        <f aca="false">IF(ISNUMBER(B467),B467*(1-1/'13_Mapa_Liq'!$B$17+'13_Mapa_Liq'!$B$6),"")</f>
        <v/>
      </c>
      <c r="V467" s="151" t="n">
        <f aca="false">IF(ISNUMBER(B467),IF(K467&gt;U467,I467*'13_Mapa_Liq'!$C$17,0),0)</f>
        <v>0</v>
      </c>
      <c r="W467" s="151" t="str">
        <f aca="false">IF(ISNUMBER(B467),B467*(1+1/'13_Mapa_Liq'!$B$17-'13_Mapa_Liq'!$B$6),"")</f>
        <v/>
      </c>
      <c r="X467" s="151" t="n">
        <f aca="false">IF(ISNUMBER(B467),IF(L467&lt;W467,J467*'13_Mapa_Liq'!$C$17,0),0)</f>
        <v>0</v>
      </c>
      <c r="Y467" s="151" t="str">
        <f aca="false">IF(ISNUMBER(B467),B467*(1-1/'13_Mapa_Liq'!$B$18+'13_Mapa_Liq'!$B$6),"")</f>
        <v/>
      </c>
      <c r="Z467" s="151" t="n">
        <f aca="false">IF(ISNUMBER(B467),IF(K467&gt;Y467,I467*'13_Mapa_Liq'!$C$18,0),0)</f>
        <v>0</v>
      </c>
      <c r="AA467" s="151" t="str">
        <f aca="false">IF(ISNUMBER(B467),B467*(1+1/'13_Mapa_Liq'!$B$18-'13_Mapa_Liq'!$B$6),"")</f>
        <v/>
      </c>
      <c r="AB467" s="151" t="n">
        <f aca="false">IF(ISNUMBER(B467),IF(L467&lt;AA467,J467*'13_Mapa_Liq'!$C$18,0),0)</f>
        <v>0</v>
      </c>
      <c r="AC467" s="151" t="str">
        <f aca="false">IF(ISNUMBER(B467),B467*(1-1/'13_Mapa_Liq'!$B$19+'13_Mapa_Liq'!$B$6),"")</f>
        <v/>
      </c>
      <c r="AD467" s="151" t="n">
        <f aca="false">IF(ISNUMBER(B467),IF(K467&gt;AC467,I467*'13_Mapa_Liq'!$C$19,0),0)</f>
        <v>0</v>
      </c>
      <c r="AE467" s="151" t="str">
        <f aca="false">IF(ISNUMBER(B467),B467*(1+1/'13_Mapa_Liq'!$B$19-'13_Mapa_Liq'!$B$6),"")</f>
        <v/>
      </c>
      <c r="AF467" s="151" t="n">
        <f aca="false">IF(ISNUMBER(B467),IF(L467&lt;AE467,J467*'13_Mapa_Liq'!$C$19,0),0)</f>
        <v>0</v>
      </c>
      <c r="AG467" s="151"/>
      <c r="AH467" s="151" t="n">
        <f aca="false">IF(ISNUMBER(B467),E467*F467*((K467&lt;=M467)*'13_Mapa_Liq'!$C$15+(K467&lt;=Q467)*'13_Mapa_Liq'!$C$16+(K467&lt;=U467)*'13_Mapa_Liq'!$C$17+(K467&lt;=Y467)*'13_Mapa_Liq'!$C$18+(K467&lt;=AC467)*'13_Mapa_Liq'!$C$19),0)</f>
        <v>0</v>
      </c>
      <c r="AI467" s="151" t="n">
        <f aca="false">IF(ISNUMBER(B467),E467*(1-F467)*((L467&gt;=O467)*'13_Mapa_Liq'!$C$15+(L467&gt;=S467)*'13_Mapa_Liq'!$C$16+(L467&gt;=W467)*'13_Mapa_Liq'!$C$17+(L467&gt;=AA467)*'13_Mapa_Liq'!$C$18+(L467&gt;=AE467)*'13_Mapa_Liq'!$C$19),0)</f>
        <v>0</v>
      </c>
    </row>
    <row r="468" customFormat="false" ht="15" hidden="false" customHeight="false" outlineLevel="0" collapsed="false">
      <c r="A468" s="151" t="str">
        <f aca="false">IF(ISNUMBER('12_Datos_5m'!F468),ROW()-4,"")</f>
        <v/>
      </c>
      <c r="B468" s="151" t="str">
        <f aca="false">IF(ISNUMBER('12_Datos_5m'!F468),'12_Datos_5m'!F468,"")</f>
        <v/>
      </c>
      <c r="C468" s="151" t="str">
        <f aca="false">IF(ISNUMBER('12_Datos_5m'!A468),'12_Datos_5m'!A468,"")</f>
        <v/>
      </c>
      <c r="D468" s="151" t="n">
        <f aca="false">IF(AND(ISNUMBER('12_Datos_5m'!I468),ISNUMBER('12_Datos_5m'!I467)),'12_Datos_5m'!I468-'12_Datos_5m'!I467,0)</f>
        <v>0</v>
      </c>
      <c r="E468" s="151" t="n">
        <f aca="false">MAX(0,D468)</f>
        <v>0</v>
      </c>
      <c r="F468" s="151" t="n">
        <f aca="false">IF(AND(ISNUMBER('12_Datos_5m'!G468),N('12_Datos_5m'!G468)&gt;0),'12_Datos_5m'!H468/'12_Datos_5m'!G468,0.5)</f>
        <v>0.5</v>
      </c>
      <c r="G468" s="151" t="n">
        <f aca="false">IF(ISNUMBER(C468),($C$2-C468)/3600000,0)</f>
        <v>0</v>
      </c>
      <c r="H468" s="151" t="n">
        <f aca="false">EXP(-G468/'13_Mapa_Liq'!$B$7)</f>
        <v>1</v>
      </c>
      <c r="I468" s="151" t="n">
        <f aca="false">E468*F468*H468</f>
        <v>0</v>
      </c>
      <c r="J468" s="151" t="n">
        <f aca="false">E468*(1-F468)*H468</f>
        <v>0</v>
      </c>
      <c r="K468" s="151" t="n">
        <f aca="false">IF(COUNT('12_Datos_5m'!E469:E$504)=0,1000000000000,MIN('12_Datos_5m'!E469:E$504))</f>
        <v>1000000000000</v>
      </c>
      <c r="L468" s="151" t="n">
        <f aca="false">IF(COUNT('12_Datos_5m'!D469:D$504)=0,0,MAX('12_Datos_5m'!D469:D$504))</f>
        <v>0</v>
      </c>
      <c r="M468" s="151" t="str">
        <f aca="false">IF(ISNUMBER(B468),B468*(1-1/'13_Mapa_Liq'!$B$15+'13_Mapa_Liq'!$B$6),"")</f>
        <v/>
      </c>
      <c r="N468" s="151" t="n">
        <f aca="false">IF(ISNUMBER(B468),IF(K468&gt;M468,I468*'13_Mapa_Liq'!$C$15,0),0)</f>
        <v>0</v>
      </c>
      <c r="O468" s="151" t="str">
        <f aca="false">IF(ISNUMBER(B468),B468*(1+1/'13_Mapa_Liq'!$B$15-'13_Mapa_Liq'!$B$6),"")</f>
        <v/>
      </c>
      <c r="P468" s="151" t="n">
        <f aca="false">IF(ISNUMBER(B468),IF(L468&lt;O468,J468*'13_Mapa_Liq'!$C$15,0),0)</f>
        <v>0</v>
      </c>
      <c r="Q468" s="151" t="str">
        <f aca="false">IF(ISNUMBER(B468),B468*(1-1/'13_Mapa_Liq'!$B$16+'13_Mapa_Liq'!$B$6),"")</f>
        <v/>
      </c>
      <c r="R468" s="151" t="n">
        <f aca="false">IF(ISNUMBER(B468),IF(K468&gt;Q468,I468*'13_Mapa_Liq'!$C$16,0),0)</f>
        <v>0</v>
      </c>
      <c r="S468" s="151" t="str">
        <f aca="false">IF(ISNUMBER(B468),B468*(1+1/'13_Mapa_Liq'!$B$16-'13_Mapa_Liq'!$B$6),"")</f>
        <v/>
      </c>
      <c r="T468" s="151" t="n">
        <f aca="false">IF(ISNUMBER(B468),IF(L468&lt;S468,J468*'13_Mapa_Liq'!$C$16,0),0)</f>
        <v>0</v>
      </c>
      <c r="U468" s="151" t="str">
        <f aca="false">IF(ISNUMBER(B468),B468*(1-1/'13_Mapa_Liq'!$B$17+'13_Mapa_Liq'!$B$6),"")</f>
        <v/>
      </c>
      <c r="V468" s="151" t="n">
        <f aca="false">IF(ISNUMBER(B468),IF(K468&gt;U468,I468*'13_Mapa_Liq'!$C$17,0),0)</f>
        <v>0</v>
      </c>
      <c r="W468" s="151" t="str">
        <f aca="false">IF(ISNUMBER(B468),B468*(1+1/'13_Mapa_Liq'!$B$17-'13_Mapa_Liq'!$B$6),"")</f>
        <v/>
      </c>
      <c r="X468" s="151" t="n">
        <f aca="false">IF(ISNUMBER(B468),IF(L468&lt;W468,J468*'13_Mapa_Liq'!$C$17,0),0)</f>
        <v>0</v>
      </c>
      <c r="Y468" s="151" t="str">
        <f aca="false">IF(ISNUMBER(B468),B468*(1-1/'13_Mapa_Liq'!$B$18+'13_Mapa_Liq'!$B$6),"")</f>
        <v/>
      </c>
      <c r="Z468" s="151" t="n">
        <f aca="false">IF(ISNUMBER(B468),IF(K468&gt;Y468,I468*'13_Mapa_Liq'!$C$18,0),0)</f>
        <v>0</v>
      </c>
      <c r="AA468" s="151" t="str">
        <f aca="false">IF(ISNUMBER(B468),B468*(1+1/'13_Mapa_Liq'!$B$18-'13_Mapa_Liq'!$B$6),"")</f>
        <v/>
      </c>
      <c r="AB468" s="151" t="n">
        <f aca="false">IF(ISNUMBER(B468),IF(L468&lt;AA468,J468*'13_Mapa_Liq'!$C$18,0),0)</f>
        <v>0</v>
      </c>
      <c r="AC468" s="151" t="str">
        <f aca="false">IF(ISNUMBER(B468),B468*(1-1/'13_Mapa_Liq'!$B$19+'13_Mapa_Liq'!$B$6),"")</f>
        <v/>
      </c>
      <c r="AD468" s="151" t="n">
        <f aca="false">IF(ISNUMBER(B468),IF(K468&gt;AC468,I468*'13_Mapa_Liq'!$C$19,0),0)</f>
        <v>0</v>
      </c>
      <c r="AE468" s="151" t="str">
        <f aca="false">IF(ISNUMBER(B468),B468*(1+1/'13_Mapa_Liq'!$B$19-'13_Mapa_Liq'!$B$6),"")</f>
        <v/>
      </c>
      <c r="AF468" s="151" t="n">
        <f aca="false">IF(ISNUMBER(B468),IF(L468&lt;AE468,J468*'13_Mapa_Liq'!$C$19,0),0)</f>
        <v>0</v>
      </c>
      <c r="AG468" s="151"/>
      <c r="AH468" s="151" t="n">
        <f aca="false">IF(ISNUMBER(B468),E468*F468*((K468&lt;=M468)*'13_Mapa_Liq'!$C$15+(K468&lt;=Q468)*'13_Mapa_Liq'!$C$16+(K468&lt;=U468)*'13_Mapa_Liq'!$C$17+(K468&lt;=Y468)*'13_Mapa_Liq'!$C$18+(K468&lt;=AC468)*'13_Mapa_Liq'!$C$19),0)</f>
        <v>0</v>
      </c>
      <c r="AI468" s="151" t="n">
        <f aca="false">IF(ISNUMBER(B468),E468*(1-F468)*((L468&gt;=O468)*'13_Mapa_Liq'!$C$15+(L468&gt;=S468)*'13_Mapa_Liq'!$C$16+(L468&gt;=W468)*'13_Mapa_Liq'!$C$17+(L468&gt;=AA468)*'13_Mapa_Liq'!$C$18+(L468&gt;=AE468)*'13_Mapa_Liq'!$C$19),0)</f>
        <v>0</v>
      </c>
    </row>
    <row r="469" customFormat="false" ht="15" hidden="false" customHeight="false" outlineLevel="0" collapsed="false">
      <c r="A469" s="151" t="str">
        <f aca="false">IF(ISNUMBER('12_Datos_5m'!F469),ROW()-4,"")</f>
        <v/>
      </c>
      <c r="B469" s="151" t="str">
        <f aca="false">IF(ISNUMBER('12_Datos_5m'!F469),'12_Datos_5m'!F469,"")</f>
        <v/>
      </c>
      <c r="C469" s="151" t="str">
        <f aca="false">IF(ISNUMBER('12_Datos_5m'!A469),'12_Datos_5m'!A469,"")</f>
        <v/>
      </c>
      <c r="D469" s="151" t="n">
        <f aca="false">IF(AND(ISNUMBER('12_Datos_5m'!I469),ISNUMBER('12_Datos_5m'!I468)),'12_Datos_5m'!I469-'12_Datos_5m'!I468,0)</f>
        <v>0</v>
      </c>
      <c r="E469" s="151" t="n">
        <f aca="false">MAX(0,D469)</f>
        <v>0</v>
      </c>
      <c r="F469" s="151" t="n">
        <f aca="false">IF(AND(ISNUMBER('12_Datos_5m'!G469),N('12_Datos_5m'!G469)&gt;0),'12_Datos_5m'!H469/'12_Datos_5m'!G469,0.5)</f>
        <v>0.5</v>
      </c>
      <c r="G469" s="151" t="n">
        <f aca="false">IF(ISNUMBER(C469),($C$2-C469)/3600000,0)</f>
        <v>0</v>
      </c>
      <c r="H469" s="151" t="n">
        <f aca="false">EXP(-G469/'13_Mapa_Liq'!$B$7)</f>
        <v>1</v>
      </c>
      <c r="I469" s="151" t="n">
        <f aca="false">E469*F469*H469</f>
        <v>0</v>
      </c>
      <c r="J469" s="151" t="n">
        <f aca="false">E469*(1-F469)*H469</f>
        <v>0</v>
      </c>
      <c r="K469" s="151" t="n">
        <f aca="false">IF(COUNT('12_Datos_5m'!E470:E$504)=0,1000000000000,MIN('12_Datos_5m'!E470:E$504))</f>
        <v>1000000000000</v>
      </c>
      <c r="L469" s="151" t="n">
        <f aca="false">IF(COUNT('12_Datos_5m'!D470:D$504)=0,0,MAX('12_Datos_5m'!D470:D$504))</f>
        <v>0</v>
      </c>
      <c r="M469" s="151" t="str">
        <f aca="false">IF(ISNUMBER(B469),B469*(1-1/'13_Mapa_Liq'!$B$15+'13_Mapa_Liq'!$B$6),"")</f>
        <v/>
      </c>
      <c r="N469" s="151" t="n">
        <f aca="false">IF(ISNUMBER(B469),IF(K469&gt;M469,I469*'13_Mapa_Liq'!$C$15,0),0)</f>
        <v>0</v>
      </c>
      <c r="O469" s="151" t="str">
        <f aca="false">IF(ISNUMBER(B469),B469*(1+1/'13_Mapa_Liq'!$B$15-'13_Mapa_Liq'!$B$6),"")</f>
        <v/>
      </c>
      <c r="P469" s="151" t="n">
        <f aca="false">IF(ISNUMBER(B469),IF(L469&lt;O469,J469*'13_Mapa_Liq'!$C$15,0),0)</f>
        <v>0</v>
      </c>
      <c r="Q469" s="151" t="str">
        <f aca="false">IF(ISNUMBER(B469),B469*(1-1/'13_Mapa_Liq'!$B$16+'13_Mapa_Liq'!$B$6),"")</f>
        <v/>
      </c>
      <c r="R469" s="151" t="n">
        <f aca="false">IF(ISNUMBER(B469),IF(K469&gt;Q469,I469*'13_Mapa_Liq'!$C$16,0),0)</f>
        <v>0</v>
      </c>
      <c r="S469" s="151" t="str">
        <f aca="false">IF(ISNUMBER(B469),B469*(1+1/'13_Mapa_Liq'!$B$16-'13_Mapa_Liq'!$B$6),"")</f>
        <v/>
      </c>
      <c r="T469" s="151" t="n">
        <f aca="false">IF(ISNUMBER(B469),IF(L469&lt;S469,J469*'13_Mapa_Liq'!$C$16,0),0)</f>
        <v>0</v>
      </c>
      <c r="U469" s="151" t="str">
        <f aca="false">IF(ISNUMBER(B469),B469*(1-1/'13_Mapa_Liq'!$B$17+'13_Mapa_Liq'!$B$6),"")</f>
        <v/>
      </c>
      <c r="V469" s="151" t="n">
        <f aca="false">IF(ISNUMBER(B469),IF(K469&gt;U469,I469*'13_Mapa_Liq'!$C$17,0),0)</f>
        <v>0</v>
      </c>
      <c r="W469" s="151" t="str">
        <f aca="false">IF(ISNUMBER(B469),B469*(1+1/'13_Mapa_Liq'!$B$17-'13_Mapa_Liq'!$B$6),"")</f>
        <v/>
      </c>
      <c r="X469" s="151" t="n">
        <f aca="false">IF(ISNUMBER(B469),IF(L469&lt;W469,J469*'13_Mapa_Liq'!$C$17,0),0)</f>
        <v>0</v>
      </c>
      <c r="Y469" s="151" t="str">
        <f aca="false">IF(ISNUMBER(B469),B469*(1-1/'13_Mapa_Liq'!$B$18+'13_Mapa_Liq'!$B$6),"")</f>
        <v/>
      </c>
      <c r="Z469" s="151" t="n">
        <f aca="false">IF(ISNUMBER(B469),IF(K469&gt;Y469,I469*'13_Mapa_Liq'!$C$18,0),0)</f>
        <v>0</v>
      </c>
      <c r="AA469" s="151" t="str">
        <f aca="false">IF(ISNUMBER(B469),B469*(1+1/'13_Mapa_Liq'!$B$18-'13_Mapa_Liq'!$B$6),"")</f>
        <v/>
      </c>
      <c r="AB469" s="151" t="n">
        <f aca="false">IF(ISNUMBER(B469),IF(L469&lt;AA469,J469*'13_Mapa_Liq'!$C$18,0),0)</f>
        <v>0</v>
      </c>
      <c r="AC469" s="151" t="str">
        <f aca="false">IF(ISNUMBER(B469),B469*(1-1/'13_Mapa_Liq'!$B$19+'13_Mapa_Liq'!$B$6),"")</f>
        <v/>
      </c>
      <c r="AD469" s="151" t="n">
        <f aca="false">IF(ISNUMBER(B469),IF(K469&gt;AC469,I469*'13_Mapa_Liq'!$C$19,0),0)</f>
        <v>0</v>
      </c>
      <c r="AE469" s="151" t="str">
        <f aca="false">IF(ISNUMBER(B469),B469*(1+1/'13_Mapa_Liq'!$B$19-'13_Mapa_Liq'!$B$6),"")</f>
        <v/>
      </c>
      <c r="AF469" s="151" t="n">
        <f aca="false">IF(ISNUMBER(B469),IF(L469&lt;AE469,J469*'13_Mapa_Liq'!$C$19,0),0)</f>
        <v>0</v>
      </c>
      <c r="AG469" s="151"/>
      <c r="AH469" s="151" t="n">
        <f aca="false">IF(ISNUMBER(B469),E469*F469*((K469&lt;=M469)*'13_Mapa_Liq'!$C$15+(K469&lt;=Q469)*'13_Mapa_Liq'!$C$16+(K469&lt;=U469)*'13_Mapa_Liq'!$C$17+(K469&lt;=Y469)*'13_Mapa_Liq'!$C$18+(K469&lt;=AC469)*'13_Mapa_Liq'!$C$19),0)</f>
        <v>0</v>
      </c>
      <c r="AI469" s="151" t="n">
        <f aca="false">IF(ISNUMBER(B469),E469*(1-F469)*((L469&gt;=O469)*'13_Mapa_Liq'!$C$15+(L469&gt;=S469)*'13_Mapa_Liq'!$C$16+(L469&gt;=W469)*'13_Mapa_Liq'!$C$17+(L469&gt;=AA469)*'13_Mapa_Liq'!$C$18+(L469&gt;=AE469)*'13_Mapa_Liq'!$C$19),0)</f>
        <v>0</v>
      </c>
    </row>
    <row r="470" customFormat="false" ht="15" hidden="false" customHeight="false" outlineLevel="0" collapsed="false">
      <c r="A470" s="151" t="str">
        <f aca="false">IF(ISNUMBER('12_Datos_5m'!F470),ROW()-4,"")</f>
        <v/>
      </c>
      <c r="B470" s="151" t="str">
        <f aca="false">IF(ISNUMBER('12_Datos_5m'!F470),'12_Datos_5m'!F470,"")</f>
        <v/>
      </c>
      <c r="C470" s="151" t="str">
        <f aca="false">IF(ISNUMBER('12_Datos_5m'!A470),'12_Datos_5m'!A470,"")</f>
        <v/>
      </c>
      <c r="D470" s="151" t="n">
        <f aca="false">IF(AND(ISNUMBER('12_Datos_5m'!I470),ISNUMBER('12_Datos_5m'!I469)),'12_Datos_5m'!I470-'12_Datos_5m'!I469,0)</f>
        <v>0</v>
      </c>
      <c r="E470" s="151" t="n">
        <f aca="false">MAX(0,D470)</f>
        <v>0</v>
      </c>
      <c r="F470" s="151" t="n">
        <f aca="false">IF(AND(ISNUMBER('12_Datos_5m'!G470),N('12_Datos_5m'!G470)&gt;0),'12_Datos_5m'!H470/'12_Datos_5m'!G470,0.5)</f>
        <v>0.5</v>
      </c>
      <c r="G470" s="151" t="n">
        <f aca="false">IF(ISNUMBER(C470),($C$2-C470)/3600000,0)</f>
        <v>0</v>
      </c>
      <c r="H470" s="151" t="n">
        <f aca="false">EXP(-G470/'13_Mapa_Liq'!$B$7)</f>
        <v>1</v>
      </c>
      <c r="I470" s="151" t="n">
        <f aca="false">E470*F470*H470</f>
        <v>0</v>
      </c>
      <c r="J470" s="151" t="n">
        <f aca="false">E470*(1-F470)*H470</f>
        <v>0</v>
      </c>
      <c r="K470" s="151" t="n">
        <f aca="false">IF(COUNT('12_Datos_5m'!E471:E$504)=0,1000000000000,MIN('12_Datos_5m'!E471:E$504))</f>
        <v>1000000000000</v>
      </c>
      <c r="L470" s="151" t="n">
        <f aca="false">IF(COUNT('12_Datos_5m'!D471:D$504)=0,0,MAX('12_Datos_5m'!D471:D$504))</f>
        <v>0</v>
      </c>
      <c r="M470" s="151" t="str">
        <f aca="false">IF(ISNUMBER(B470),B470*(1-1/'13_Mapa_Liq'!$B$15+'13_Mapa_Liq'!$B$6),"")</f>
        <v/>
      </c>
      <c r="N470" s="151" t="n">
        <f aca="false">IF(ISNUMBER(B470),IF(K470&gt;M470,I470*'13_Mapa_Liq'!$C$15,0),0)</f>
        <v>0</v>
      </c>
      <c r="O470" s="151" t="str">
        <f aca="false">IF(ISNUMBER(B470),B470*(1+1/'13_Mapa_Liq'!$B$15-'13_Mapa_Liq'!$B$6),"")</f>
        <v/>
      </c>
      <c r="P470" s="151" t="n">
        <f aca="false">IF(ISNUMBER(B470),IF(L470&lt;O470,J470*'13_Mapa_Liq'!$C$15,0),0)</f>
        <v>0</v>
      </c>
      <c r="Q470" s="151" t="str">
        <f aca="false">IF(ISNUMBER(B470),B470*(1-1/'13_Mapa_Liq'!$B$16+'13_Mapa_Liq'!$B$6),"")</f>
        <v/>
      </c>
      <c r="R470" s="151" t="n">
        <f aca="false">IF(ISNUMBER(B470),IF(K470&gt;Q470,I470*'13_Mapa_Liq'!$C$16,0),0)</f>
        <v>0</v>
      </c>
      <c r="S470" s="151" t="str">
        <f aca="false">IF(ISNUMBER(B470),B470*(1+1/'13_Mapa_Liq'!$B$16-'13_Mapa_Liq'!$B$6),"")</f>
        <v/>
      </c>
      <c r="T470" s="151" t="n">
        <f aca="false">IF(ISNUMBER(B470),IF(L470&lt;S470,J470*'13_Mapa_Liq'!$C$16,0),0)</f>
        <v>0</v>
      </c>
      <c r="U470" s="151" t="str">
        <f aca="false">IF(ISNUMBER(B470),B470*(1-1/'13_Mapa_Liq'!$B$17+'13_Mapa_Liq'!$B$6),"")</f>
        <v/>
      </c>
      <c r="V470" s="151" t="n">
        <f aca="false">IF(ISNUMBER(B470),IF(K470&gt;U470,I470*'13_Mapa_Liq'!$C$17,0),0)</f>
        <v>0</v>
      </c>
      <c r="W470" s="151" t="str">
        <f aca="false">IF(ISNUMBER(B470),B470*(1+1/'13_Mapa_Liq'!$B$17-'13_Mapa_Liq'!$B$6),"")</f>
        <v/>
      </c>
      <c r="X470" s="151" t="n">
        <f aca="false">IF(ISNUMBER(B470),IF(L470&lt;W470,J470*'13_Mapa_Liq'!$C$17,0),0)</f>
        <v>0</v>
      </c>
      <c r="Y470" s="151" t="str">
        <f aca="false">IF(ISNUMBER(B470),B470*(1-1/'13_Mapa_Liq'!$B$18+'13_Mapa_Liq'!$B$6),"")</f>
        <v/>
      </c>
      <c r="Z470" s="151" t="n">
        <f aca="false">IF(ISNUMBER(B470),IF(K470&gt;Y470,I470*'13_Mapa_Liq'!$C$18,0),0)</f>
        <v>0</v>
      </c>
      <c r="AA470" s="151" t="str">
        <f aca="false">IF(ISNUMBER(B470),B470*(1+1/'13_Mapa_Liq'!$B$18-'13_Mapa_Liq'!$B$6),"")</f>
        <v/>
      </c>
      <c r="AB470" s="151" t="n">
        <f aca="false">IF(ISNUMBER(B470),IF(L470&lt;AA470,J470*'13_Mapa_Liq'!$C$18,0),0)</f>
        <v>0</v>
      </c>
      <c r="AC470" s="151" t="str">
        <f aca="false">IF(ISNUMBER(B470),B470*(1-1/'13_Mapa_Liq'!$B$19+'13_Mapa_Liq'!$B$6),"")</f>
        <v/>
      </c>
      <c r="AD470" s="151" t="n">
        <f aca="false">IF(ISNUMBER(B470),IF(K470&gt;AC470,I470*'13_Mapa_Liq'!$C$19,0),0)</f>
        <v>0</v>
      </c>
      <c r="AE470" s="151" t="str">
        <f aca="false">IF(ISNUMBER(B470),B470*(1+1/'13_Mapa_Liq'!$B$19-'13_Mapa_Liq'!$B$6),"")</f>
        <v/>
      </c>
      <c r="AF470" s="151" t="n">
        <f aca="false">IF(ISNUMBER(B470),IF(L470&lt;AE470,J470*'13_Mapa_Liq'!$C$19,0),0)</f>
        <v>0</v>
      </c>
      <c r="AG470" s="151"/>
      <c r="AH470" s="151" t="n">
        <f aca="false">IF(ISNUMBER(B470),E470*F470*((K470&lt;=M470)*'13_Mapa_Liq'!$C$15+(K470&lt;=Q470)*'13_Mapa_Liq'!$C$16+(K470&lt;=U470)*'13_Mapa_Liq'!$C$17+(K470&lt;=Y470)*'13_Mapa_Liq'!$C$18+(K470&lt;=AC470)*'13_Mapa_Liq'!$C$19),0)</f>
        <v>0</v>
      </c>
      <c r="AI470" s="151" t="n">
        <f aca="false">IF(ISNUMBER(B470),E470*(1-F470)*((L470&gt;=O470)*'13_Mapa_Liq'!$C$15+(L470&gt;=S470)*'13_Mapa_Liq'!$C$16+(L470&gt;=W470)*'13_Mapa_Liq'!$C$17+(L470&gt;=AA470)*'13_Mapa_Liq'!$C$18+(L470&gt;=AE470)*'13_Mapa_Liq'!$C$19),0)</f>
        <v>0</v>
      </c>
    </row>
    <row r="471" customFormat="false" ht="15" hidden="false" customHeight="false" outlineLevel="0" collapsed="false">
      <c r="A471" s="151" t="str">
        <f aca="false">IF(ISNUMBER('12_Datos_5m'!F471),ROW()-4,"")</f>
        <v/>
      </c>
      <c r="B471" s="151" t="str">
        <f aca="false">IF(ISNUMBER('12_Datos_5m'!F471),'12_Datos_5m'!F471,"")</f>
        <v/>
      </c>
      <c r="C471" s="151" t="str">
        <f aca="false">IF(ISNUMBER('12_Datos_5m'!A471),'12_Datos_5m'!A471,"")</f>
        <v/>
      </c>
      <c r="D471" s="151" t="n">
        <f aca="false">IF(AND(ISNUMBER('12_Datos_5m'!I471),ISNUMBER('12_Datos_5m'!I470)),'12_Datos_5m'!I471-'12_Datos_5m'!I470,0)</f>
        <v>0</v>
      </c>
      <c r="E471" s="151" t="n">
        <f aca="false">MAX(0,D471)</f>
        <v>0</v>
      </c>
      <c r="F471" s="151" t="n">
        <f aca="false">IF(AND(ISNUMBER('12_Datos_5m'!G471),N('12_Datos_5m'!G471)&gt;0),'12_Datos_5m'!H471/'12_Datos_5m'!G471,0.5)</f>
        <v>0.5</v>
      </c>
      <c r="G471" s="151" t="n">
        <f aca="false">IF(ISNUMBER(C471),($C$2-C471)/3600000,0)</f>
        <v>0</v>
      </c>
      <c r="H471" s="151" t="n">
        <f aca="false">EXP(-G471/'13_Mapa_Liq'!$B$7)</f>
        <v>1</v>
      </c>
      <c r="I471" s="151" t="n">
        <f aca="false">E471*F471*H471</f>
        <v>0</v>
      </c>
      <c r="J471" s="151" t="n">
        <f aca="false">E471*(1-F471)*H471</f>
        <v>0</v>
      </c>
      <c r="K471" s="151" t="n">
        <f aca="false">IF(COUNT('12_Datos_5m'!E472:E$504)=0,1000000000000,MIN('12_Datos_5m'!E472:E$504))</f>
        <v>1000000000000</v>
      </c>
      <c r="L471" s="151" t="n">
        <f aca="false">IF(COUNT('12_Datos_5m'!D472:D$504)=0,0,MAX('12_Datos_5m'!D472:D$504))</f>
        <v>0</v>
      </c>
      <c r="M471" s="151" t="str">
        <f aca="false">IF(ISNUMBER(B471),B471*(1-1/'13_Mapa_Liq'!$B$15+'13_Mapa_Liq'!$B$6),"")</f>
        <v/>
      </c>
      <c r="N471" s="151" t="n">
        <f aca="false">IF(ISNUMBER(B471),IF(K471&gt;M471,I471*'13_Mapa_Liq'!$C$15,0),0)</f>
        <v>0</v>
      </c>
      <c r="O471" s="151" t="str">
        <f aca="false">IF(ISNUMBER(B471),B471*(1+1/'13_Mapa_Liq'!$B$15-'13_Mapa_Liq'!$B$6),"")</f>
        <v/>
      </c>
      <c r="P471" s="151" t="n">
        <f aca="false">IF(ISNUMBER(B471),IF(L471&lt;O471,J471*'13_Mapa_Liq'!$C$15,0),0)</f>
        <v>0</v>
      </c>
      <c r="Q471" s="151" t="str">
        <f aca="false">IF(ISNUMBER(B471),B471*(1-1/'13_Mapa_Liq'!$B$16+'13_Mapa_Liq'!$B$6),"")</f>
        <v/>
      </c>
      <c r="R471" s="151" t="n">
        <f aca="false">IF(ISNUMBER(B471),IF(K471&gt;Q471,I471*'13_Mapa_Liq'!$C$16,0),0)</f>
        <v>0</v>
      </c>
      <c r="S471" s="151" t="str">
        <f aca="false">IF(ISNUMBER(B471),B471*(1+1/'13_Mapa_Liq'!$B$16-'13_Mapa_Liq'!$B$6),"")</f>
        <v/>
      </c>
      <c r="T471" s="151" t="n">
        <f aca="false">IF(ISNUMBER(B471),IF(L471&lt;S471,J471*'13_Mapa_Liq'!$C$16,0),0)</f>
        <v>0</v>
      </c>
      <c r="U471" s="151" t="str">
        <f aca="false">IF(ISNUMBER(B471),B471*(1-1/'13_Mapa_Liq'!$B$17+'13_Mapa_Liq'!$B$6),"")</f>
        <v/>
      </c>
      <c r="V471" s="151" t="n">
        <f aca="false">IF(ISNUMBER(B471),IF(K471&gt;U471,I471*'13_Mapa_Liq'!$C$17,0),0)</f>
        <v>0</v>
      </c>
      <c r="W471" s="151" t="str">
        <f aca="false">IF(ISNUMBER(B471),B471*(1+1/'13_Mapa_Liq'!$B$17-'13_Mapa_Liq'!$B$6),"")</f>
        <v/>
      </c>
      <c r="X471" s="151" t="n">
        <f aca="false">IF(ISNUMBER(B471),IF(L471&lt;W471,J471*'13_Mapa_Liq'!$C$17,0),0)</f>
        <v>0</v>
      </c>
      <c r="Y471" s="151" t="str">
        <f aca="false">IF(ISNUMBER(B471),B471*(1-1/'13_Mapa_Liq'!$B$18+'13_Mapa_Liq'!$B$6),"")</f>
        <v/>
      </c>
      <c r="Z471" s="151" t="n">
        <f aca="false">IF(ISNUMBER(B471),IF(K471&gt;Y471,I471*'13_Mapa_Liq'!$C$18,0),0)</f>
        <v>0</v>
      </c>
      <c r="AA471" s="151" t="str">
        <f aca="false">IF(ISNUMBER(B471),B471*(1+1/'13_Mapa_Liq'!$B$18-'13_Mapa_Liq'!$B$6),"")</f>
        <v/>
      </c>
      <c r="AB471" s="151" t="n">
        <f aca="false">IF(ISNUMBER(B471),IF(L471&lt;AA471,J471*'13_Mapa_Liq'!$C$18,0),0)</f>
        <v>0</v>
      </c>
      <c r="AC471" s="151" t="str">
        <f aca="false">IF(ISNUMBER(B471),B471*(1-1/'13_Mapa_Liq'!$B$19+'13_Mapa_Liq'!$B$6),"")</f>
        <v/>
      </c>
      <c r="AD471" s="151" t="n">
        <f aca="false">IF(ISNUMBER(B471),IF(K471&gt;AC471,I471*'13_Mapa_Liq'!$C$19,0),0)</f>
        <v>0</v>
      </c>
      <c r="AE471" s="151" t="str">
        <f aca="false">IF(ISNUMBER(B471),B471*(1+1/'13_Mapa_Liq'!$B$19-'13_Mapa_Liq'!$B$6),"")</f>
        <v/>
      </c>
      <c r="AF471" s="151" t="n">
        <f aca="false">IF(ISNUMBER(B471),IF(L471&lt;AE471,J471*'13_Mapa_Liq'!$C$19,0),0)</f>
        <v>0</v>
      </c>
      <c r="AG471" s="151"/>
      <c r="AH471" s="151" t="n">
        <f aca="false">IF(ISNUMBER(B471),E471*F471*((K471&lt;=M471)*'13_Mapa_Liq'!$C$15+(K471&lt;=Q471)*'13_Mapa_Liq'!$C$16+(K471&lt;=U471)*'13_Mapa_Liq'!$C$17+(K471&lt;=Y471)*'13_Mapa_Liq'!$C$18+(K471&lt;=AC471)*'13_Mapa_Liq'!$C$19),0)</f>
        <v>0</v>
      </c>
      <c r="AI471" s="151" t="n">
        <f aca="false">IF(ISNUMBER(B471),E471*(1-F471)*((L471&gt;=O471)*'13_Mapa_Liq'!$C$15+(L471&gt;=S471)*'13_Mapa_Liq'!$C$16+(L471&gt;=W471)*'13_Mapa_Liq'!$C$17+(L471&gt;=AA471)*'13_Mapa_Liq'!$C$18+(L471&gt;=AE471)*'13_Mapa_Liq'!$C$19),0)</f>
        <v>0</v>
      </c>
    </row>
    <row r="472" customFormat="false" ht="15" hidden="false" customHeight="false" outlineLevel="0" collapsed="false">
      <c r="A472" s="151" t="str">
        <f aca="false">IF(ISNUMBER('12_Datos_5m'!F472),ROW()-4,"")</f>
        <v/>
      </c>
      <c r="B472" s="151" t="str">
        <f aca="false">IF(ISNUMBER('12_Datos_5m'!F472),'12_Datos_5m'!F472,"")</f>
        <v/>
      </c>
      <c r="C472" s="151" t="str">
        <f aca="false">IF(ISNUMBER('12_Datos_5m'!A472),'12_Datos_5m'!A472,"")</f>
        <v/>
      </c>
      <c r="D472" s="151" t="n">
        <f aca="false">IF(AND(ISNUMBER('12_Datos_5m'!I472),ISNUMBER('12_Datos_5m'!I471)),'12_Datos_5m'!I472-'12_Datos_5m'!I471,0)</f>
        <v>0</v>
      </c>
      <c r="E472" s="151" t="n">
        <f aca="false">MAX(0,D472)</f>
        <v>0</v>
      </c>
      <c r="F472" s="151" t="n">
        <f aca="false">IF(AND(ISNUMBER('12_Datos_5m'!G472),N('12_Datos_5m'!G472)&gt;0),'12_Datos_5m'!H472/'12_Datos_5m'!G472,0.5)</f>
        <v>0.5</v>
      </c>
      <c r="G472" s="151" t="n">
        <f aca="false">IF(ISNUMBER(C472),($C$2-C472)/3600000,0)</f>
        <v>0</v>
      </c>
      <c r="H472" s="151" t="n">
        <f aca="false">EXP(-G472/'13_Mapa_Liq'!$B$7)</f>
        <v>1</v>
      </c>
      <c r="I472" s="151" t="n">
        <f aca="false">E472*F472*H472</f>
        <v>0</v>
      </c>
      <c r="J472" s="151" t="n">
        <f aca="false">E472*(1-F472)*H472</f>
        <v>0</v>
      </c>
      <c r="K472" s="151" t="n">
        <f aca="false">IF(COUNT('12_Datos_5m'!E473:E$504)=0,1000000000000,MIN('12_Datos_5m'!E473:E$504))</f>
        <v>1000000000000</v>
      </c>
      <c r="L472" s="151" t="n">
        <f aca="false">IF(COUNT('12_Datos_5m'!D473:D$504)=0,0,MAX('12_Datos_5m'!D473:D$504))</f>
        <v>0</v>
      </c>
      <c r="M472" s="151" t="str">
        <f aca="false">IF(ISNUMBER(B472),B472*(1-1/'13_Mapa_Liq'!$B$15+'13_Mapa_Liq'!$B$6),"")</f>
        <v/>
      </c>
      <c r="N472" s="151" t="n">
        <f aca="false">IF(ISNUMBER(B472),IF(K472&gt;M472,I472*'13_Mapa_Liq'!$C$15,0),0)</f>
        <v>0</v>
      </c>
      <c r="O472" s="151" t="str">
        <f aca="false">IF(ISNUMBER(B472),B472*(1+1/'13_Mapa_Liq'!$B$15-'13_Mapa_Liq'!$B$6),"")</f>
        <v/>
      </c>
      <c r="P472" s="151" t="n">
        <f aca="false">IF(ISNUMBER(B472),IF(L472&lt;O472,J472*'13_Mapa_Liq'!$C$15,0),0)</f>
        <v>0</v>
      </c>
      <c r="Q472" s="151" t="str">
        <f aca="false">IF(ISNUMBER(B472),B472*(1-1/'13_Mapa_Liq'!$B$16+'13_Mapa_Liq'!$B$6),"")</f>
        <v/>
      </c>
      <c r="R472" s="151" t="n">
        <f aca="false">IF(ISNUMBER(B472),IF(K472&gt;Q472,I472*'13_Mapa_Liq'!$C$16,0),0)</f>
        <v>0</v>
      </c>
      <c r="S472" s="151" t="str">
        <f aca="false">IF(ISNUMBER(B472),B472*(1+1/'13_Mapa_Liq'!$B$16-'13_Mapa_Liq'!$B$6),"")</f>
        <v/>
      </c>
      <c r="T472" s="151" t="n">
        <f aca="false">IF(ISNUMBER(B472),IF(L472&lt;S472,J472*'13_Mapa_Liq'!$C$16,0),0)</f>
        <v>0</v>
      </c>
      <c r="U472" s="151" t="str">
        <f aca="false">IF(ISNUMBER(B472),B472*(1-1/'13_Mapa_Liq'!$B$17+'13_Mapa_Liq'!$B$6),"")</f>
        <v/>
      </c>
      <c r="V472" s="151" t="n">
        <f aca="false">IF(ISNUMBER(B472),IF(K472&gt;U472,I472*'13_Mapa_Liq'!$C$17,0),0)</f>
        <v>0</v>
      </c>
      <c r="W472" s="151" t="str">
        <f aca="false">IF(ISNUMBER(B472),B472*(1+1/'13_Mapa_Liq'!$B$17-'13_Mapa_Liq'!$B$6),"")</f>
        <v/>
      </c>
      <c r="X472" s="151" t="n">
        <f aca="false">IF(ISNUMBER(B472),IF(L472&lt;W472,J472*'13_Mapa_Liq'!$C$17,0),0)</f>
        <v>0</v>
      </c>
      <c r="Y472" s="151" t="str">
        <f aca="false">IF(ISNUMBER(B472),B472*(1-1/'13_Mapa_Liq'!$B$18+'13_Mapa_Liq'!$B$6),"")</f>
        <v/>
      </c>
      <c r="Z472" s="151" t="n">
        <f aca="false">IF(ISNUMBER(B472),IF(K472&gt;Y472,I472*'13_Mapa_Liq'!$C$18,0),0)</f>
        <v>0</v>
      </c>
      <c r="AA472" s="151" t="str">
        <f aca="false">IF(ISNUMBER(B472),B472*(1+1/'13_Mapa_Liq'!$B$18-'13_Mapa_Liq'!$B$6),"")</f>
        <v/>
      </c>
      <c r="AB472" s="151" t="n">
        <f aca="false">IF(ISNUMBER(B472),IF(L472&lt;AA472,J472*'13_Mapa_Liq'!$C$18,0),0)</f>
        <v>0</v>
      </c>
      <c r="AC472" s="151" t="str">
        <f aca="false">IF(ISNUMBER(B472),B472*(1-1/'13_Mapa_Liq'!$B$19+'13_Mapa_Liq'!$B$6),"")</f>
        <v/>
      </c>
      <c r="AD472" s="151" t="n">
        <f aca="false">IF(ISNUMBER(B472),IF(K472&gt;AC472,I472*'13_Mapa_Liq'!$C$19,0),0)</f>
        <v>0</v>
      </c>
      <c r="AE472" s="151" t="str">
        <f aca="false">IF(ISNUMBER(B472),B472*(1+1/'13_Mapa_Liq'!$B$19-'13_Mapa_Liq'!$B$6),"")</f>
        <v/>
      </c>
      <c r="AF472" s="151" t="n">
        <f aca="false">IF(ISNUMBER(B472),IF(L472&lt;AE472,J472*'13_Mapa_Liq'!$C$19,0),0)</f>
        <v>0</v>
      </c>
      <c r="AG472" s="151"/>
      <c r="AH472" s="151" t="n">
        <f aca="false">IF(ISNUMBER(B472),E472*F472*((K472&lt;=M472)*'13_Mapa_Liq'!$C$15+(K472&lt;=Q472)*'13_Mapa_Liq'!$C$16+(K472&lt;=U472)*'13_Mapa_Liq'!$C$17+(K472&lt;=Y472)*'13_Mapa_Liq'!$C$18+(K472&lt;=AC472)*'13_Mapa_Liq'!$C$19),0)</f>
        <v>0</v>
      </c>
      <c r="AI472" s="151" t="n">
        <f aca="false">IF(ISNUMBER(B472),E472*(1-F472)*((L472&gt;=O472)*'13_Mapa_Liq'!$C$15+(L472&gt;=S472)*'13_Mapa_Liq'!$C$16+(L472&gt;=W472)*'13_Mapa_Liq'!$C$17+(L472&gt;=AA472)*'13_Mapa_Liq'!$C$18+(L472&gt;=AE472)*'13_Mapa_Liq'!$C$19),0)</f>
        <v>0</v>
      </c>
    </row>
    <row r="473" customFormat="false" ht="15" hidden="false" customHeight="false" outlineLevel="0" collapsed="false">
      <c r="A473" s="151" t="str">
        <f aca="false">IF(ISNUMBER('12_Datos_5m'!F473),ROW()-4,"")</f>
        <v/>
      </c>
      <c r="B473" s="151" t="str">
        <f aca="false">IF(ISNUMBER('12_Datos_5m'!F473),'12_Datos_5m'!F473,"")</f>
        <v/>
      </c>
      <c r="C473" s="151" t="str">
        <f aca="false">IF(ISNUMBER('12_Datos_5m'!A473),'12_Datos_5m'!A473,"")</f>
        <v/>
      </c>
      <c r="D473" s="151" t="n">
        <f aca="false">IF(AND(ISNUMBER('12_Datos_5m'!I473),ISNUMBER('12_Datos_5m'!I472)),'12_Datos_5m'!I473-'12_Datos_5m'!I472,0)</f>
        <v>0</v>
      </c>
      <c r="E473" s="151" t="n">
        <f aca="false">MAX(0,D473)</f>
        <v>0</v>
      </c>
      <c r="F473" s="151" t="n">
        <f aca="false">IF(AND(ISNUMBER('12_Datos_5m'!G473),N('12_Datos_5m'!G473)&gt;0),'12_Datos_5m'!H473/'12_Datos_5m'!G473,0.5)</f>
        <v>0.5</v>
      </c>
      <c r="G473" s="151" t="n">
        <f aca="false">IF(ISNUMBER(C473),($C$2-C473)/3600000,0)</f>
        <v>0</v>
      </c>
      <c r="H473" s="151" t="n">
        <f aca="false">EXP(-G473/'13_Mapa_Liq'!$B$7)</f>
        <v>1</v>
      </c>
      <c r="I473" s="151" t="n">
        <f aca="false">E473*F473*H473</f>
        <v>0</v>
      </c>
      <c r="J473" s="151" t="n">
        <f aca="false">E473*(1-F473)*H473</f>
        <v>0</v>
      </c>
      <c r="K473" s="151" t="n">
        <f aca="false">IF(COUNT('12_Datos_5m'!E474:E$504)=0,1000000000000,MIN('12_Datos_5m'!E474:E$504))</f>
        <v>1000000000000</v>
      </c>
      <c r="L473" s="151" t="n">
        <f aca="false">IF(COUNT('12_Datos_5m'!D474:D$504)=0,0,MAX('12_Datos_5m'!D474:D$504))</f>
        <v>0</v>
      </c>
      <c r="M473" s="151" t="str">
        <f aca="false">IF(ISNUMBER(B473),B473*(1-1/'13_Mapa_Liq'!$B$15+'13_Mapa_Liq'!$B$6),"")</f>
        <v/>
      </c>
      <c r="N473" s="151" t="n">
        <f aca="false">IF(ISNUMBER(B473),IF(K473&gt;M473,I473*'13_Mapa_Liq'!$C$15,0),0)</f>
        <v>0</v>
      </c>
      <c r="O473" s="151" t="str">
        <f aca="false">IF(ISNUMBER(B473),B473*(1+1/'13_Mapa_Liq'!$B$15-'13_Mapa_Liq'!$B$6),"")</f>
        <v/>
      </c>
      <c r="P473" s="151" t="n">
        <f aca="false">IF(ISNUMBER(B473),IF(L473&lt;O473,J473*'13_Mapa_Liq'!$C$15,0),0)</f>
        <v>0</v>
      </c>
      <c r="Q473" s="151" t="str">
        <f aca="false">IF(ISNUMBER(B473),B473*(1-1/'13_Mapa_Liq'!$B$16+'13_Mapa_Liq'!$B$6),"")</f>
        <v/>
      </c>
      <c r="R473" s="151" t="n">
        <f aca="false">IF(ISNUMBER(B473),IF(K473&gt;Q473,I473*'13_Mapa_Liq'!$C$16,0),0)</f>
        <v>0</v>
      </c>
      <c r="S473" s="151" t="str">
        <f aca="false">IF(ISNUMBER(B473),B473*(1+1/'13_Mapa_Liq'!$B$16-'13_Mapa_Liq'!$B$6),"")</f>
        <v/>
      </c>
      <c r="T473" s="151" t="n">
        <f aca="false">IF(ISNUMBER(B473),IF(L473&lt;S473,J473*'13_Mapa_Liq'!$C$16,0),0)</f>
        <v>0</v>
      </c>
      <c r="U473" s="151" t="str">
        <f aca="false">IF(ISNUMBER(B473),B473*(1-1/'13_Mapa_Liq'!$B$17+'13_Mapa_Liq'!$B$6),"")</f>
        <v/>
      </c>
      <c r="V473" s="151" t="n">
        <f aca="false">IF(ISNUMBER(B473),IF(K473&gt;U473,I473*'13_Mapa_Liq'!$C$17,0),0)</f>
        <v>0</v>
      </c>
      <c r="W473" s="151" t="str">
        <f aca="false">IF(ISNUMBER(B473),B473*(1+1/'13_Mapa_Liq'!$B$17-'13_Mapa_Liq'!$B$6),"")</f>
        <v/>
      </c>
      <c r="X473" s="151" t="n">
        <f aca="false">IF(ISNUMBER(B473),IF(L473&lt;W473,J473*'13_Mapa_Liq'!$C$17,0),0)</f>
        <v>0</v>
      </c>
      <c r="Y473" s="151" t="str">
        <f aca="false">IF(ISNUMBER(B473),B473*(1-1/'13_Mapa_Liq'!$B$18+'13_Mapa_Liq'!$B$6),"")</f>
        <v/>
      </c>
      <c r="Z473" s="151" t="n">
        <f aca="false">IF(ISNUMBER(B473),IF(K473&gt;Y473,I473*'13_Mapa_Liq'!$C$18,0),0)</f>
        <v>0</v>
      </c>
      <c r="AA473" s="151" t="str">
        <f aca="false">IF(ISNUMBER(B473),B473*(1+1/'13_Mapa_Liq'!$B$18-'13_Mapa_Liq'!$B$6),"")</f>
        <v/>
      </c>
      <c r="AB473" s="151" t="n">
        <f aca="false">IF(ISNUMBER(B473),IF(L473&lt;AA473,J473*'13_Mapa_Liq'!$C$18,0),0)</f>
        <v>0</v>
      </c>
      <c r="AC473" s="151" t="str">
        <f aca="false">IF(ISNUMBER(B473),B473*(1-1/'13_Mapa_Liq'!$B$19+'13_Mapa_Liq'!$B$6),"")</f>
        <v/>
      </c>
      <c r="AD473" s="151" t="n">
        <f aca="false">IF(ISNUMBER(B473),IF(K473&gt;AC473,I473*'13_Mapa_Liq'!$C$19,0),0)</f>
        <v>0</v>
      </c>
      <c r="AE473" s="151" t="str">
        <f aca="false">IF(ISNUMBER(B473),B473*(1+1/'13_Mapa_Liq'!$B$19-'13_Mapa_Liq'!$B$6),"")</f>
        <v/>
      </c>
      <c r="AF473" s="151" t="n">
        <f aca="false">IF(ISNUMBER(B473),IF(L473&lt;AE473,J473*'13_Mapa_Liq'!$C$19,0),0)</f>
        <v>0</v>
      </c>
      <c r="AG473" s="151"/>
      <c r="AH473" s="151" t="n">
        <f aca="false">IF(ISNUMBER(B473),E473*F473*((K473&lt;=M473)*'13_Mapa_Liq'!$C$15+(K473&lt;=Q473)*'13_Mapa_Liq'!$C$16+(K473&lt;=U473)*'13_Mapa_Liq'!$C$17+(K473&lt;=Y473)*'13_Mapa_Liq'!$C$18+(K473&lt;=AC473)*'13_Mapa_Liq'!$C$19),0)</f>
        <v>0</v>
      </c>
      <c r="AI473" s="151" t="n">
        <f aca="false">IF(ISNUMBER(B473),E473*(1-F473)*((L473&gt;=O473)*'13_Mapa_Liq'!$C$15+(L473&gt;=S473)*'13_Mapa_Liq'!$C$16+(L473&gt;=W473)*'13_Mapa_Liq'!$C$17+(L473&gt;=AA473)*'13_Mapa_Liq'!$C$18+(L473&gt;=AE473)*'13_Mapa_Liq'!$C$19),0)</f>
        <v>0</v>
      </c>
    </row>
    <row r="474" customFormat="false" ht="15" hidden="false" customHeight="false" outlineLevel="0" collapsed="false">
      <c r="A474" s="151" t="str">
        <f aca="false">IF(ISNUMBER('12_Datos_5m'!F474),ROW()-4,"")</f>
        <v/>
      </c>
      <c r="B474" s="151" t="str">
        <f aca="false">IF(ISNUMBER('12_Datos_5m'!F474),'12_Datos_5m'!F474,"")</f>
        <v/>
      </c>
      <c r="C474" s="151" t="str">
        <f aca="false">IF(ISNUMBER('12_Datos_5m'!A474),'12_Datos_5m'!A474,"")</f>
        <v/>
      </c>
      <c r="D474" s="151" t="n">
        <f aca="false">IF(AND(ISNUMBER('12_Datos_5m'!I474),ISNUMBER('12_Datos_5m'!I473)),'12_Datos_5m'!I474-'12_Datos_5m'!I473,0)</f>
        <v>0</v>
      </c>
      <c r="E474" s="151" t="n">
        <f aca="false">MAX(0,D474)</f>
        <v>0</v>
      </c>
      <c r="F474" s="151" t="n">
        <f aca="false">IF(AND(ISNUMBER('12_Datos_5m'!G474),N('12_Datos_5m'!G474)&gt;0),'12_Datos_5m'!H474/'12_Datos_5m'!G474,0.5)</f>
        <v>0.5</v>
      </c>
      <c r="G474" s="151" t="n">
        <f aca="false">IF(ISNUMBER(C474),($C$2-C474)/3600000,0)</f>
        <v>0</v>
      </c>
      <c r="H474" s="151" t="n">
        <f aca="false">EXP(-G474/'13_Mapa_Liq'!$B$7)</f>
        <v>1</v>
      </c>
      <c r="I474" s="151" t="n">
        <f aca="false">E474*F474*H474</f>
        <v>0</v>
      </c>
      <c r="J474" s="151" t="n">
        <f aca="false">E474*(1-F474)*H474</f>
        <v>0</v>
      </c>
      <c r="K474" s="151" t="n">
        <f aca="false">IF(COUNT('12_Datos_5m'!E475:E$504)=0,1000000000000,MIN('12_Datos_5m'!E475:E$504))</f>
        <v>1000000000000</v>
      </c>
      <c r="L474" s="151" t="n">
        <f aca="false">IF(COUNT('12_Datos_5m'!D475:D$504)=0,0,MAX('12_Datos_5m'!D475:D$504))</f>
        <v>0</v>
      </c>
      <c r="M474" s="151" t="str">
        <f aca="false">IF(ISNUMBER(B474),B474*(1-1/'13_Mapa_Liq'!$B$15+'13_Mapa_Liq'!$B$6),"")</f>
        <v/>
      </c>
      <c r="N474" s="151" t="n">
        <f aca="false">IF(ISNUMBER(B474),IF(K474&gt;M474,I474*'13_Mapa_Liq'!$C$15,0),0)</f>
        <v>0</v>
      </c>
      <c r="O474" s="151" t="str">
        <f aca="false">IF(ISNUMBER(B474),B474*(1+1/'13_Mapa_Liq'!$B$15-'13_Mapa_Liq'!$B$6),"")</f>
        <v/>
      </c>
      <c r="P474" s="151" t="n">
        <f aca="false">IF(ISNUMBER(B474),IF(L474&lt;O474,J474*'13_Mapa_Liq'!$C$15,0),0)</f>
        <v>0</v>
      </c>
      <c r="Q474" s="151" t="str">
        <f aca="false">IF(ISNUMBER(B474),B474*(1-1/'13_Mapa_Liq'!$B$16+'13_Mapa_Liq'!$B$6),"")</f>
        <v/>
      </c>
      <c r="R474" s="151" t="n">
        <f aca="false">IF(ISNUMBER(B474),IF(K474&gt;Q474,I474*'13_Mapa_Liq'!$C$16,0),0)</f>
        <v>0</v>
      </c>
      <c r="S474" s="151" t="str">
        <f aca="false">IF(ISNUMBER(B474),B474*(1+1/'13_Mapa_Liq'!$B$16-'13_Mapa_Liq'!$B$6),"")</f>
        <v/>
      </c>
      <c r="T474" s="151" t="n">
        <f aca="false">IF(ISNUMBER(B474),IF(L474&lt;S474,J474*'13_Mapa_Liq'!$C$16,0),0)</f>
        <v>0</v>
      </c>
      <c r="U474" s="151" t="str">
        <f aca="false">IF(ISNUMBER(B474),B474*(1-1/'13_Mapa_Liq'!$B$17+'13_Mapa_Liq'!$B$6),"")</f>
        <v/>
      </c>
      <c r="V474" s="151" t="n">
        <f aca="false">IF(ISNUMBER(B474),IF(K474&gt;U474,I474*'13_Mapa_Liq'!$C$17,0),0)</f>
        <v>0</v>
      </c>
      <c r="W474" s="151" t="str">
        <f aca="false">IF(ISNUMBER(B474),B474*(1+1/'13_Mapa_Liq'!$B$17-'13_Mapa_Liq'!$B$6),"")</f>
        <v/>
      </c>
      <c r="X474" s="151" t="n">
        <f aca="false">IF(ISNUMBER(B474),IF(L474&lt;W474,J474*'13_Mapa_Liq'!$C$17,0),0)</f>
        <v>0</v>
      </c>
      <c r="Y474" s="151" t="str">
        <f aca="false">IF(ISNUMBER(B474),B474*(1-1/'13_Mapa_Liq'!$B$18+'13_Mapa_Liq'!$B$6),"")</f>
        <v/>
      </c>
      <c r="Z474" s="151" t="n">
        <f aca="false">IF(ISNUMBER(B474),IF(K474&gt;Y474,I474*'13_Mapa_Liq'!$C$18,0),0)</f>
        <v>0</v>
      </c>
      <c r="AA474" s="151" t="str">
        <f aca="false">IF(ISNUMBER(B474),B474*(1+1/'13_Mapa_Liq'!$B$18-'13_Mapa_Liq'!$B$6),"")</f>
        <v/>
      </c>
      <c r="AB474" s="151" t="n">
        <f aca="false">IF(ISNUMBER(B474),IF(L474&lt;AA474,J474*'13_Mapa_Liq'!$C$18,0),0)</f>
        <v>0</v>
      </c>
      <c r="AC474" s="151" t="str">
        <f aca="false">IF(ISNUMBER(B474),B474*(1-1/'13_Mapa_Liq'!$B$19+'13_Mapa_Liq'!$B$6),"")</f>
        <v/>
      </c>
      <c r="AD474" s="151" t="n">
        <f aca="false">IF(ISNUMBER(B474),IF(K474&gt;AC474,I474*'13_Mapa_Liq'!$C$19,0),0)</f>
        <v>0</v>
      </c>
      <c r="AE474" s="151" t="str">
        <f aca="false">IF(ISNUMBER(B474),B474*(1+1/'13_Mapa_Liq'!$B$19-'13_Mapa_Liq'!$B$6),"")</f>
        <v/>
      </c>
      <c r="AF474" s="151" t="n">
        <f aca="false">IF(ISNUMBER(B474),IF(L474&lt;AE474,J474*'13_Mapa_Liq'!$C$19,0),0)</f>
        <v>0</v>
      </c>
      <c r="AG474" s="151"/>
      <c r="AH474" s="151" t="n">
        <f aca="false">IF(ISNUMBER(B474),E474*F474*((K474&lt;=M474)*'13_Mapa_Liq'!$C$15+(K474&lt;=Q474)*'13_Mapa_Liq'!$C$16+(K474&lt;=U474)*'13_Mapa_Liq'!$C$17+(K474&lt;=Y474)*'13_Mapa_Liq'!$C$18+(K474&lt;=AC474)*'13_Mapa_Liq'!$C$19),0)</f>
        <v>0</v>
      </c>
      <c r="AI474" s="151" t="n">
        <f aca="false">IF(ISNUMBER(B474),E474*(1-F474)*((L474&gt;=O474)*'13_Mapa_Liq'!$C$15+(L474&gt;=S474)*'13_Mapa_Liq'!$C$16+(L474&gt;=W474)*'13_Mapa_Liq'!$C$17+(L474&gt;=AA474)*'13_Mapa_Liq'!$C$18+(L474&gt;=AE474)*'13_Mapa_Liq'!$C$19),0)</f>
        <v>0</v>
      </c>
    </row>
    <row r="475" customFormat="false" ht="15" hidden="false" customHeight="false" outlineLevel="0" collapsed="false">
      <c r="A475" s="151" t="str">
        <f aca="false">IF(ISNUMBER('12_Datos_5m'!F475),ROW()-4,"")</f>
        <v/>
      </c>
      <c r="B475" s="151" t="str">
        <f aca="false">IF(ISNUMBER('12_Datos_5m'!F475),'12_Datos_5m'!F475,"")</f>
        <v/>
      </c>
      <c r="C475" s="151" t="str">
        <f aca="false">IF(ISNUMBER('12_Datos_5m'!A475),'12_Datos_5m'!A475,"")</f>
        <v/>
      </c>
      <c r="D475" s="151" t="n">
        <f aca="false">IF(AND(ISNUMBER('12_Datos_5m'!I475),ISNUMBER('12_Datos_5m'!I474)),'12_Datos_5m'!I475-'12_Datos_5m'!I474,0)</f>
        <v>0</v>
      </c>
      <c r="E475" s="151" t="n">
        <f aca="false">MAX(0,D475)</f>
        <v>0</v>
      </c>
      <c r="F475" s="151" t="n">
        <f aca="false">IF(AND(ISNUMBER('12_Datos_5m'!G475),N('12_Datos_5m'!G475)&gt;0),'12_Datos_5m'!H475/'12_Datos_5m'!G475,0.5)</f>
        <v>0.5</v>
      </c>
      <c r="G475" s="151" t="n">
        <f aca="false">IF(ISNUMBER(C475),($C$2-C475)/3600000,0)</f>
        <v>0</v>
      </c>
      <c r="H475" s="151" t="n">
        <f aca="false">EXP(-G475/'13_Mapa_Liq'!$B$7)</f>
        <v>1</v>
      </c>
      <c r="I475" s="151" t="n">
        <f aca="false">E475*F475*H475</f>
        <v>0</v>
      </c>
      <c r="J475" s="151" t="n">
        <f aca="false">E475*(1-F475)*H475</f>
        <v>0</v>
      </c>
      <c r="K475" s="151" t="n">
        <f aca="false">IF(COUNT('12_Datos_5m'!E476:E$504)=0,1000000000000,MIN('12_Datos_5m'!E476:E$504))</f>
        <v>1000000000000</v>
      </c>
      <c r="L475" s="151" t="n">
        <f aca="false">IF(COUNT('12_Datos_5m'!D476:D$504)=0,0,MAX('12_Datos_5m'!D476:D$504))</f>
        <v>0</v>
      </c>
      <c r="M475" s="151" t="str">
        <f aca="false">IF(ISNUMBER(B475),B475*(1-1/'13_Mapa_Liq'!$B$15+'13_Mapa_Liq'!$B$6),"")</f>
        <v/>
      </c>
      <c r="N475" s="151" t="n">
        <f aca="false">IF(ISNUMBER(B475),IF(K475&gt;M475,I475*'13_Mapa_Liq'!$C$15,0),0)</f>
        <v>0</v>
      </c>
      <c r="O475" s="151" t="str">
        <f aca="false">IF(ISNUMBER(B475),B475*(1+1/'13_Mapa_Liq'!$B$15-'13_Mapa_Liq'!$B$6),"")</f>
        <v/>
      </c>
      <c r="P475" s="151" t="n">
        <f aca="false">IF(ISNUMBER(B475),IF(L475&lt;O475,J475*'13_Mapa_Liq'!$C$15,0),0)</f>
        <v>0</v>
      </c>
      <c r="Q475" s="151" t="str">
        <f aca="false">IF(ISNUMBER(B475),B475*(1-1/'13_Mapa_Liq'!$B$16+'13_Mapa_Liq'!$B$6),"")</f>
        <v/>
      </c>
      <c r="R475" s="151" t="n">
        <f aca="false">IF(ISNUMBER(B475),IF(K475&gt;Q475,I475*'13_Mapa_Liq'!$C$16,0),0)</f>
        <v>0</v>
      </c>
      <c r="S475" s="151" t="str">
        <f aca="false">IF(ISNUMBER(B475),B475*(1+1/'13_Mapa_Liq'!$B$16-'13_Mapa_Liq'!$B$6),"")</f>
        <v/>
      </c>
      <c r="T475" s="151" t="n">
        <f aca="false">IF(ISNUMBER(B475),IF(L475&lt;S475,J475*'13_Mapa_Liq'!$C$16,0),0)</f>
        <v>0</v>
      </c>
      <c r="U475" s="151" t="str">
        <f aca="false">IF(ISNUMBER(B475),B475*(1-1/'13_Mapa_Liq'!$B$17+'13_Mapa_Liq'!$B$6),"")</f>
        <v/>
      </c>
      <c r="V475" s="151" t="n">
        <f aca="false">IF(ISNUMBER(B475),IF(K475&gt;U475,I475*'13_Mapa_Liq'!$C$17,0),0)</f>
        <v>0</v>
      </c>
      <c r="W475" s="151" t="str">
        <f aca="false">IF(ISNUMBER(B475),B475*(1+1/'13_Mapa_Liq'!$B$17-'13_Mapa_Liq'!$B$6),"")</f>
        <v/>
      </c>
      <c r="X475" s="151" t="n">
        <f aca="false">IF(ISNUMBER(B475),IF(L475&lt;W475,J475*'13_Mapa_Liq'!$C$17,0),0)</f>
        <v>0</v>
      </c>
      <c r="Y475" s="151" t="str">
        <f aca="false">IF(ISNUMBER(B475),B475*(1-1/'13_Mapa_Liq'!$B$18+'13_Mapa_Liq'!$B$6),"")</f>
        <v/>
      </c>
      <c r="Z475" s="151" t="n">
        <f aca="false">IF(ISNUMBER(B475),IF(K475&gt;Y475,I475*'13_Mapa_Liq'!$C$18,0),0)</f>
        <v>0</v>
      </c>
      <c r="AA475" s="151" t="str">
        <f aca="false">IF(ISNUMBER(B475),B475*(1+1/'13_Mapa_Liq'!$B$18-'13_Mapa_Liq'!$B$6),"")</f>
        <v/>
      </c>
      <c r="AB475" s="151" t="n">
        <f aca="false">IF(ISNUMBER(B475),IF(L475&lt;AA475,J475*'13_Mapa_Liq'!$C$18,0),0)</f>
        <v>0</v>
      </c>
      <c r="AC475" s="151" t="str">
        <f aca="false">IF(ISNUMBER(B475),B475*(1-1/'13_Mapa_Liq'!$B$19+'13_Mapa_Liq'!$B$6),"")</f>
        <v/>
      </c>
      <c r="AD475" s="151" t="n">
        <f aca="false">IF(ISNUMBER(B475),IF(K475&gt;AC475,I475*'13_Mapa_Liq'!$C$19,0),0)</f>
        <v>0</v>
      </c>
      <c r="AE475" s="151" t="str">
        <f aca="false">IF(ISNUMBER(B475),B475*(1+1/'13_Mapa_Liq'!$B$19-'13_Mapa_Liq'!$B$6),"")</f>
        <v/>
      </c>
      <c r="AF475" s="151" t="n">
        <f aca="false">IF(ISNUMBER(B475),IF(L475&lt;AE475,J475*'13_Mapa_Liq'!$C$19,0),0)</f>
        <v>0</v>
      </c>
      <c r="AG475" s="151"/>
      <c r="AH475" s="151" t="n">
        <f aca="false">IF(ISNUMBER(B475),E475*F475*((K475&lt;=M475)*'13_Mapa_Liq'!$C$15+(K475&lt;=Q475)*'13_Mapa_Liq'!$C$16+(K475&lt;=U475)*'13_Mapa_Liq'!$C$17+(K475&lt;=Y475)*'13_Mapa_Liq'!$C$18+(K475&lt;=AC475)*'13_Mapa_Liq'!$C$19),0)</f>
        <v>0</v>
      </c>
      <c r="AI475" s="151" t="n">
        <f aca="false">IF(ISNUMBER(B475),E475*(1-F475)*((L475&gt;=O475)*'13_Mapa_Liq'!$C$15+(L475&gt;=S475)*'13_Mapa_Liq'!$C$16+(L475&gt;=W475)*'13_Mapa_Liq'!$C$17+(L475&gt;=AA475)*'13_Mapa_Liq'!$C$18+(L475&gt;=AE475)*'13_Mapa_Liq'!$C$19),0)</f>
        <v>0</v>
      </c>
    </row>
    <row r="476" customFormat="false" ht="15" hidden="false" customHeight="false" outlineLevel="0" collapsed="false">
      <c r="A476" s="151" t="str">
        <f aca="false">IF(ISNUMBER('12_Datos_5m'!F476),ROW()-4,"")</f>
        <v/>
      </c>
      <c r="B476" s="151" t="str">
        <f aca="false">IF(ISNUMBER('12_Datos_5m'!F476),'12_Datos_5m'!F476,"")</f>
        <v/>
      </c>
      <c r="C476" s="151" t="str">
        <f aca="false">IF(ISNUMBER('12_Datos_5m'!A476),'12_Datos_5m'!A476,"")</f>
        <v/>
      </c>
      <c r="D476" s="151" t="n">
        <f aca="false">IF(AND(ISNUMBER('12_Datos_5m'!I476),ISNUMBER('12_Datos_5m'!I475)),'12_Datos_5m'!I476-'12_Datos_5m'!I475,0)</f>
        <v>0</v>
      </c>
      <c r="E476" s="151" t="n">
        <f aca="false">MAX(0,D476)</f>
        <v>0</v>
      </c>
      <c r="F476" s="151" t="n">
        <f aca="false">IF(AND(ISNUMBER('12_Datos_5m'!G476),N('12_Datos_5m'!G476)&gt;0),'12_Datos_5m'!H476/'12_Datos_5m'!G476,0.5)</f>
        <v>0.5</v>
      </c>
      <c r="G476" s="151" t="n">
        <f aca="false">IF(ISNUMBER(C476),($C$2-C476)/3600000,0)</f>
        <v>0</v>
      </c>
      <c r="H476" s="151" t="n">
        <f aca="false">EXP(-G476/'13_Mapa_Liq'!$B$7)</f>
        <v>1</v>
      </c>
      <c r="I476" s="151" t="n">
        <f aca="false">E476*F476*H476</f>
        <v>0</v>
      </c>
      <c r="J476" s="151" t="n">
        <f aca="false">E476*(1-F476)*H476</f>
        <v>0</v>
      </c>
      <c r="K476" s="151" t="n">
        <f aca="false">IF(COUNT('12_Datos_5m'!E477:E$504)=0,1000000000000,MIN('12_Datos_5m'!E477:E$504))</f>
        <v>1000000000000</v>
      </c>
      <c r="L476" s="151" t="n">
        <f aca="false">IF(COUNT('12_Datos_5m'!D477:D$504)=0,0,MAX('12_Datos_5m'!D477:D$504))</f>
        <v>0</v>
      </c>
      <c r="M476" s="151" t="str">
        <f aca="false">IF(ISNUMBER(B476),B476*(1-1/'13_Mapa_Liq'!$B$15+'13_Mapa_Liq'!$B$6),"")</f>
        <v/>
      </c>
      <c r="N476" s="151" t="n">
        <f aca="false">IF(ISNUMBER(B476),IF(K476&gt;M476,I476*'13_Mapa_Liq'!$C$15,0),0)</f>
        <v>0</v>
      </c>
      <c r="O476" s="151" t="str">
        <f aca="false">IF(ISNUMBER(B476),B476*(1+1/'13_Mapa_Liq'!$B$15-'13_Mapa_Liq'!$B$6),"")</f>
        <v/>
      </c>
      <c r="P476" s="151" t="n">
        <f aca="false">IF(ISNUMBER(B476),IF(L476&lt;O476,J476*'13_Mapa_Liq'!$C$15,0),0)</f>
        <v>0</v>
      </c>
      <c r="Q476" s="151" t="str">
        <f aca="false">IF(ISNUMBER(B476),B476*(1-1/'13_Mapa_Liq'!$B$16+'13_Mapa_Liq'!$B$6),"")</f>
        <v/>
      </c>
      <c r="R476" s="151" t="n">
        <f aca="false">IF(ISNUMBER(B476),IF(K476&gt;Q476,I476*'13_Mapa_Liq'!$C$16,0),0)</f>
        <v>0</v>
      </c>
      <c r="S476" s="151" t="str">
        <f aca="false">IF(ISNUMBER(B476),B476*(1+1/'13_Mapa_Liq'!$B$16-'13_Mapa_Liq'!$B$6),"")</f>
        <v/>
      </c>
      <c r="T476" s="151" t="n">
        <f aca="false">IF(ISNUMBER(B476),IF(L476&lt;S476,J476*'13_Mapa_Liq'!$C$16,0),0)</f>
        <v>0</v>
      </c>
      <c r="U476" s="151" t="str">
        <f aca="false">IF(ISNUMBER(B476),B476*(1-1/'13_Mapa_Liq'!$B$17+'13_Mapa_Liq'!$B$6),"")</f>
        <v/>
      </c>
      <c r="V476" s="151" t="n">
        <f aca="false">IF(ISNUMBER(B476),IF(K476&gt;U476,I476*'13_Mapa_Liq'!$C$17,0),0)</f>
        <v>0</v>
      </c>
      <c r="W476" s="151" t="str">
        <f aca="false">IF(ISNUMBER(B476),B476*(1+1/'13_Mapa_Liq'!$B$17-'13_Mapa_Liq'!$B$6),"")</f>
        <v/>
      </c>
      <c r="X476" s="151" t="n">
        <f aca="false">IF(ISNUMBER(B476),IF(L476&lt;W476,J476*'13_Mapa_Liq'!$C$17,0),0)</f>
        <v>0</v>
      </c>
      <c r="Y476" s="151" t="str">
        <f aca="false">IF(ISNUMBER(B476),B476*(1-1/'13_Mapa_Liq'!$B$18+'13_Mapa_Liq'!$B$6),"")</f>
        <v/>
      </c>
      <c r="Z476" s="151" t="n">
        <f aca="false">IF(ISNUMBER(B476),IF(K476&gt;Y476,I476*'13_Mapa_Liq'!$C$18,0),0)</f>
        <v>0</v>
      </c>
      <c r="AA476" s="151" t="str">
        <f aca="false">IF(ISNUMBER(B476),B476*(1+1/'13_Mapa_Liq'!$B$18-'13_Mapa_Liq'!$B$6),"")</f>
        <v/>
      </c>
      <c r="AB476" s="151" t="n">
        <f aca="false">IF(ISNUMBER(B476),IF(L476&lt;AA476,J476*'13_Mapa_Liq'!$C$18,0),0)</f>
        <v>0</v>
      </c>
      <c r="AC476" s="151" t="str">
        <f aca="false">IF(ISNUMBER(B476),B476*(1-1/'13_Mapa_Liq'!$B$19+'13_Mapa_Liq'!$B$6),"")</f>
        <v/>
      </c>
      <c r="AD476" s="151" t="n">
        <f aca="false">IF(ISNUMBER(B476),IF(K476&gt;AC476,I476*'13_Mapa_Liq'!$C$19,0),0)</f>
        <v>0</v>
      </c>
      <c r="AE476" s="151" t="str">
        <f aca="false">IF(ISNUMBER(B476),B476*(1+1/'13_Mapa_Liq'!$B$19-'13_Mapa_Liq'!$B$6),"")</f>
        <v/>
      </c>
      <c r="AF476" s="151" t="n">
        <f aca="false">IF(ISNUMBER(B476),IF(L476&lt;AE476,J476*'13_Mapa_Liq'!$C$19,0),0)</f>
        <v>0</v>
      </c>
      <c r="AG476" s="151"/>
      <c r="AH476" s="151" t="n">
        <f aca="false">IF(ISNUMBER(B476),E476*F476*((K476&lt;=M476)*'13_Mapa_Liq'!$C$15+(K476&lt;=Q476)*'13_Mapa_Liq'!$C$16+(K476&lt;=U476)*'13_Mapa_Liq'!$C$17+(K476&lt;=Y476)*'13_Mapa_Liq'!$C$18+(K476&lt;=AC476)*'13_Mapa_Liq'!$C$19),0)</f>
        <v>0</v>
      </c>
      <c r="AI476" s="151" t="n">
        <f aca="false">IF(ISNUMBER(B476),E476*(1-F476)*((L476&gt;=O476)*'13_Mapa_Liq'!$C$15+(L476&gt;=S476)*'13_Mapa_Liq'!$C$16+(L476&gt;=W476)*'13_Mapa_Liq'!$C$17+(L476&gt;=AA476)*'13_Mapa_Liq'!$C$18+(L476&gt;=AE476)*'13_Mapa_Liq'!$C$19),0)</f>
        <v>0</v>
      </c>
    </row>
    <row r="477" customFormat="false" ht="15" hidden="false" customHeight="false" outlineLevel="0" collapsed="false">
      <c r="A477" s="151" t="str">
        <f aca="false">IF(ISNUMBER('12_Datos_5m'!F477),ROW()-4,"")</f>
        <v/>
      </c>
      <c r="B477" s="151" t="str">
        <f aca="false">IF(ISNUMBER('12_Datos_5m'!F477),'12_Datos_5m'!F477,"")</f>
        <v/>
      </c>
      <c r="C477" s="151" t="str">
        <f aca="false">IF(ISNUMBER('12_Datos_5m'!A477),'12_Datos_5m'!A477,"")</f>
        <v/>
      </c>
      <c r="D477" s="151" t="n">
        <f aca="false">IF(AND(ISNUMBER('12_Datos_5m'!I477),ISNUMBER('12_Datos_5m'!I476)),'12_Datos_5m'!I477-'12_Datos_5m'!I476,0)</f>
        <v>0</v>
      </c>
      <c r="E477" s="151" t="n">
        <f aca="false">MAX(0,D477)</f>
        <v>0</v>
      </c>
      <c r="F477" s="151" t="n">
        <f aca="false">IF(AND(ISNUMBER('12_Datos_5m'!G477),N('12_Datos_5m'!G477)&gt;0),'12_Datos_5m'!H477/'12_Datos_5m'!G477,0.5)</f>
        <v>0.5</v>
      </c>
      <c r="G477" s="151" t="n">
        <f aca="false">IF(ISNUMBER(C477),($C$2-C477)/3600000,0)</f>
        <v>0</v>
      </c>
      <c r="H477" s="151" t="n">
        <f aca="false">EXP(-G477/'13_Mapa_Liq'!$B$7)</f>
        <v>1</v>
      </c>
      <c r="I477" s="151" t="n">
        <f aca="false">E477*F477*H477</f>
        <v>0</v>
      </c>
      <c r="J477" s="151" t="n">
        <f aca="false">E477*(1-F477)*H477</f>
        <v>0</v>
      </c>
      <c r="K477" s="151" t="n">
        <f aca="false">IF(COUNT('12_Datos_5m'!E478:E$504)=0,1000000000000,MIN('12_Datos_5m'!E478:E$504))</f>
        <v>1000000000000</v>
      </c>
      <c r="L477" s="151" t="n">
        <f aca="false">IF(COUNT('12_Datos_5m'!D478:D$504)=0,0,MAX('12_Datos_5m'!D478:D$504))</f>
        <v>0</v>
      </c>
      <c r="M477" s="151" t="str">
        <f aca="false">IF(ISNUMBER(B477),B477*(1-1/'13_Mapa_Liq'!$B$15+'13_Mapa_Liq'!$B$6),"")</f>
        <v/>
      </c>
      <c r="N477" s="151" t="n">
        <f aca="false">IF(ISNUMBER(B477),IF(K477&gt;M477,I477*'13_Mapa_Liq'!$C$15,0),0)</f>
        <v>0</v>
      </c>
      <c r="O477" s="151" t="str">
        <f aca="false">IF(ISNUMBER(B477),B477*(1+1/'13_Mapa_Liq'!$B$15-'13_Mapa_Liq'!$B$6),"")</f>
        <v/>
      </c>
      <c r="P477" s="151" t="n">
        <f aca="false">IF(ISNUMBER(B477),IF(L477&lt;O477,J477*'13_Mapa_Liq'!$C$15,0),0)</f>
        <v>0</v>
      </c>
      <c r="Q477" s="151" t="str">
        <f aca="false">IF(ISNUMBER(B477),B477*(1-1/'13_Mapa_Liq'!$B$16+'13_Mapa_Liq'!$B$6),"")</f>
        <v/>
      </c>
      <c r="R477" s="151" t="n">
        <f aca="false">IF(ISNUMBER(B477),IF(K477&gt;Q477,I477*'13_Mapa_Liq'!$C$16,0),0)</f>
        <v>0</v>
      </c>
      <c r="S477" s="151" t="str">
        <f aca="false">IF(ISNUMBER(B477),B477*(1+1/'13_Mapa_Liq'!$B$16-'13_Mapa_Liq'!$B$6),"")</f>
        <v/>
      </c>
      <c r="T477" s="151" t="n">
        <f aca="false">IF(ISNUMBER(B477),IF(L477&lt;S477,J477*'13_Mapa_Liq'!$C$16,0),0)</f>
        <v>0</v>
      </c>
      <c r="U477" s="151" t="str">
        <f aca="false">IF(ISNUMBER(B477),B477*(1-1/'13_Mapa_Liq'!$B$17+'13_Mapa_Liq'!$B$6),"")</f>
        <v/>
      </c>
      <c r="V477" s="151" t="n">
        <f aca="false">IF(ISNUMBER(B477),IF(K477&gt;U477,I477*'13_Mapa_Liq'!$C$17,0),0)</f>
        <v>0</v>
      </c>
      <c r="W477" s="151" t="str">
        <f aca="false">IF(ISNUMBER(B477),B477*(1+1/'13_Mapa_Liq'!$B$17-'13_Mapa_Liq'!$B$6),"")</f>
        <v/>
      </c>
      <c r="X477" s="151" t="n">
        <f aca="false">IF(ISNUMBER(B477),IF(L477&lt;W477,J477*'13_Mapa_Liq'!$C$17,0),0)</f>
        <v>0</v>
      </c>
      <c r="Y477" s="151" t="str">
        <f aca="false">IF(ISNUMBER(B477),B477*(1-1/'13_Mapa_Liq'!$B$18+'13_Mapa_Liq'!$B$6),"")</f>
        <v/>
      </c>
      <c r="Z477" s="151" t="n">
        <f aca="false">IF(ISNUMBER(B477),IF(K477&gt;Y477,I477*'13_Mapa_Liq'!$C$18,0),0)</f>
        <v>0</v>
      </c>
      <c r="AA477" s="151" t="str">
        <f aca="false">IF(ISNUMBER(B477),B477*(1+1/'13_Mapa_Liq'!$B$18-'13_Mapa_Liq'!$B$6),"")</f>
        <v/>
      </c>
      <c r="AB477" s="151" t="n">
        <f aca="false">IF(ISNUMBER(B477),IF(L477&lt;AA477,J477*'13_Mapa_Liq'!$C$18,0),0)</f>
        <v>0</v>
      </c>
      <c r="AC477" s="151" t="str">
        <f aca="false">IF(ISNUMBER(B477),B477*(1-1/'13_Mapa_Liq'!$B$19+'13_Mapa_Liq'!$B$6),"")</f>
        <v/>
      </c>
      <c r="AD477" s="151" t="n">
        <f aca="false">IF(ISNUMBER(B477),IF(K477&gt;AC477,I477*'13_Mapa_Liq'!$C$19,0),0)</f>
        <v>0</v>
      </c>
      <c r="AE477" s="151" t="str">
        <f aca="false">IF(ISNUMBER(B477),B477*(1+1/'13_Mapa_Liq'!$B$19-'13_Mapa_Liq'!$B$6),"")</f>
        <v/>
      </c>
      <c r="AF477" s="151" t="n">
        <f aca="false">IF(ISNUMBER(B477),IF(L477&lt;AE477,J477*'13_Mapa_Liq'!$C$19,0),0)</f>
        <v>0</v>
      </c>
      <c r="AG477" s="151"/>
      <c r="AH477" s="151" t="n">
        <f aca="false">IF(ISNUMBER(B477),E477*F477*((K477&lt;=M477)*'13_Mapa_Liq'!$C$15+(K477&lt;=Q477)*'13_Mapa_Liq'!$C$16+(K477&lt;=U477)*'13_Mapa_Liq'!$C$17+(K477&lt;=Y477)*'13_Mapa_Liq'!$C$18+(K477&lt;=AC477)*'13_Mapa_Liq'!$C$19),0)</f>
        <v>0</v>
      </c>
      <c r="AI477" s="151" t="n">
        <f aca="false">IF(ISNUMBER(B477),E477*(1-F477)*((L477&gt;=O477)*'13_Mapa_Liq'!$C$15+(L477&gt;=S477)*'13_Mapa_Liq'!$C$16+(L477&gt;=W477)*'13_Mapa_Liq'!$C$17+(L477&gt;=AA477)*'13_Mapa_Liq'!$C$18+(L477&gt;=AE477)*'13_Mapa_Liq'!$C$19),0)</f>
        <v>0</v>
      </c>
    </row>
    <row r="478" customFormat="false" ht="15" hidden="false" customHeight="false" outlineLevel="0" collapsed="false">
      <c r="A478" s="151" t="str">
        <f aca="false">IF(ISNUMBER('12_Datos_5m'!F478),ROW()-4,"")</f>
        <v/>
      </c>
      <c r="B478" s="151" t="str">
        <f aca="false">IF(ISNUMBER('12_Datos_5m'!F478),'12_Datos_5m'!F478,"")</f>
        <v/>
      </c>
      <c r="C478" s="151" t="str">
        <f aca="false">IF(ISNUMBER('12_Datos_5m'!A478),'12_Datos_5m'!A478,"")</f>
        <v/>
      </c>
      <c r="D478" s="151" t="n">
        <f aca="false">IF(AND(ISNUMBER('12_Datos_5m'!I478),ISNUMBER('12_Datos_5m'!I477)),'12_Datos_5m'!I478-'12_Datos_5m'!I477,0)</f>
        <v>0</v>
      </c>
      <c r="E478" s="151" t="n">
        <f aca="false">MAX(0,D478)</f>
        <v>0</v>
      </c>
      <c r="F478" s="151" t="n">
        <f aca="false">IF(AND(ISNUMBER('12_Datos_5m'!G478),N('12_Datos_5m'!G478)&gt;0),'12_Datos_5m'!H478/'12_Datos_5m'!G478,0.5)</f>
        <v>0.5</v>
      </c>
      <c r="G478" s="151" t="n">
        <f aca="false">IF(ISNUMBER(C478),($C$2-C478)/3600000,0)</f>
        <v>0</v>
      </c>
      <c r="H478" s="151" t="n">
        <f aca="false">EXP(-G478/'13_Mapa_Liq'!$B$7)</f>
        <v>1</v>
      </c>
      <c r="I478" s="151" t="n">
        <f aca="false">E478*F478*H478</f>
        <v>0</v>
      </c>
      <c r="J478" s="151" t="n">
        <f aca="false">E478*(1-F478)*H478</f>
        <v>0</v>
      </c>
      <c r="K478" s="151" t="n">
        <f aca="false">IF(COUNT('12_Datos_5m'!E479:E$504)=0,1000000000000,MIN('12_Datos_5m'!E479:E$504))</f>
        <v>1000000000000</v>
      </c>
      <c r="L478" s="151" t="n">
        <f aca="false">IF(COUNT('12_Datos_5m'!D479:D$504)=0,0,MAX('12_Datos_5m'!D479:D$504))</f>
        <v>0</v>
      </c>
      <c r="M478" s="151" t="str">
        <f aca="false">IF(ISNUMBER(B478),B478*(1-1/'13_Mapa_Liq'!$B$15+'13_Mapa_Liq'!$B$6),"")</f>
        <v/>
      </c>
      <c r="N478" s="151" t="n">
        <f aca="false">IF(ISNUMBER(B478),IF(K478&gt;M478,I478*'13_Mapa_Liq'!$C$15,0),0)</f>
        <v>0</v>
      </c>
      <c r="O478" s="151" t="str">
        <f aca="false">IF(ISNUMBER(B478),B478*(1+1/'13_Mapa_Liq'!$B$15-'13_Mapa_Liq'!$B$6),"")</f>
        <v/>
      </c>
      <c r="P478" s="151" t="n">
        <f aca="false">IF(ISNUMBER(B478),IF(L478&lt;O478,J478*'13_Mapa_Liq'!$C$15,0),0)</f>
        <v>0</v>
      </c>
      <c r="Q478" s="151" t="str">
        <f aca="false">IF(ISNUMBER(B478),B478*(1-1/'13_Mapa_Liq'!$B$16+'13_Mapa_Liq'!$B$6),"")</f>
        <v/>
      </c>
      <c r="R478" s="151" t="n">
        <f aca="false">IF(ISNUMBER(B478),IF(K478&gt;Q478,I478*'13_Mapa_Liq'!$C$16,0),0)</f>
        <v>0</v>
      </c>
      <c r="S478" s="151" t="str">
        <f aca="false">IF(ISNUMBER(B478),B478*(1+1/'13_Mapa_Liq'!$B$16-'13_Mapa_Liq'!$B$6),"")</f>
        <v/>
      </c>
      <c r="T478" s="151" t="n">
        <f aca="false">IF(ISNUMBER(B478),IF(L478&lt;S478,J478*'13_Mapa_Liq'!$C$16,0),0)</f>
        <v>0</v>
      </c>
      <c r="U478" s="151" t="str">
        <f aca="false">IF(ISNUMBER(B478),B478*(1-1/'13_Mapa_Liq'!$B$17+'13_Mapa_Liq'!$B$6),"")</f>
        <v/>
      </c>
      <c r="V478" s="151" t="n">
        <f aca="false">IF(ISNUMBER(B478),IF(K478&gt;U478,I478*'13_Mapa_Liq'!$C$17,0),0)</f>
        <v>0</v>
      </c>
      <c r="W478" s="151" t="str">
        <f aca="false">IF(ISNUMBER(B478),B478*(1+1/'13_Mapa_Liq'!$B$17-'13_Mapa_Liq'!$B$6),"")</f>
        <v/>
      </c>
      <c r="X478" s="151" t="n">
        <f aca="false">IF(ISNUMBER(B478),IF(L478&lt;W478,J478*'13_Mapa_Liq'!$C$17,0),0)</f>
        <v>0</v>
      </c>
      <c r="Y478" s="151" t="str">
        <f aca="false">IF(ISNUMBER(B478),B478*(1-1/'13_Mapa_Liq'!$B$18+'13_Mapa_Liq'!$B$6),"")</f>
        <v/>
      </c>
      <c r="Z478" s="151" t="n">
        <f aca="false">IF(ISNUMBER(B478),IF(K478&gt;Y478,I478*'13_Mapa_Liq'!$C$18,0),0)</f>
        <v>0</v>
      </c>
      <c r="AA478" s="151" t="str">
        <f aca="false">IF(ISNUMBER(B478),B478*(1+1/'13_Mapa_Liq'!$B$18-'13_Mapa_Liq'!$B$6),"")</f>
        <v/>
      </c>
      <c r="AB478" s="151" t="n">
        <f aca="false">IF(ISNUMBER(B478),IF(L478&lt;AA478,J478*'13_Mapa_Liq'!$C$18,0),0)</f>
        <v>0</v>
      </c>
      <c r="AC478" s="151" t="str">
        <f aca="false">IF(ISNUMBER(B478),B478*(1-1/'13_Mapa_Liq'!$B$19+'13_Mapa_Liq'!$B$6),"")</f>
        <v/>
      </c>
      <c r="AD478" s="151" t="n">
        <f aca="false">IF(ISNUMBER(B478),IF(K478&gt;AC478,I478*'13_Mapa_Liq'!$C$19,0),0)</f>
        <v>0</v>
      </c>
      <c r="AE478" s="151" t="str">
        <f aca="false">IF(ISNUMBER(B478),B478*(1+1/'13_Mapa_Liq'!$B$19-'13_Mapa_Liq'!$B$6),"")</f>
        <v/>
      </c>
      <c r="AF478" s="151" t="n">
        <f aca="false">IF(ISNUMBER(B478),IF(L478&lt;AE478,J478*'13_Mapa_Liq'!$C$19,0),0)</f>
        <v>0</v>
      </c>
      <c r="AG478" s="151"/>
      <c r="AH478" s="151" t="n">
        <f aca="false">IF(ISNUMBER(B478),E478*F478*((K478&lt;=M478)*'13_Mapa_Liq'!$C$15+(K478&lt;=Q478)*'13_Mapa_Liq'!$C$16+(K478&lt;=U478)*'13_Mapa_Liq'!$C$17+(K478&lt;=Y478)*'13_Mapa_Liq'!$C$18+(K478&lt;=AC478)*'13_Mapa_Liq'!$C$19),0)</f>
        <v>0</v>
      </c>
      <c r="AI478" s="151" t="n">
        <f aca="false">IF(ISNUMBER(B478),E478*(1-F478)*((L478&gt;=O478)*'13_Mapa_Liq'!$C$15+(L478&gt;=S478)*'13_Mapa_Liq'!$C$16+(L478&gt;=W478)*'13_Mapa_Liq'!$C$17+(L478&gt;=AA478)*'13_Mapa_Liq'!$C$18+(L478&gt;=AE478)*'13_Mapa_Liq'!$C$19),0)</f>
        <v>0</v>
      </c>
    </row>
    <row r="479" customFormat="false" ht="15" hidden="false" customHeight="false" outlineLevel="0" collapsed="false">
      <c r="A479" s="151" t="str">
        <f aca="false">IF(ISNUMBER('12_Datos_5m'!F479),ROW()-4,"")</f>
        <v/>
      </c>
      <c r="B479" s="151" t="str">
        <f aca="false">IF(ISNUMBER('12_Datos_5m'!F479),'12_Datos_5m'!F479,"")</f>
        <v/>
      </c>
      <c r="C479" s="151" t="str">
        <f aca="false">IF(ISNUMBER('12_Datos_5m'!A479),'12_Datos_5m'!A479,"")</f>
        <v/>
      </c>
      <c r="D479" s="151" t="n">
        <f aca="false">IF(AND(ISNUMBER('12_Datos_5m'!I479),ISNUMBER('12_Datos_5m'!I478)),'12_Datos_5m'!I479-'12_Datos_5m'!I478,0)</f>
        <v>0</v>
      </c>
      <c r="E479" s="151" t="n">
        <f aca="false">MAX(0,D479)</f>
        <v>0</v>
      </c>
      <c r="F479" s="151" t="n">
        <f aca="false">IF(AND(ISNUMBER('12_Datos_5m'!G479),N('12_Datos_5m'!G479)&gt;0),'12_Datos_5m'!H479/'12_Datos_5m'!G479,0.5)</f>
        <v>0.5</v>
      </c>
      <c r="G479" s="151" t="n">
        <f aca="false">IF(ISNUMBER(C479),($C$2-C479)/3600000,0)</f>
        <v>0</v>
      </c>
      <c r="H479" s="151" t="n">
        <f aca="false">EXP(-G479/'13_Mapa_Liq'!$B$7)</f>
        <v>1</v>
      </c>
      <c r="I479" s="151" t="n">
        <f aca="false">E479*F479*H479</f>
        <v>0</v>
      </c>
      <c r="J479" s="151" t="n">
        <f aca="false">E479*(1-F479)*H479</f>
        <v>0</v>
      </c>
      <c r="K479" s="151" t="n">
        <f aca="false">IF(COUNT('12_Datos_5m'!E480:E$504)=0,1000000000000,MIN('12_Datos_5m'!E480:E$504))</f>
        <v>1000000000000</v>
      </c>
      <c r="L479" s="151" t="n">
        <f aca="false">IF(COUNT('12_Datos_5m'!D480:D$504)=0,0,MAX('12_Datos_5m'!D480:D$504))</f>
        <v>0</v>
      </c>
      <c r="M479" s="151" t="str">
        <f aca="false">IF(ISNUMBER(B479),B479*(1-1/'13_Mapa_Liq'!$B$15+'13_Mapa_Liq'!$B$6),"")</f>
        <v/>
      </c>
      <c r="N479" s="151" t="n">
        <f aca="false">IF(ISNUMBER(B479),IF(K479&gt;M479,I479*'13_Mapa_Liq'!$C$15,0),0)</f>
        <v>0</v>
      </c>
      <c r="O479" s="151" t="str">
        <f aca="false">IF(ISNUMBER(B479),B479*(1+1/'13_Mapa_Liq'!$B$15-'13_Mapa_Liq'!$B$6),"")</f>
        <v/>
      </c>
      <c r="P479" s="151" t="n">
        <f aca="false">IF(ISNUMBER(B479),IF(L479&lt;O479,J479*'13_Mapa_Liq'!$C$15,0),0)</f>
        <v>0</v>
      </c>
      <c r="Q479" s="151" t="str">
        <f aca="false">IF(ISNUMBER(B479),B479*(1-1/'13_Mapa_Liq'!$B$16+'13_Mapa_Liq'!$B$6),"")</f>
        <v/>
      </c>
      <c r="R479" s="151" t="n">
        <f aca="false">IF(ISNUMBER(B479),IF(K479&gt;Q479,I479*'13_Mapa_Liq'!$C$16,0),0)</f>
        <v>0</v>
      </c>
      <c r="S479" s="151" t="str">
        <f aca="false">IF(ISNUMBER(B479),B479*(1+1/'13_Mapa_Liq'!$B$16-'13_Mapa_Liq'!$B$6),"")</f>
        <v/>
      </c>
      <c r="T479" s="151" t="n">
        <f aca="false">IF(ISNUMBER(B479),IF(L479&lt;S479,J479*'13_Mapa_Liq'!$C$16,0),0)</f>
        <v>0</v>
      </c>
      <c r="U479" s="151" t="str">
        <f aca="false">IF(ISNUMBER(B479),B479*(1-1/'13_Mapa_Liq'!$B$17+'13_Mapa_Liq'!$B$6),"")</f>
        <v/>
      </c>
      <c r="V479" s="151" t="n">
        <f aca="false">IF(ISNUMBER(B479),IF(K479&gt;U479,I479*'13_Mapa_Liq'!$C$17,0),0)</f>
        <v>0</v>
      </c>
      <c r="W479" s="151" t="str">
        <f aca="false">IF(ISNUMBER(B479),B479*(1+1/'13_Mapa_Liq'!$B$17-'13_Mapa_Liq'!$B$6),"")</f>
        <v/>
      </c>
      <c r="X479" s="151" t="n">
        <f aca="false">IF(ISNUMBER(B479),IF(L479&lt;W479,J479*'13_Mapa_Liq'!$C$17,0),0)</f>
        <v>0</v>
      </c>
      <c r="Y479" s="151" t="str">
        <f aca="false">IF(ISNUMBER(B479),B479*(1-1/'13_Mapa_Liq'!$B$18+'13_Mapa_Liq'!$B$6),"")</f>
        <v/>
      </c>
      <c r="Z479" s="151" t="n">
        <f aca="false">IF(ISNUMBER(B479),IF(K479&gt;Y479,I479*'13_Mapa_Liq'!$C$18,0),0)</f>
        <v>0</v>
      </c>
      <c r="AA479" s="151" t="str">
        <f aca="false">IF(ISNUMBER(B479),B479*(1+1/'13_Mapa_Liq'!$B$18-'13_Mapa_Liq'!$B$6),"")</f>
        <v/>
      </c>
      <c r="AB479" s="151" t="n">
        <f aca="false">IF(ISNUMBER(B479),IF(L479&lt;AA479,J479*'13_Mapa_Liq'!$C$18,0),0)</f>
        <v>0</v>
      </c>
      <c r="AC479" s="151" t="str">
        <f aca="false">IF(ISNUMBER(B479),B479*(1-1/'13_Mapa_Liq'!$B$19+'13_Mapa_Liq'!$B$6),"")</f>
        <v/>
      </c>
      <c r="AD479" s="151" t="n">
        <f aca="false">IF(ISNUMBER(B479),IF(K479&gt;AC479,I479*'13_Mapa_Liq'!$C$19,0),0)</f>
        <v>0</v>
      </c>
      <c r="AE479" s="151" t="str">
        <f aca="false">IF(ISNUMBER(B479),B479*(1+1/'13_Mapa_Liq'!$B$19-'13_Mapa_Liq'!$B$6),"")</f>
        <v/>
      </c>
      <c r="AF479" s="151" t="n">
        <f aca="false">IF(ISNUMBER(B479),IF(L479&lt;AE479,J479*'13_Mapa_Liq'!$C$19,0),0)</f>
        <v>0</v>
      </c>
      <c r="AG479" s="151"/>
      <c r="AH479" s="151" t="n">
        <f aca="false">IF(ISNUMBER(B479),E479*F479*((K479&lt;=M479)*'13_Mapa_Liq'!$C$15+(K479&lt;=Q479)*'13_Mapa_Liq'!$C$16+(K479&lt;=U479)*'13_Mapa_Liq'!$C$17+(K479&lt;=Y479)*'13_Mapa_Liq'!$C$18+(K479&lt;=AC479)*'13_Mapa_Liq'!$C$19),0)</f>
        <v>0</v>
      </c>
      <c r="AI479" s="151" t="n">
        <f aca="false">IF(ISNUMBER(B479),E479*(1-F479)*((L479&gt;=O479)*'13_Mapa_Liq'!$C$15+(L479&gt;=S479)*'13_Mapa_Liq'!$C$16+(L479&gt;=W479)*'13_Mapa_Liq'!$C$17+(L479&gt;=AA479)*'13_Mapa_Liq'!$C$18+(L479&gt;=AE479)*'13_Mapa_Liq'!$C$19),0)</f>
        <v>0</v>
      </c>
    </row>
    <row r="480" customFormat="false" ht="15" hidden="false" customHeight="false" outlineLevel="0" collapsed="false">
      <c r="A480" s="151" t="str">
        <f aca="false">IF(ISNUMBER('12_Datos_5m'!F480),ROW()-4,"")</f>
        <v/>
      </c>
      <c r="B480" s="151" t="str">
        <f aca="false">IF(ISNUMBER('12_Datos_5m'!F480),'12_Datos_5m'!F480,"")</f>
        <v/>
      </c>
      <c r="C480" s="151" t="str">
        <f aca="false">IF(ISNUMBER('12_Datos_5m'!A480),'12_Datos_5m'!A480,"")</f>
        <v/>
      </c>
      <c r="D480" s="151" t="n">
        <f aca="false">IF(AND(ISNUMBER('12_Datos_5m'!I480),ISNUMBER('12_Datos_5m'!I479)),'12_Datos_5m'!I480-'12_Datos_5m'!I479,0)</f>
        <v>0</v>
      </c>
      <c r="E480" s="151" t="n">
        <f aca="false">MAX(0,D480)</f>
        <v>0</v>
      </c>
      <c r="F480" s="151" t="n">
        <f aca="false">IF(AND(ISNUMBER('12_Datos_5m'!G480),N('12_Datos_5m'!G480)&gt;0),'12_Datos_5m'!H480/'12_Datos_5m'!G480,0.5)</f>
        <v>0.5</v>
      </c>
      <c r="G480" s="151" t="n">
        <f aca="false">IF(ISNUMBER(C480),($C$2-C480)/3600000,0)</f>
        <v>0</v>
      </c>
      <c r="H480" s="151" t="n">
        <f aca="false">EXP(-G480/'13_Mapa_Liq'!$B$7)</f>
        <v>1</v>
      </c>
      <c r="I480" s="151" t="n">
        <f aca="false">E480*F480*H480</f>
        <v>0</v>
      </c>
      <c r="J480" s="151" t="n">
        <f aca="false">E480*(1-F480)*H480</f>
        <v>0</v>
      </c>
      <c r="K480" s="151" t="n">
        <f aca="false">IF(COUNT('12_Datos_5m'!E481:E$504)=0,1000000000000,MIN('12_Datos_5m'!E481:E$504))</f>
        <v>1000000000000</v>
      </c>
      <c r="L480" s="151" t="n">
        <f aca="false">IF(COUNT('12_Datos_5m'!D481:D$504)=0,0,MAX('12_Datos_5m'!D481:D$504))</f>
        <v>0</v>
      </c>
      <c r="M480" s="151" t="str">
        <f aca="false">IF(ISNUMBER(B480),B480*(1-1/'13_Mapa_Liq'!$B$15+'13_Mapa_Liq'!$B$6),"")</f>
        <v/>
      </c>
      <c r="N480" s="151" t="n">
        <f aca="false">IF(ISNUMBER(B480),IF(K480&gt;M480,I480*'13_Mapa_Liq'!$C$15,0),0)</f>
        <v>0</v>
      </c>
      <c r="O480" s="151" t="str">
        <f aca="false">IF(ISNUMBER(B480),B480*(1+1/'13_Mapa_Liq'!$B$15-'13_Mapa_Liq'!$B$6),"")</f>
        <v/>
      </c>
      <c r="P480" s="151" t="n">
        <f aca="false">IF(ISNUMBER(B480),IF(L480&lt;O480,J480*'13_Mapa_Liq'!$C$15,0),0)</f>
        <v>0</v>
      </c>
      <c r="Q480" s="151" t="str">
        <f aca="false">IF(ISNUMBER(B480),B480*(1-1/'13_Mapa_Liq'!$B$16+'13_Mapa_Liq'!$B$6),"")</f>
        <v/>
      </c>
      <c r="R480" s="151" t="n">
        <f aca="false">IF(ISNUMBER(B480),IF(K480&gt;Q480,I480*'13_Mapa_Liq'!$C$16,0),0)</f>
        <v>0</v>
      </c>
      <c r="S480" s="151" t="str">
        <f aca="false">IF(ISNUMBER(B480),B480*(1+1/'13_Mapa_Liq'!$B$16-'13_Mapa_Liq'!$B$6),"")</f>
        <v/>
      </c>
      <c r="T480" s="151" t="n">
        <f aca="false">IF(ISNUMBER(B480),IF(L480&lt;S480,J480*'13_Mapa_Liq'!$C$16,0),0)</f>
        <v>0</v>
      </c>
      <c r="U480" s="151" t="str">
        <f aca="false">IF(ISNUMBER(B480),B480*(1-1/'13_Mapa_Liq'!$B$17+'13_Mapa_Liq'!$B$6),"")</f>
        <v/>
      </c>
      <c r="V480" s="151" t="n">
        <f aca="false">IF(ISNUMBER(B480),IF(K480&gt;U480,I480*'13_Mapa_Liq'!$C$17,0),0)</f>
        <v>0</v>
      </c>
      <c r="W480" s="151" t="str">
        <f aca="false">IF(ISNUMBER(B480),B480*(1+1/'13_Mapa_Liq'!$B$17-'13_Mapa_Liq'!$B$6),"")</f>
        <v/>
      </c>
      <c r="X480" s="151" t="n">
        <f aca="false">IF(ISNUMBER(B480),IF(L480&lt;W480,J480*'13_Mapa_Liq'!$C$17,0),0)</f>
        <v>0</v>
      </c>
      <c r="Y480" s="151" t="str">
        <f aca="false">IF(ISNUMBER(B480),B480*(1-1/'13_Mapa_Liq'!$B$18+'13_Mapa_Liq'!$B$6),"")</f>
        <v/>
      </c>
      <c r="Z480" s="151" t="n">
        <f aca="false">IF(ISNUMBER(B480),IF(K480&gt;Y480,I480*'13_Mapa_Liq'!$C$18,0),0)</f>
        <v>0</v>
      </c>
      <c r="AA480" s="151" t="str">
        <f aca="false">IF(ISNUMBER(B480),B480*(1+1/'13_Mapa_Liq'!$B$18-'13_Mapa_Liq'!$B$6),"")</f>
        <v/>
      </c>
      <c r="AB480" s="151" t="n">
        <f aca="false">IF(ISNUMBER(B480),IF(L480&lt;AA480,J480*'13_Mapa_Liq'!$C$18,0),0)</f>
        <v>0</v>
      </c>
      <c r="AC480" s="151" t="str">
        <f aca="false">IF(ISNUMBER(B480),B480*(1-1/'13_Mapa_Liq'!$B$19+'13_Mapa_Liq'!$B$6),"")</f>
        <v/>
      </c>
      <c r="AD480" s="151" t="n">
        <f aca="false">IF(ISNUMBER(B480),IF(K480&gt;AC480,I480*'13_Mapa_Liq'!$C$19,0),0)</f>
        <v>0</v>
      </c>
      <c r="AE480" s="151" t="str">
        <f aca="false">IF(ISNUMBER(B480),B480*(1+1/'13_Mapa_Liq'!$B$19-'13_Mapa_Liq'!$B$6),"")</f>
        <v/>
      </c>
      <c r="AF480" s="151" t="n">
        <f aca="false">IF(ISNUMBER(B480),IF(L480&lt;AE480,J480*'13_Mapa_Liq'!$C$19,0),0)</f>
        <v>0</v>
      </c>
      <c r="AG480" s="151"/>
      <c r="AH480" s="151" t="n">
        <f aca="false">IF(ISNUMBER(B480),E480*F480*((K480&lt;=M480)*'13_Mapa_Liq'!$C$15+(K480&lt;=Q480)*'13_Mapa_Liq'!$C$16+(K480&lt;=U480)*'13_Mapa_Liq'!$C$17+(K480&lt;=Y480)*'13_Mapa_Liq'!$C$18+(K480&lt;=AC480)*'13_Mapa_Liq'!$C$19),0)</f>
        <v>0</v>
      </c>
      <c r="AI480" s="151" t="n">
        <f aca="false">IF(ISNUMBER(B480),E480*(1-F480)*((L480&gt;=O480)*'13_Mapa_Liq'!$C$15+(L480&gt;=S480)*'13_Mapa_Liq'!$C$16+(L480&gt;=W480)*'13_Mapa_Liq'!$C$17+(L480&gt;=AA480)*'13_Mapa_Liq'!$C$18+(L480&gt;=AE480)*'13_Mapa_Liq'!$C$19),0)</f>
        <v>0</v>
      </c>
    </row>
    <row r="481" customFormat="false" ht="15" hidden="false" customHeight="false" outlineLevel="0" collapsed="false">
      <c r="A481" s="151" t="str">
        <f aca="false">IF(ISNUMBER('12_Datos_5m'!F481),ROW()-4,"")</f>
        <v/>
      </c>
      <c r="B481" s="151" t="str">
        <f aca="false">IF(ISNUMBER('12_Datos_5m'!F481),'12_Datos_5m'!F481,"")</f>
        <v/>
      </c>
      <c r="C481" s="151" t="str">
        <f aca="false">IF(ISNUMBER('12_Datos_5m'!A481),'12_Datos_5m'!A481,"")</f>
        <v/>
      </c>
      <c r="D481" s="151" t="n">
        <f aca="false">IF(AND(ISNUMBER('12_Datos_5m'!I481),ISNUMBER('12_Datos_5m'!I480)),'12_Datos_5m'!I481-'12_Datos_5m'!I480,0)</f>
        <v>0</v>
      </c>
      <c r="E481" s="151" t="n">
        <f aca="false">MAX(0,D481)</f>
        <v>0</v>
      </c>
      <c r="F481" s="151" t="n">
        <f aca="false">IF(AND(ISNUMBER('12_Datos_5m'!G481),N('12_Datos_5m'!G481)&gt;0),'12_Datos_5m'!H481/'12_Datos_5m'!G481,0.5)</f>
        <v>0.5</v>
      </c>
      <c r="G481" s="151" t="n">
        <f aca="false">IF(ISNUMBER(C481),($C$2-C481)/3600000,0)</f>
        <v>0</v>
      </c>
      <c r="H481" s="151" t="n">
        <f aca="false">EXP(-G481/'13_Mapa_Liq'!$B$7)</f>
        <v>1</v>
      </c>
      <c r="I481" s="151" t="n">
        <f aca="false">E481*F481*H481</f>
        <v>0</v>
      </c>
      <c r="J481" s="151" t="n">
        <f aca="false">E481*(1-F481)*H481</f>
        <v>0</v>
      </c>
      <c r="K481" s="151" t="n">
        <f aca="false">IF(COUNT('12_Datos_5m'!E482:E$504)=0,1000000000000,MIN('12_Datos_5m'!E482:E$504))</f>
        <v>1000000000000</v>
      </c>
      <c r="L481" s="151" t="n">
        <f aca="false">IF(COUNT('12_Datos_5m'!D482:D$504)=0,0,MAX('12_Datos_5m'!D482:D$504))</f>
        <v>0</v>
      </c>
      <c r="M481" s="151" t="str">
        <f aca="false">IF(ISNUMBER(B481),B481*(1-1/'13_Mapa_Liq'!$B$15+'13_Mapa_Liq'!$B$6),"")</f>
        <v/>
      </c>
      <c r="N481" s="151" t="n">
        <f aca="false">IF(ISNUMBER(B481),IF(K481&gt;M481,I481*'13_Mapa_Liq'!$C$15,0),0)</f>
        <v>0</v>
      </c>
      <c r="O481" s="151" t="str">
        <f aca="false">IF(ISNUMBER(B481),B481*(1+1/'13_Mapa_Liq'!$B$15-'13_Mapa_Liq'!$B$6),"")</f>
        <v/>
      </c>
      <c r="P481" s="151" t="n">
        <f aca="false">IF(ISNUMBER(B481),IF(L481&lt;O481,J481*'13_Mapa_Liq'!$C$15,0),0)</f>
        <v>0</v>
      </c>
      <c r="Q481" s="151" t="str">
        <f aca="false">IF(ISNUMBER(B481),B481*(1-1/'13_Mapa_Liq'!$B$16+'13_Mapa_Liq'!$B$6),"")</f>
        <v/>
      </c>
      <c r="R481" s="151" t="n">
        <f aca="false">IF(ISNUMBER(B481),IF(K481&gt;Q481,I481*'13_Mapa_Liq'!$C$16,0),0)</f>
        <v>0</v>
      </c>
      <c r="S481" s="151" t="str">
        <f aca="false">IF(ISNUMBER(B481),B481*(1+1/'13_Mapa_Liq'!$B$16-'13_Mapa_Liq'!$B$6),"")</f>
        <v/>
      </c>
      <c r="T481" s="151" t="n">
        <f aca="false">IF(ISNUMBER(B481),IF(L481&lt;S481,J481*'13_Mapa_Liq'!$C$16,0),0)</f>
        <v>0</v>
      </c>
      <c r="U481" s="151" t="str">
        <f aca="false">IF(ISNUMBER(B481),B481*(1-1/'13_Mapa_Liq'!$B$17+'13_Mapa_Liq'!$B$6),"")</f>
        <v/>
      </c>
      <c r="V481" s="151" t="n">
        <f aca="false">IF(ISNUMBER(B481),IF(K481&gt;U481,I481*'13_Mapa_Liq'!$C$17,0),0)</f>
        <v>0</v>
      </c>
      <c r="W481" s="151" t="str">
        <f aca="false">IF(ISNUMBER(B481),B481*(1+1/'13_Mapa_Liq'!$B$17-'13_Mapa_Liq'!$B$6),"")</f>
        <v/>
      </c>
      <c r="X481" s="151" t="n">
        <f aca="false">IF(ISNUMBER(B481),IF(L481&lt;W481,J481*'13_Mapa_Liq'!$C$17,0),0)</f>
        <v>0</v>
      </c>
      <c r="Y481" s="151" t="str">
        <f aca="false">IF(ISNUMBER(B481),B481*(1-1/'13_Mapa_Liq'!$B$18+'13_Mapa_Liq'!$B$6),"")</f>
        <v/>
      </c>
      <c r="Z481" s="151" t="n">
        <f aca="false">IF(ISNUMBER(B481),IF(K481&gt;Y481,I481*'13_Mapa_Liq'!$C$18,0),0)</f>
        <v>0</v>
      </c>
      <c r="AA481" s="151" t="str">
        <f aca="false">IF(ISNUMBER(B481),B481*(1+1/'13_Mapa_Liq'!$B$18-'13_Mapa_Liq'!$B$6),"")</f>
        <v/>
      </c>
      <c r="AB481" s="151" t="n">
        <f aca="false">IF(ISNUMBER(B481),IF(L481&lt;AA481,J481*'13_Mapa_Liq'!$C$18,0),0)</f>
        <v>0</v>
      </c>
      <c r="AC481" s="151" t="str">
        <f aca="false">IF(ISNUMBER(B481),B481*(1-1/'13_Mapa_Liq'!$B$19+'13_Mapa_Liq'!$B$6),"")</f>
        <v/>
      </c>
      <c r="AD481" s="151" t="n">
        <f aca="false">IF(ISNUMBER(B481),IF(K481&gt;AC481,I481*'13_Mapa_Liq'!$C$19,0),0)</f>
        <v>0</v>
      </c>
      <c r="AE481" s="151" t="str">
        <f aca="false">IF(ISNUMBER(B481),B481*(1+1/'13_Mapa_Liq'!$B$19-'13_Mapa_Liq'!$B$6),"")</f>
        <v/>
      </c>
      <c r="AF481" s="151" t="n">
        <f aca="false">IF(ISNUMBER(B481),IF(L481&lt;AE481,J481*'13_Mapa_Liq'!$C$19,0),0)</f>
        <v>0</v>
      </c>
      <c r="AG481" s="151"/>
      <c r="AH481" s="151" t="n">
        <f aca="false">IF(ISNUMBER(B481),E481*F481*((K481&lt;=M481)*'13_Mapa_Liq'!$C$15+(K481&lt;=Q481)*'13_Mapa_Liq'!$C$16+(K481&lt;=U481)*'13_Mapa_Liq'!$C$17+(K481&lt;=Y481)*'13_Mapa_Liq'!$C$18+(K481&lt;=AC481)*'13_Mapa_Liq'!$C$19),0)</f>
        <v>0</v>
      </c>
      <c r="AI481" s="151" t="n">
        <f aca="false">IF(ISNUMBER(B481),E481*(1-F481)*((L481&gt;=O481)*'13_Mapa_Liq'!$C$15+(L481&gt;=S481)*'13_Mapa_Liq'!$C$16+(L481&gt;=W481)*'13_Mapa_Liq'!$C$17+(L481&gt;=AA481)*'13_Mapa_Liq'!$C$18+(L481&gt;=AE481)*'13_Mapa_Liq'!$C$19),0)</f>
        <v>0</v>
      </c>
    </row>
    <row r="482" customFormat="false" ht="15" hidden="false" customHeight="false" outlineLevel="0" collapsed="false">
      <c r="A482" s="151" t="str">
        <f aca="false">IF(ISNUMBER('12_Datos_5m'!F482),ROW()-4,"")</f>
        <v/>
      </c>
      <c r="B482" s="151" t="str">
        <f aca="false">IF(ISNUMBER('12_Datos_5m'!F482),'12_Datos_5m'!F482,"")</f>
        <v/>
      </c>
      <c r="C482" s="151" t="str">
        <f aca="false">IF(ISNUMBER('12_Datos_5m'!A482),'12_Datos_5m'!A482,"")</f>
        <v/>
      </c>
      <c r="D482" s="151" t="n">
        <f aca="false">IF(AND(ISNUMBER('12_Datos_5m'!I482),ISNUMBER('12_Datos_5m'!I481)),'12_Datos_5m'!I482-'12_Datos_5m'!I481,0)</f>
        <v>0</v>
      </c>
      <c r="E482" s="151" t="n">
        <f aca="false">MAX(0,D482)</f>
        <v>0</v>
      </c>
      <c r="F482" s="151" t="n">
        <f aca="false">IF(AND(ISNUMBER('12_Datos_5m'!G482),N('12_Datos_5m'!G482)&gt;0),'12_Datos_5m'!H482/'12_Datos_5m'!G482,0.5)</f>
        <v>0.5</v>
      </c>
      <c r="G482" s="151" t="n">
        <f aca="false">IF(ISNUMBER(C482),($C$2-C482)/3600000,0)</f>
        <v>0</v>
      </c>
      <c r="H482" s="151" t="n">
        <f aca="false">EXP(-G482/'13_Mapa_Liq'!$B$7)</f>
        <v>1</v>
      </c>
      <c r="I482" s="151" t="n">
        <f aca="false">E482*F482*H482</f>
        <v>0</v>
      </c>
      <c r="J482" s="151" t="n">
        <f aca="false">E482*(1-F482)*H482</f>
        <v>0</v>
      </c>
      <c r="K482" s="151" t="n">
        <f aca="false">IF(COUNT('12_Datos_5m'!E483:E$504)=0,1000000000000,MIN('12_Datos_5m'!E483:E$504))</f>
        <v>1000000000000</v>
      </c>
      <c r="L482" s="151" t="n">
        <f aca="false">IF(COUNT('12_Datos_5m'!D483:D$504)=0,0,MAX('12_Datos_5m'!D483:D$504))</f>
        <v>0</v>
      </c>
      <c r="M482" s="151" t="str">
        <f aca="false">IF(ISNUMBER(B482),B482*(1-1/'13_Mapa_Liq'!$B$15+'13_Mapa_Liq'!$B$6),"")</f>
        <v/>
      </c>
      <c r="N482" s="151" t="n">
        <f aca="false">IF(ISNUMBER(B482),IF(K482&gt;M482,I482*'13_Mapa_Liq'!$C$15,0),0)</f>
        <v>0</v>
      </c>
      <c r="O482" s="151" t="str">
        <f aca="false">IF(ISNUMBER(B482),B482*(1+1/'13_Mapa_Liq'!$B$15-'13_Mapa_Liq'!$B$6),"")</f>
        <v/>
      </c>
      <c r="P482" s="151" t="n">
        <f aca="false">IF(ISNUMBER(B482),IF(L482&lt;O482,J482*'13_Mapa_Liq'!$C$15,0),0)</f>
        <v>0</v>
      </c>
      <c r="Q482" s="151" t="str">
        <f aca="false">IF(ISNUMBER(B482),B482*(1-1/'13_Mapa_Liq'!$B$16+'13_Mapa_Liq'!$B$6),"")</f>
        <v/>
      </c>
      <c r="R482" s="151" t="n">
        <f aca="false">IF(ISNUMBER(B482),IF(K482&gt;Q482,I482*'13_Mapa_Liq'!$C$16,0),0)</f>
        <v>0</v>
      </c>
      <c r="S482" s="151" t="str">
        <f aca="false">IF(ISNUMBER(B482),B482*(1+1/'13_Mapa_Liq'!$B$16-'13_Mapa_Liq'!$B$6),"")</f>
        <v/>
      </c>
      <c r="T482" s="151" t="n">
        <f aca="false">IF(ISNUMBER(B482),IF(L482&lt;S482,J482*'13_Mapa_Liq'!$C$16,0),0)</f>
        <v>0</v>
      </c>
      <c r="U482" s="151" t="str">
        <f aca="false">IF(ISNUMBER(B482),B482*(1-1/'13_Mapa_Liq'!$B$17+'13_Mapa_Liq'!$B$6),"")</f>
        <v/>
      </c>
      <c r="V482" s="151" t="n">
        <f aca="false">IF(ISNUMBER(B482),IF(K482&gt;U482,I482*'13_Mapa_Liq'!$C$17,0),0)</f>
        <v>0</v>
      </c>
      <c r="W482" s="151" t="str">
        <f aca="false">IF(ISNUMBER(B482),B482*(1+1/'13_Mapa_Liq'!$B$17-'13_Mapa_Liq'!$B$6),"")</f>
        <v/>
      </c>
      <c r="X482" s="151" t="n">
        <f aca="false">IF(ISNUMBER(B482),IF(L482&lt;W482,J482*'13_Mapa_Liq'!$C$17,0),0)</f>
        <v>0</v>
      </c>
      <c r="Y482" s="151" t="str">
        <f aca="false">IF(ISNUMBER(B482),B482*(1-1/'13_Mapa_Liq'!$B$18+'13_Mapa_Liq'!$B$6),"")</f>
        <v/>
      </c>
      <c r="Z482" s="151" t="n">
        <f aca="false">IF(ISNUMBER(B482),IF(K482&gt;Y482,I482*'13_Mapa_Liq'!$C$18,0),0)</f>
        <v>0</v>
      </c>
      <c r="AA482" s="151" t="str">
        <f aca="false">IF(ISNUMBER(B482),B482*(1+1/'13_Mapa_Liq'!$B$18-'13_Mapa_Liq'!$B$6),"")</f>
        <v/>
      </c>
      <c r="AB482" s="151" t="n">
        <f aca="false">IF(ISNUMBER(B482),IF(L482&lt;AA482,J482*'13_Mapa_Liq'!$C$18,0),0)</f>
        <v>0</v>
      </c>
      <c r="AC482" s="151" t="str">
        <f aca="false">IF(ISNUMBER(B482),B482*(1-1/'13_Mapa_Liq'!$B$19+'13_Mapa_Liq'!$B$6),"")</f>
        <v/>
      </c>
      <c r="AD482" s="151" t="n">
        <f aca="false">IF(ISNUMBER(B482),IF(K482&gt;AC482,I482*'13_Mapa_Liq'!$C$19,0),0)</f>
        <v>0</v>
      </c>
      <c r="AE482" s="151" t="str">
        <f aca="false">IF(ISNUMBER(B482),B482*(1+1/'13_Mapa_Liq'!$B$19-'13_Mapa_Liq'!$B$6),"")</f>
        <v/>
      </c>
      <c r="AF482" s="151" t="n">
        <f aca="false">IF(ISNUMBER(B482),IF(L482&lt;AE482,J482*'13_Mapa_Liq'!$C$19,0),0)</f>
        <v>0</v>
      </c>
      <c r="AG482" s="151"/>
      <c r="AH482" s="151" t="n">
        <f aca="false">IF(ISNUMBER(B482),E482*F482*((K482&lt;=M482)*'13_Mapa_Liq'!$C$15+(K482&lt;=Q482)*'13_Mapa_Liq'!$C$16+(K482&lt;=U482)*'13_Mapa_Liq'!$C$17+(K482&lt;=Y482)*'13_Mapa_Liq'!$C$18+(K482&lt;=AC482)*'13_Mapa_Liq'!$C$19),0)</f>
        <v>0</v>
      </c>
      <c r="AI482" s="151" t="n">
        <f aca="false">IF(ISNUMBER(B482),E482*(1-F482)*((L482&gt;=O482)*'13_Mapa_Liq'!$C$15+(L482&gt;=S482)*'13_Mapa_Liq'!$C$16+(L482&gt;=W482)*'13_Mapa_Liq'!$C$17+(L482&gt;=AA482)*'13_Mapa_Liq'!$C$18+(L482&gt;=AE482)*'13_Mapa_Liq'!$C$19),0)</f>
        <v>0</v>
      </c>
    </row>
    <row r="483" customFormat="false" ht="15" hidden="false" customHeight="false" outlineLevel="0" collapsed="false">
      <c r="A483" s="151" t="str">
        <f aca="false">IF(ISNUMBER('12_Datos_5m'!F483),ROW()-4,"")</f>
        <v/>
      </c>
      <c r="B483" s="151" t="str">
        <f aca="false">IF(ISNUMBER('12_Datos_5m'!F483),'12_Datos_5m'!F483,"")</f>
        <v/>
      </c>
      <c r="C483" s="151" t="str">
        <f aca="false">IF(ISNUMBER('12_Datos_5m'!A483),'12_Datos_5m'!A483,"")</f>
        <v/>
      </c>
      <c r="D483" s="151" t="n">
        <f aca="false">IF(AND(ISNUMBER('12_Datos_5m'!I483),ISNUMBER('12_Datos_5m'!I482)),'12_Datos_5m'!I483-'12_Datos_5m'!I482,0)</f>
        <v>0</v>
      </c>
      <c r="E483" s="151" t="n">
        <f aca="false">MAX(0,D483)</f>
        <v>0</v>
      </c>
      <c r="F483" s="151" t="n">
        <f aca="false">IF(AND(ISNUMBER('12_Datos_5m'!G483),N('12_Datos_5m'!G483)&gt;0),'12_Datos_5m'!H483/'12_Datos_5m'!G483,0.5)</f>
        <v>0.5</v>
      </c>
      <c r="G483" s="151" t="n">
        <f aca="false">IF(ISNUMBER(C483),($C$2-C483)/3600000,0)</f>
        <v>0</v>
      </c>
      <c r="H483" s="151" t="n">
        <f aca="false">EXP(-G483/'13_Mapa_Liq'!$B$7)</f>
        <v>1</v>
      </c>
      <c r="I483" s="151" t="n">
        <f aca="false">E483*F483*H483</f>
        <v>0</v>
      </c>
      <c r="J483" s="151" t="n">
        <f aca="false">E483*(1-F483)*H483</f>
        <v>0</v>
      </c>
      <c r="K483" s="151" t="n">
        <f aca="false">IF(COUNT('12_Datos_5m'!E484:E$504)=0,1000000000000,MIN('12_Datos_5m'!E484:E$504))</f>
        <v>1000000000000</v>
      </c>
      <c r="L483" s="151" t="n">
        <f aca="false">IF(COUNT('12_Datos_5m'!D484:D$504)=0,0,MAX('12_Datos_5m'!D484:D$504))</f>
        <v>0</v>
      </c>
      <c r="M483" s="151" t="str">
        <f aca="false">IF(ISNUMBER(B483),B483*(1-1/'13_Mapa_Liq'!$B$15+'13_Mapa_Liq'!$B$6),"")</f>
        <v/>
      </c>
      <c r="N483" s="151" t="n">
        <f aca="false">IF(ISNUMBER(B483),IF(K483&gt;M483,I483*'13_Mapa_Liq'!$C$15,0),0)</f>
        <v>0</v>
      </c>
      <c r="O483" s="151" t="str">
        <f aca="false">IF(ISNUMBER(B483),B483*(1+1/'13_Mapa_Liq'!$B$15-'13_Mapa_Liq'!$B$6),"")</f>
        <v/>
      </c>
      <c r="P483" s="151" t="n">
        <f aca="false">IF(ISNUMBER(B483),IF(L483&lt;O483,J483*'13_Mapa_Liq'!$C$15,0),0)</f>
        <v>0</v>
      </c>
      <c r="Q483" s="151" t="str">
        <f aca="false">IF(ISNUMBER(B483),B483*(1-1/'13_Mapa_Liq'!$B$16+'13_Mapa_Liq'!$B$6),"")</f>
        <v/>
      </c>
      <c r="R483" s="151" t="n">
        <f aca="false">IF(ISNUMBER(B483),IF(K483&gt;Q483,I483*'13_Mapa_Liq'!$C$16,0),0)</f>
        <v>0</v>
      </c>
      <c r="S483" s="151" t="str">
        <f aca="false">IF(ISNUMBER(B483),B483*(1+1/'13_Mapa_Liq'!$B$16-'13_Mapa_Liq'!$B$6),"")</f>
        <v/>
      </c>
      <c r="T483" s="151" t="n">
        <f aca="false">IF(ISNUMBER(B483),IF(L483&lt;S483,J483*'13_Mapa_Liq'!$C$16,0),0)</f>
        <v>0</v>
      </c>
      <c r="U483" s="151" t="str">
        <f aca="false">IF(ISNUMBER(B483),B483*(1-1/'13_Mapa_Liq'!$B$17+'13_Mapa_Liq'!$B$6),"")</f>
        <v/>
      </c>
      <c r="V483" s="151" t="n">
        <f aca="false">IF(ISNUMBER(B483),IF(K483&gt;U483,I483*'13_Mapa_Liq'!$C$17,0),0)</f>
        <v>0</v>
      </c>
      <c r="W483" s="151" t="str">
        <f aca="false">IF(ISNUMBER(B483),B483*(1+1/'13_Mapa_Liq'!$B$17-'13_Mapa_Liq'!$B$6),"")</f>
        <v/>
      </c>
      <c r="X483" s="151" t="n">
        <f aca="false">IF(ISNUMBER(B483),IF(L483&lt;W483,J483*'13_Mapa_Liq'!$C$17,0),0)</f>
        <v>0</v>
      </c>
      <c r="Y483" s="151" t="str">
        <f aca="false">IF(ISNUMBER(B483),B483*(1-1/'13_Mapa_Liq'!$B$18+'13_Mapa_Liq'!$B$6),"")</f>
        <v/>
      </c>
      <c r="Z483" s="151" t="n">
        <f aca="false">IF(ISNUMBER(B483),IF(K483&gt;Y483,I483*'13_Mapa_Liq'!$C$18,0),0)</f>
        <v>0</v>
      </c>
      <c r="AA483" s="151" t="str">
        <f aca="false">IF(ISNUMBER(B483),B483*(1+1/'13_Mapa_Liq'!$B$18-'13_Mapa_Liq'!$B$6),"")</f>
        <v/>
      </c>
      <c r="AB483" s="151" t="n">
        <f aca="false">IF(ISNUMBER(B483),IF(L483&lt;AA483,J483*'13_Mapa_Liq'!$C$18,0),0)</f>
        <v>0</v>
      </c>
      <c r="AC483" s="151" t="str">
        <f aca="false">IF(ISNUMBER(B483),B483*(1-1/'13_Mapa_Liq'!$B$19+'13_Mapa_Liq'!$B$6),"")</f>
        <v/>
      </c>
      <c r="AD483" s="151" t="n">
        <f aca="false">IF(ISNUMBER(B483),IF(K483&gt;AC483,I483*'13_Mapa_Liq'!$C$19,0),0)</f>
        <v>0</v>
      </c>
      <c r="AE483" s="151" t="str">
        <f aca="false">IF(ISNUMBER(B483),B483*(1+1/'13_Mapa_Liq'!$B$19-'13_Mapa_Liq'!$B$6),"")</f>
        <v/>
      </c>
      <c r="AF483" s="151" t="n">
        <f aca="false">IF(ISNUMBER(B483),IF(L483&lt;AE483,J483*'13_Mapa_Liq'!$C$19,0),0)</f>
        <v>0</v>
      </c>
      <c r="AG483" s="151"/>
      <c r="AH483" s="151" t="n">
        <f aca="false">IF(ISNUMBER(B483),E483*F483*((K483&lt;=M483)*'13_Mapa_Liq'!$C$15+(K483&lt;=Q483)*'13_Mapa_Liq'!$C$16+(K483&lt;=U483)*'13_Mapa_Liq'!$C$17+(K483&lt;=Y483)*'13_Mapa_Liq'!$C$18+(K483&lt;=AC483)*'13_Mapa_Liq'!$C$19),0)</f>
        <v>0</v>
      </c>
      <c r="AI483" s="151" t="n">
        <f aca="false">IF(ISNUMBER(B483),E483*(1-F483)*((L483&gt;=O483)*'13_Mapa_Liq'!$C$15+(L483&gt;=S483)*'13_Mapa_Liq'!$C$16+(L483&gt;=W483)*'13_Mapa_Liq'!$C$17+(L483&gt;=AA483)*'13_Mapa_Liq'!$C$18+(L483&gt;=AE483)*'13_Mapa_Liq'!$C$19),0)</f>
        <v>0</v>
      </c>
    </row>
    <row r="484" customFormat="false" ht="15" hidden="false" customHeight="false" outlineLevel="0" collapsed="false">
      <c r="A484" s="151" t="str">
        <f aca="false">IF(ISNUMBER('12_Datos_5m'!F484),ROW()-4,"")</f>
        <v/>
      </c>
      <c r="B484" s="151" t="str">
        <f aca="false">IF(ISNUMBER('12_Datos_5m'!F484),'12_Datos_5m'!F484,"")</f>
        <v/>
      </c>
      <c r="C484" s="151" t="str">
        <f aca="false">IF(ISNUMBER('12_Datos_5m'!A484),'12_Datos_5m'!A484,"")</f>
        <v/>
      </c>
      <c r="D484" s="151" t="n">
        <f aca="false">IF(AND(ISNUMBER('12_Datos_5m'!I484),ISNUMBER('12_Datos_5m'!I483)),'12_Datos_5m'!I484-'12_Datos_5m'!I483,0)</f>
        <v>0</v>
      </c>
      <c r="E484" s="151" t="n">
        <f aca="false">MAX(0,D484)</f>
        <v>0</v>
      </c>
      <c r="F484" s="151" t="n">
        <f aca="false">IF(AND(ISNUMBER('12_Datos_5m'!G484),N('12_Datos_5m'!G484)&gt;0),'12_Datos_5m'!H484/'12_Datos_5m'!G484,0.5)</f>
        <v>0.5</v>
      </c>
      <c r="G484" s="151" t="n">
        <f aca="false">IF(ISNUMBER(C484),($C$2-C484)/3600000,0)</f>
        <v>0</v>
      </c>
      <c r="H484" s="151" t="n">
        <f aca="false">EXP(-G484/'13_Mapa_Liq'!$B$7)</f>
        <v>1</v>
      </c>
      <c r="I484" s="151" t="n">
        <f aca="false">E484*F484*H484</f>
        <v>0</v>
      </c>
      <c r="J484" s="151" t="n">
        <f aca="false">E484*(1-F484)*H484</f>
        <v>0</v>
      </c>
      <c r="K484" s="151" t="n">
        <f aca="false">IF(COUNT('12_Datos_5m'!E485:E$504)=0,1000000000000,MIN('12_Datos_5m'!E485:E$504))</f>
        <v>1000000000000</v>
      </c>
      <c r="L484" s="151" t="n">
        <f aca="false">IF(COUNT('12_Datos_5m'!D485:D$504)=0,0,MAX('12_Datos_5m'!D485:D$504))</f>
        <v>0</v>
      </c>
      <c r="M484" s="151" t="str">
        <f aca="false">IF(ISNUMBER(B484),B484*(1-1/'13_Mapa_Liq'!$B$15+'13_Mapa_Liq'!$B$6),"")</f>
        <v/>
      </c>
      <c r="N484" s="151" t="n">
        <f aca="false">IF(ISNUMBER(B484),IF(K484&gt;M484,I484*'13_Mapa_Liq'!$C$15,0),0)</f>
        <v>0</v>
      </c>
      <c r="O484" s="151" t="str">
        <f aca="false">IF(ISNUMBER(B484),B484*(1+1/'13_Mapa_Liq'!$B$15-'13_Mapa_Liq'!$B$6),"")</f>
        <v/>
      </c>
      <c r="P484" s="151" t="n">
        <f aca="false">IF(ISNUMBER(B484),IF(L484&lt;O484,J484*'13_Mapa_Liq'!$C$15,0),0)</f>
        <v>0</v>
      </c>
      <c r="Q484" s="151" t="str">
        <f aca="false">IF(ISNUMBER(B484),B484*(1-1/'13_Mapa_Liq'!$B$16+'13_Mapa_Liq'!$B$6),"")</f>
        <v/>
      </c>
      <c r="R484" s="151" t="n">
        <f aca="false">IF(ISNUMBER(B484),IF(K484&gt;Q484,I484*'13_Mapa_Liq'!$C$16,0),0)</f>
        <v>0</v>
      </c>
      <c r="S484" s="151" t="str">
        <f aca="false">IF(ISNUMBER(B484),B484*(1+1/'13_Mapa_Liq'!$B$16-'13_Mapa_Liq'!$B$6),"")</f>
        <v/>
      </c>
      <c r="T484" s="151" t="n">
        <f aca="false">IF(ISNUMBER(B484),IF(L484&lt;S484,J484*'13_Mapa_Liq'!$C$16,0),0)</f>
        <v>0</v>
      </c>
      <c r="U484" s="151" t="str">
        <f aca="false">IF(ISNUMBER(B484),B484*(1-1/'13_Mapa_Liq'!$B$17+'13_Mapa_Liq'!$B$6),"")</f>
        <v/>
      </c>
      <c r="V484" s="151" t="n">
        <f aca="false">IF(ISNUMBER(B484),IF(K484&gt;U484,I484*'13_Mapa_Liq'!$C$17,0),0)</f>
        <v>0</v>
      </c>
      <c r="W484" s="151" t="str">
        <f aca="false">IF(ISNUMBER(B484),B484*(1+1/'13_Mapa_Liq'!$B$17-'13_Mapa_Liq'!$B$6),"")</f>
        <v/>
      </c>
      <c r="X484" s="151" t="n">
        <f aca="false">IF(ISNUMBER(B484),IF(L484&lt;W484,J484*'13_Mapa_Liq'!$C$17,0),0)</f>
        <v>0</v>
      </c>
      <c r="Y484" s="151" t="str">
        <f aca="false">IF(ISNUMBER(B484),B484*(1-1/'13_Mapa_Liq'!$B$18+'13_Mapa_Liq'!$B$6),"")</f>
        <v/>
      </c>
      <c r="Z484" s="151" t="n">
        <f aca="false">IF(ISNUMBER(B484),IF(K484&gt;Y484,I484*'13_Mapa_Liq'!$C$18,0),0)</f>
        <v>0</v>
      </c>
      <c r="AA484" s="151" t="str">
        <f aca="false">IF(ISNUMBER(B484),B484*(1+1/'13_Mapa_Liq'!$B$18-'13_Mapa_Liq'!$B$6),"")</f>
        <v/>
      </c>
      <c r="AB484" s="151" t="n">
        <f aca="false">IF(ISNUMBER(B484),IF(L484&lt;AA484,J484*'13_Mapa_Liq'!$C$18,0),0)</f>
        <v>0</v>
      </c>
      <c r="AC484" s="151" t="str">
        <f aca="false">IF(ISNUMBER(B484),B484*(1-1/'13_Mapa_Liq'!$B$19+'13_Mapa_Liq'!$B$6),"")</f>
        <v/>
      </c>
      <c r="AD484" s="151" t="n">
        <f aca="false">IF(ISNUMBER(B484),IF(K484&gt;AC484,I484*'13_Mapa_Liq'!$C$19,0),0)</f>
        <v>0</v>
      </c>
      <c r="AE484" s="151" t="str">
        <f aca="false">IF(ISNUMBER(B484),B484*(1+1/'13_Mapa_Liq'!$B$19-'13_Mapa_Liq'!$B$6),"")</f>
        <v/>
      </c>
      <c r="AF484" s="151" t="n">
        <f aca="false">IF(ISNUMBER(B484),IF(L484&lt;AE484,J484*'13_Mapa_Liq'!$C$19,0),0)</f>
        <v>0</v>
      </c>
      <c r="AG484" s="151"/>
      <c r="AH484" s="151" t="n">
        <f aca="false">IF(ISNUMBER(B484),E484*F484*((K484&lt;=M484)*'13_Mapa_Liq'!$C$15+(K484&lt;=Q484)*'13_Mapa_Liq'!$C$16+(K484&lt;=U484)*'13_Mapa_Liq'!$C$17+(K484&lt;=Y484)*'13_Mapa_Liq'!$C$18+(K484&lt;=AC484)*'13_Mapa_Liq'!$C$19),0)</f>
        <v>0</v>
      </c>
      <c r="AI484" s="151" t="n">
        <f aca="false">IF(ISNUMBER(B484),E484*(1-F484)*((L484&gt;=O484)*'13_Mapa_Liq'!$C$15+(L484&gt;=S484)*'13_Mapa_Liq'!$C$16+(L484&gt;=W484)*'13_Mapa_Liq'!$C$17+(L484&gt;=AA484)*'13_Mapa_Liq'!$C$18+(L484&gt;=AE484)*'13_Mapa_Liq'!$C$19),0)</f>
        <v>0</v>
      </c>
    </row>
    <row r="485" customFormat="false" ht="15" hidden="false" customHeight="false" outlineLevel="0" collapsed="false">
      <c r="A485" s="151" t="str">
        <f aca="false">IF(ISNUMBER('12_Datos_5m'!F485),ROW()-4,"")</f>
        <v/>
      </c>
      <c r="B485" s="151" t="str">
        <f aca="false">IF(ISNUMBER('12_Datos_5m'!F485),'12_Datos_5m'!F485,"")</f>
        <v/>
      </c>
      <c r="C485" s="151" t="str">
        <f aca="false">IF(ISNUMBER('12_Datos_5m'!A485),'12_Datos_5m'!A485,"")</f>
        <v/>
      </c>
      <c r="D485" s="151" t="n">
        <f aca="false">IF(AND(ISNUMBER('12_Datos_5m'!I485),ISNUMBER('12_Datos_5m'!I484)),'12_Datos_5m'!I485-'12_Datos_5m'!I484,0)</f>
        <v>0</v>
      </c>
      <c r="E485" s="151" t="n">
        <f aca="false">MAX(0,D485)</f>
        <v>0</v>
      </c>
      <c r="F485" s="151" t="n">
        <f aca="false">IF(AND(ISNUMBER('12_Datos_5m'!G485),N('12_Datos_5m'!G485)&gt;0),'12_Datos_5m'!H485/'12_Datos_5m'!G485,0.5)</f>
        <v>0.5</v>
      </c>
      <c r="G485" s="151" t="n">
        <f aca="false">IF(ISNUMBER(C485),($C$2-C485)/3600000,0)</f>
        <v>0</v>
      </c>
      <c r="H485" s="151" t="n">
        <f aca="false">EXP(-G485/'13_Mapa_Liq'!$B$7)</f>
        <v>1</v>
      </c>
      <c r="I485" s="151" t="n">
        <f aca="false">E485*F485*H485</f>
        <v>0</v>
      </c>
      <c r="J485" s="151" t="n">
        <f aca="false">E485*(1-F485)*H485</f>
        <v>0</v>
      </c>
      <c r="K485" s="151" t="n">
        <f aca="false">IF(COUNT('12_Datos_5m'!E486:E$504)=0,1000000000000,MIN('12_Datos_5m'!E486:E$504))</f>
        <v>1000000000000</v>
      </c>
      <c r="L485" s="151" t="n">
        <f aca="false">IF(COUNT('12_Datos_5m'!D486:D$504)=0,0,MAX('12_Datos_5m'!D486:D$504))</f>
        <v>0</v>
      </c>
      <c r="M485" s="151" t="str">
        <f aca="false">IF(ISNUMBER(B485),B485*(1-1/'13_Mapa_Liq'!$B$15+'13_Mapa_Liq'!$B$6),"")</f>
        <v/>
      </c>
      <c r="N485" s="151" t="n">
        <f aca="false">IF(ISNUMBER(B485),IF(K485&gt;M485,I485*'13_Mapa_Liq'!$C$15,0),0)</f>
        <v>0</v>
      </c>
      <c r="O485" s="151" t="str">
        <f aca="false">IF(ISNUMBER(B485),B485*(1+1/'13_Mapa_Liq'!$B$15-'13_Mapa_Liq'!$B$6),"")</f>
        <v/>
      </c>
      <c r="P485" s="151" t="n">
        <f aca="false">IF(ISNUMBER(B485),IF(L485&lt;O485,J485*'13_Mapa_Liq'!$C$15,0),0)</f>
        <v>0</v>
      </c>
      <c r="Q485" s="151" t="str">
        <f aca="false">IF(ISNUMBER(B485),B485*(1-1/'13_Mapa_Liq'!$B$16+'13_Mapa_Liq'!$B$6),"")</f>
        <v/>
      </c>
      <c r="R485" s="151" t="n">
        <f aca="false">IF(ISNUMBER(B485),IF(K485&gt;Q485,I485*'13_Mapa_Liq'!$C$16,0),0)</f>
        <v>0</v>
      </c>
      <c r="S485" s="151" t="str">
        <f aca="false">IF(ISNUMBER(B485),B485*(1+1/'13_Mapa_Liq'!$B$16-'13_Mapa_Liq'!$B$6),"")</f>
        <v/>
      </c>
      <c r="T485" s="151" t="n">
        <f aca="false">IF(ISNUMBER(B485),IF(L485&lt;S485,J485*'13_Mapa_Liq'!$C$16,0),0)</f>
        <v>0</v>
      </c>
      <c r="U485" s="151" t="str">
        <f aca="false">IF(ISNUMBER(B485),B485*(1-1/'13_Mapa_Liq'!$B$17+'13_Mapa_Liq'!$B$6),"")</f>
        <v/>
      </c>
      <c r="V485" s="151" t="n">
        <f aca="false">IF(ISNUMBER(B485),IF(K485&gt;U485,I485*'13_Mapa_Liq'!$C$17,0),0)</f>
        <v>0</v>
      </c>
      <c r="W485" s="151" t="str">
        <f aca="false">IF(ISNUMBER(B485),B485*(1+1/'13_Mapa_Liq'!$B$17-'13_Mapa_Liq'!$B$6),"")</f>
        <v/>
      </c>
      <c r="X485" s="151" t="n">
        <f aca="false">IF(ISNUMBER(B485),IF(L485&lt;W485,J485*'13_Mapa_Liq'!$C$17,0),0)</f>
        <v>0</v>
      </c>
      <c r="Y485" s="151" t="str">
        <f aca="false">IF(ISNUMBER(B485),B485*(1-1/'13_Mapa_Liq'!$B$18+'13_Mapa_Liq'!$B$6),"")</f>
        <v/>
      </c>
      <c r="Z485" s="151" t="n">
        <f aca="false">IF(ISNUMBER(B485),IF(K485&gt;Y485,I485*'13_Mapa_Liq'!$C$18,0),0)</f>
        <v>0</v>
      </c>
      <c r="AA485" s="151" t="str">
        <f aca="false">IF(ISNUMBER(B485),B485*(1+1/'13_Mapa_Liq'!$B$18-'13_Mapa_Liq'!$B$6),"")</f>
        <v/>
      </c>
      <c r="AB485" s="151" t="n">
        <f aca="false">IF(ISNUMBER(B485),IF(L485&lt;AA485,J485*'13_Mapa_Liq'!$C$18,0),0)</f>
        <v>0</v>
      </c>
      <c r="AC485" s="151" t="str">
        <f aca="false">IF(ISNUMBER(B485),B485*(1-1/'13_Mapa_Liq'!$B$19+'13_Mapa_Liq'!$B$6),"")</f>
        <v/>
      </c>
      <c r="AD485" s="151" t="n">
        <f aca="false">IF(ISNUMBER(B485),IF(K485&gt;AC485,I485*'13_Mapa_Liq'!$C$19,0),0)</f>
        <v>0</v>
      </c>
      <c r="AE485" s="151" t="str">
        <f aca="false">IF(ISNUMBER(B485),B485*(1+1/'13_Mapa_Liq'!$B$19-'13_Mapa_Liq'!$B$6),"")</f>
        <v/>
      </c>
      <c r="AF485" s="151" t="n">
        <f aca="false">IF(ISNUMBER(B485),IF(L485&lt;AE485,J485*'13_Mapa_Liq'!$C$19,0),0)</f>
        <v>0</v>
      </c>
      <c r="AG485" s="151"/>
      <c r="AH485" s="151" t="n">
        <f aca="false">IF(ISNUMBER(B485),E485*F485*((K485&lt;=M485)*'13_Mapa_Liq'!$C$15+(K485&lt;=Q485)*'13_Mapa_Liq'!$C$16+(K485&lt;=U485)*'13_Mapa_Liq'!$C$17+(K485&lt;=Y485)*'13_Mapa_Liq'!$C$18+(K485&lt;=AC485)*'13_Mapa_Liq'!$C$19),0)</f>
        <v>0</v>
      </c>
      <c r="AI485" s="151" t="n">
        <f aca="false">IF(ISNUMBER(B485),E485*(1-F485)*((L485&gt;=O485)*'13_Mapa_Liq'!$C$15+(L485&gt;=S485)*'13_Mapa_Liq'!$C$16+(L485&gt;=W485)*'13_Mapa_Liq'!$C$17+(L485&gt;=AA485)*'13_Mapa_Liq'!$C$18+(L485&gt;=AE485)*'13_Mapa_Liq'!$C$19),0)</f>
        <v>0</v>
      </c>
    </row>
    <row r="486" customFormat="false" ht="15" hidden="false" customHeight="false" outlineLevel="0" collapsed="false">
      <c r="A486" s="151" t="str">
        <f aca="false">IF(ISNUMBER('12_Datos_5m'!F486),ROW()-4,"")</f>
        <v/>
      </c>
      <c r="B486" s="151" t="str">
        <f aca="false">IF(ISNUMBER('12_Datos_5m'!F486),'12_Datos_5m'!F486,"")</f>
        <v/>
      </c>
      <c r="C486" s="151" t="str">
        <f aca="false">IF(ISNUMBER('12_Datos_5m'!A486),'12_Datos_5m'!A486,"")</f>
        <v/>
      </c>
      <c r="D486" s="151" t="n">
        <f aca="false">IF(AND(ISNUMBER('12_Datos_5m'!I486),ISNUMBER('12_Datos_5m'!I485)),'12_Datos_5m'!I486-'12_Datos_5m'!I485,0)</f>
        <v>0</v>
      </c>
      <c r="E486" s="151" t="n">
        <f aca="false">MAX(0,D486)</f>
        <v>0</v>
      </c>
      <c r="F486" s="151" t="n">
        <f aca="false">IF(AND(ISNUMBER('12_Datos_5m'!G486),N('12_Datos_5m'!G486)&gt;0),'12_Datos_5m'!H486/'12_Datos_5m'!G486,0.5)</f>
        <v>0.5</v>
      </c>
      <c r="G486" s="151" t="n">
        <f aca="false">IF(ISNUMBER(C486),($C$2-C486)/3600000,0)</f>
        <v>0</v>
      </c>
      <c r="H486" s="151" t="n">
        <f aca="false">EXP(-G486/'13_Mapa_Liq'!$B$7)</f>
        <v>1</v>
      </c>
      <c r="I486" s="151" t="n">
        <f aca="false">E486*F486*H486</f>
        <v>0</v>
      </c>
      <c r="J486" s="151" t="n">
        <f aca="false">E486*(1-F486)*H486</f>
        <v>0</v>
      </c>
      <c r="K486" s="151" t="n">
        <f aca="false">IF(COUNT('12_Datos_5m'!E487:E$504)=0,1000000000000,MIN('12_Datos_5m'!E487:E$504))</f>
        <v>1000000000000</v>
      </c>
      <c r="L486" s="151" t="n">
        <f aca="false">IF(COUNT('12_Datos_5m'!D487:D$504)=0,0,MAX('12_Datos_5m'!D487:D$504))</f>
        <v>0</v>
      </c>
      <c r="M486" s="151" t="str">
        <f aca="false">IF(ISNUMBER(B486),B486*(1-1/'13_Mapa_Liq'!$B$15+'13_Mapa_Liq'!$B$6),"")</f>
        <v/>
      </c>
      <c r="N486" s="151" t="n">
        <f aca="false">IF(ISNUMBER(B486),IF(K486&gt;M486,I486*'13_Mapa_Liq'!$C$15,0),0)</f>
        <v>0</v>
      </c>
      <c r="O486" s="151" t="str">
        <f aca="false">IF(ISNUMBER(B486),B486*(1+1/'13_Mapa_Liq'!$B$15-'13_Mapa_Liq'!$B$6),"")</f>
        <v/>
      </c>
      <c r="P486" s="151" t="n">
        <f aca="false">IF(ISNUMBER(B486),IF(L486&lt;O486,J486*'13_Mapa_Liq'!$C$15,0),0)</f>
        <v>0</v>
      </c>
      <c r="Q486" s="151" t="str">
        <f aca="false">IF(ISNUMBER(B486),B486*(1-1/'13_Mapa_Liq'!$B$16+'13_Mapa_Liq'!$B$6),"")</f>
        <v/>
      </c>
      <c r="R486" s="151" t="n">
        <f aca="false">IF(ISNUMBER(B486),IF(K486&gt;Q486,I486*'13_Mapa_Liq'!$C$16,0),0)</f>
        <v>0</v>
      </c>
      <c r="S486" s="151" t="str">
        <f aca="false">IF(ISNUMBER(B486),B486*(1+1/'13_Mapa_Liq'!$B$16-'13_Mapa_Liq'!$B$6),"")</f>
        <v/>
      </c>
      <c r="T486" s="151" t="n">
        <f aca="false">IF(ISNUMBER(B486),IF(L486&lt;S486,J486*'13_Mapa_Liq'!$C$16,0),0)</f>
        <v>0</v>
      </c>
      <c r="U486" s="151" t="str">
        <f aca="false">IF(ISNUMBER(B486),B486*(1-1/'13_Mapa_Liq'!$B$17+'13_Mapa_Liq'!$B$6),"")</f>
        <v/>
      </c>
      <c r="V486" s="151" t="n">
        <f aca="false">IF(ISNUMBER(B486),IF(K486&gt;U486,I486*'13_Mapa_Liq'!$C$17,0),0)</f>
        <v>0</v>
      </c>
      <c r="W486" s="151" t="str">
        <f aca="false">IF(ISNUMBER(B486),B486*(1+1/'13_Mapa_Liq'!$B$17-'13_Mapa_Liq'!$B$6),"")</f>
        <v/>
      </c>
      <c r="X486" s="151" t="n">
        <f aca="false">IF(ISNUMBER(B486),IF(L486&lt;W486,J486*'13_Mapa_Liq'!$C$17,0),0)</f>
        <v>0</v>
      </c>
      <c r="Y486" s="151" t="str">
        <f aca="false">IF(ISNUMBER(B486),B486*(1-1/'13_Mapa_Liq'!$B$18+'13_Mapa_Liq'!$B$6),"")</f>
        <v/>
      </c>
      <c r="Z486" s="151" t="n">
        <f aca="false">IF(ISNUMBER(B486),IF(K486&gt;Y486,I486*'13_Mapa_Liq'!$C$18,0),0)</f>
        <v>0</v>
      </c>
      <c r="AA486" s="151" t="str">
        <f aca="false">IF(ISNUMBER(B486),B486*(1+1/'13_Mapa_Liq'!$B$18-'13_Mapa_Liq'!$B$6),"")</f>
        <v/>
      </c>
      <c r="AB486" s="151" t="n">
        <f aca="false">IF(ISNUMBER(B486),IF(L486&lt;AA486,J486*'13_Mapa_Liq'!$C$18,0),0)</f>
        <v>0</v>
      </c>
      <c r="AC486" s="151" t="str">
        <f aca="false">IF(ISNUMBER(B486),B486*(1-1/'13_Mapa_Liq'!$B$19+'13_Mapa_Liq'!$B$6),"")</f>
        <v/>
      </c>
      <c r="AD486" s="151" t="n">
        <f aca="false">IF(ISNUMBER(B486),IF(K486&gt;AC486,I486*'13_Mapa_Liq'!$C$19,0),0)</f>
        <v>0</v>
      </c>
      <c r="AE486" s="151" t="str">
        <f aca="false">IF(ISNUMBER(B486),B486*(1+1/'13_Mapa_Liq'!$B$19-'13_Mapa_Liq'!$B$6),"")</f>
        <v/>
      </c>
      <c r="AF486" s="151" t="n">
        <f aca="false">IF(ISNUMBER(B486),IF(L486&lt;AE486,J486*'13_Mapa_Liq'!$C$19,0),0)</f>
        <v>0</v>
      </c>
      <c r="AG486" s="151"/>
      <c r="AH486" s="151" t="n">
        <f aca="false">IF(ISNUMBER(B486),E486*F486*((K486&lt;=M486)*'13_Mapa_Liq'!$C$15+(K486&lt;=Q486)*'13_Mapa_Liq'!$C$16+(K486&lt;=U486)*'13_Mapa_Liq'!$C$17+(K486&lt;=Y486)*'13_Mapa_Liq'!$C$18+(K486&lt;=AC486)*'13_Mapa_Liq'!$C$19),0)</f>
        <v>0</v>
      </c>
      <c r="AI486" s="151" t="n">
        <f aca="false">IF(ISNUMBER(B486),E486*(1-F486)*((L486&gt;=O486)*'13_Mapa_Liq'!$C$15+(L486&gt;=S486)*'13_Mapa_Liq'!$C$16+(L486&gt;=W486)*'13_Mapa_Liq'!$C$17+(L486&gt;=AA486)*'13_Mapa_Liq'!$C$18+(L486&gt;=AE486)*'13_Mapa_Liq'!$C$19),0)</f>
        <v>0</v>
      </c>
    </row>
    <row r="487" customFormat="false" ht="15" hidden="false" customHeight="false" outlineLevel="0" collapsed="false">
      <c r="A487" s="151" t="str">
        <f aca="false">IF(ISNUMBER('12_Datos_5m'!F487),ROW()-4,"")</f>
        <v/>
      </c>
      <c r="B487" s="151" t="str">
        <f aca="false">IF(ISNUMBER('12_Datos_5m'!F487),'12_Datos_5m'!F487,"")</f>
        <v/>
      </c>
      <c r="C487" s="151" t="str">
        <f aca="false">IF(ISNUMBER('12_Datos_5m'!A487),'12_Datos_5m'!A487,"")</f>
        <v/>
      </c>
      <c r="D487" s="151" t="n">
        <f aca="false">IF(AND(ISNUMBER('12_Datos_5m'!I487),ISNUMBER('12_Datos_5m'!I486)),'12_Datos_5m'!I487-'12_Datos_5m'!I486,0)</f>
        <v>0</v>
      </c>
      <c r="E487" s="151" t="n">
        <f aca="false">MAX(0,D487)</f>
        <v>0</v>
      </c>
      <c r="F487" s="151" t="n">
        <f aca="false">IF(AND(ISNUMBER('12_Datos_5m'!G487),N('12_Datos_5m'!G487)&gt;0),'12_Datos_5m'!H487/'12_Datos_5m'!G487,0.5)</f>
        <v>0.5</v>
      </c>
      <c r="G487" s="151" t="n">
        <f aca="false">IF(ISNUMBER(C487),($C$2-C487)/3600000,0)</f>
        <v>0</v>
      </c>
      <c r="H487" s="151" t="n">
        <f aca="false">EXP(-G487/'13_Mapa_Liq'!$B$7)</f>
        <v>1</v>
      </c>
      <c r="I487" s="151" t="n">
        <f aca="false">E487*F487*H487</f>
        <v>0</v>
      </c>
      <c r="J487" s="151" t="n">
        <f aca="false">E487*(1-F487)*H487</f>
        <v>0</v>
      </c>
      <c r="K487" s="151" t="n">
        <f aca="false">IF(COUNT('12_Datos_5m'!E488:E$504)=0,1000000000000,MIN('12_Datos_5m'!E488:E$504))</f>
        <v>1000000000000</v>
      </c>
      <c r="L487" s="151" t="n">
        <f aca="false">IF(COUNT('12_Datos_5m'!D488:D$504)=0,0,MAX('12_Datos_5m'!D488:D$504))</f>
        <v>0</v>
      </c>
      <c r="M487" s="151" t="str">
        <f aca="false">IF(ISNUMBER(B487),B487*(1-1/'13_Mapa_Liq'!$B$15+'13_Mapa_Liq'!$B$6),"")</f>
        <v/>
      </c>
      <c r="N487" s="151" t="n">
        <f aca="false">IF(ISNUMBER(B487),IF(K487&gt;M487,I487*'13_Mapa_Liq'!$C$15,0),0)</f>
        <v>0</v>
      </c>
      <c r="O487" s="151" t="str">
        <f aca="false">IF(ISNUMBER(B487),B487*(1+1/'13_Mapa_Liq'!$B$15-'13_Mapa_Liq'!$B$6),"")</f>
        <v/>
      </c>
      <c r="P487" s="151" t="n">
        <f aca="false">IF(ISNUMBER(B487),IF(L487&lt;O487,J487*'13_Mapa_Liq'!$C$15,0),0)</f>
        <v>0</v>
      </c>
      <c r="Q487" s="151" t="str">
        <f aca="false">IF(ISNUMBER(B487),B487*(1-1/'13_Mapa_Liq'!$B$16+'13_Mapa_Liq'!$B$6),"")</f>
        <v/>
      </c>
      <c r="R487" s="151" t="n">
        <f aca="false">IF(ISNUMBER(B487),IF(K487&gt;Q487,I487*'13_Mapa_Liq'!$C$16,0),0)</f>
        <v>0</v>
      </c>
      <c r="S487" s="151" t="str">
        <f aca="false">IF(ISNUMBER(B487),B487*(1+1/'13_Mapa_Liq'!$B$16-'13_Mapa_Liq'!$B$6),"")</f>
        <v/>
      </c>
      <c r="T487" s="151" t="n">
        <f aca="false">IF(ISNUMBER(B487),IF(L487&lt;S487,J487*'13_Mapa_Liq'!$C$16,0),0)</f>
        <v>0</v>
      </c>
      <c r="U487" s="151" t="str">
        <f aca="false">IF(ISNUMBER(B487),B487*(1-1/'13_Mapa_Liq'!$B$17+'13_Mapa_Liq'!$B$6),"")</f>
        <v/>
      </c>
      <c r="V487" s="151" t="n">
        <f aca="false">IF(ISNUMBER(B487),IF(K487&gt;U487,I487*'13_Mapa_Liq'!$C$17,0),0)</f>
        <v>0</v>
      </c>
      <c r="W487" s="151" t="str">
        <f aca="false">IF(ISNUMBER(B487),B487*(1+1/'13_Mapa_Liq'!$B$17-'13_Mapa_Liq'!$B$6),"")</f>
        <v/>
      </c>
      <c r="X487" s="151" t="n">
        <f aca="false">IF(ISNUMBER(B487),IF(L487&lt;W487,J487*'13_Mapa_Liq'!$C$17,0),0)</f>
        <v>0</v>
      </c>
      <c r="Y487" s="151" t="str">
        <f aca="false">IF(ISNUMBER(B487),B487*(1-1/'13_Mapa_Liq'!$B$18+'13_Mapa_Liq'!$B$6),"")</f>
        <v/>
      </c>
      <c r="Z487" s="151" t="n">
        <f aca="false">IF(ISNUMBER(B487),IF(K487&gt;Y487,I487*'13_Mapa_Liq'!$C$18,0),0)</f>
        <v>0</v>
      </c>
      <c r="AA487" s="151" t="str">
        <f aca="false">IF(ISNUMBER(B487),B487*(1+1/'13_Mapa_Liq'!$B$18-'13_Mapa_Liq'!$B$6),"")</f>
        <v/>
      </c>
      <c r="AB487" s="151" t="n">
        <f aca="false">IF(ISNUMBER(B487),IF(L487&lt;AA487,J487*'13_Mapa_Liq'!$C$18,0),0)</f>
        <v>0</v>
      </c>
      <c r="AC487" s="151" t="str">
        <f aca="false">IF(ISNUMBER(B487),B487*(1-1/'13_Mapa_Liq'!$B$19+'13_Mapa_Liq'!$B$6),"")</f>
        <v/>
      </c>
      <c r="AD487" s="151" t="n">
        <f aca="false">IF(ISNUMBER(B487),IF(K487&gt;AC487,I487*'13_Mapa_Liq'!$C$19,0),0)</f>
        <v>0</v>
      </c>
      <c r="AE487" s="151" t="str">
        <f aca="false">IF(ISNUMBER(B487),B487*(1+1/'13_Mapa_Liq'!$B$19-'13_Mapa_Liq'!$B$6),"")</f>
        <v/>
      </c>
      <c r="AF487" s="151" t="n">
        <f aca="false">IF(ISNUMBER(B487),IF(L487&lt;AE487,J487*'13_Mapa_Liq'!$C$19,0),0)</f>
        <v>0</v>
      </c>
      <c r="AG487" s="151"/>
      <c r="AH487" s="151" t="n">
        <f aca="false">IF(ISNUMBER(B487),E487*F487*((K487&lt;=M487)*'13_Mapa_Liq'!$C$15+(K487&lt;=Q487)*'13_Mapa_Liq'!$C$16+(K487&lt;=U487)*'13_Mapa_Liq'!$C$17+(K487&lt;=Y487)*'13_Mapa_Liq'!$C$18+(K487&lt;=AC487)*'13_Mapa_Liq'!$C$19),0)</f>
        <v>0</v>
      </c>
      <c r="AI487" s="151" t="n">
        <f aca="false">IF(ISNUMBER(B487),E487*(1-F487)*((L487&gt;=O487)*'13_Mapa_Liq'!$C$15+(L487&gt;=S487)*'13_Mapa_Liq'!$C$16+(L487&gt;=W487)*'13_Mapa_Liq'!$C$17+(L487&gt;=AA487)*'13_Mapa_Liq'!$C$18+(L487&gt;=AE487)*'13_Mapa_Liq'!$C$19),0)</f>
        <v>0</v>
      </c>
    </row>
    <row r="488" customFormat="false" ht="15" hidden="false" customHeight="false" outlineLevel="0" collapsed="false">
      <c r="A488" s="151" t="str">
        <f aca="false">IF(ISNUMBER('12_Datos_5m'!F488),ROW()-4,"")</f>
        <v/>
      </c>
      <c r="B488" s="151" t="str">
        <f aca="false">IF(ISNUMBER('12_Datos_5m'!F488),'12_Datos_5m'!F488,"")</f>
        <v/>
      </c>
      <c r="C488" s="151" t="str">
        <f aca="false">IF(ISNUMBER('12_Datos_5m'!A488),'12_Datos_5m'!A488,"")</f>
        <v/>
      </c>
      <c r="D488" s="151" t="n">
        <f aca="false">IF(AND(ISNUMBER('12_Datos_5m'!I488),ISNUMBER('12_Datos_5m'!I487)),'12_Datos_5m'!I488-'12_Datos_5m'!I487,0)</f>
        <v>0</v>
      </c>
      <c r="E488" s="151" t="n">
        <f aca="false">MAX(0,D488)</f>
        <v>0</v>
      </c>
      <c r="F488" s="151" t="n">
        <f aca="false">IF(AND(ISNUMBER('12_Datos_5m'!G488),N('12_Datos_5m'!G488)&gt;0),'12_Datos_5m'!H488/'12_Datos_5m'!G488,0.5)</f>
        <v>0.5</v>
      </c>
      <c r="G488" s="151" t="n">
        <f aca="false">IF(ISNUMBER(C488),($C$2-C488)/3600000,0)</f>
        <v>0</v>
      </c>
      <c r="H488" s="151" t="n">
        <f aca="false">EXP(-G488/'13_Mapa_Liq'!$B$7)</f>
        <v>1</v>
      </c>
      <c r="I488" s="151" t="n">
        <f aca="false">E488*F488*H488</f>
        <v>0</v>
      </c>
      <c r="J488" s="151" t="n">
        <f aca="false">E488*(1-F488)*H488</f>
        <v>0</v>
      </c>
      <c r="K488" s="151" t="n">
        <f aca="false">IF(COUNT('12_Datos_5m'!E489:E$504)=0,1000000000000,MIN('12_Datos_5m'!E489:E$504))</f>
        <v>1000000000000</v>
      </c>
      <c r="L488" s="151" t="n">
        <f aca="false">IF(COUNT('12_Datos_5m'!D489:D$504)=0,0,MAX('12_Datos_5m'!D489:D$504))</f>
        <v>0</v>
      </c>
      <c r="M488" s="151" t="str">
        <f aca="false">IF(ISNUMBER(B488),B488*(1-1/'13_Mapa_Liq'!$B$15+'13_Mapa_Liq'!$B$6),"")</f>
        <v/>
      </c>
      <c r="N488" s="151" t="n">
        <f aca="false">IF(ISNUMBER(B488),IF(K488&gt;M488,I488*'13_Mapa_Liq'!$C$15,0),0)</f>
        <v>0</v>
      </c>
      <c r="O488" s="151" t="str">
        <f aca="false">IF(ISNUMBER(B488),B488*(1+1/'13_Mapa_Liq'!$B$15-'13_Mapa_Liq'!$B$6),"")</f>
        <v/>
      </c>
      <c r="P488" s="151" t="n">
        <f aca="false">IF(ISNUMBER(B488),IF(L488&lt;O488,J488*'13_Mapa_Liq'!$C$15,0),0)</f>
        <v>0</v>
      </c>
      <c r="Q488" s="151" t="str">
        <f aca="false">IF(ISNUMBER(B488),B488*(1-1/'13_Mapa_Liq'!$B$16+'13_Mapa_Liq'!$B$6),"")</f>
        <v/>
      </c>
      <c r="R488" s="151" t="n">
        <f aca="false">IF(ISNUMBER(B488),IF(K488&gt;Q488,I488*'13_Mapa_Liq'!$C$16,0),0)</f>
        <v>0</v>
      </c>
      <c r="S488" s="151" t="str">
        <f aca="false">IF(ISNUMBER(B488),B488*(1+1/'13_Mapa_Liq'!$B$16-'13_Mapa_Liq'!$B$6),"")</f>
        <v/>
      </c>
      <c r="T488" s="151" t="n">
        <f aca="false">IF(ISNUMBER(B488),IF(L488&lt;S488,J488*'13_Mapa_Liq'!$C$16,0),0)</f>
        <v>0</v>
      </c>
      <c r="U488" s="151" t="str">
        <f aca="false">IF(ISNUMBER(B488),B488*(1-1/'13_Mapa_Liq'!$B$17+'13_Mapa_Liq'!$B$6),"")</f>
        <v/>
      </c>
      <c r="V488" s="151" t="n">
        <f aca="false">IF(ISNUMBER(B488),IF(K488&gt;U488,I488*'13_Mapa_Liq'!$C$17,0),0)</f>
        <v>0</v>
      </c>
      <c r="W488" s="151" t="str">
        <f aca="false">IF(ISNUMBER(B488),B488*(1+1/'13_Mapa_Liq'!$B$17-'13_Mapa_Liq'!$B$6),"")</f>
        <v/>
      </c>
      <c r="X488" s="151" t="n">
        <f aca="false">IF(ISNUMBER(B488),IF(L488&lt;W488,J488*'13_Mapa_Liq'!$C$17,0),0)</f>
        <v>0</v>
      </c>
      <c r="Y488" s="151" t="str">
        <f aca="false">IF(ISNUMBER(B488),B488*(1-1/'13_Mapa_Liq'!$B$18+'13_Mapa_Liq'!$B$6),"")</f>
        <v/>
      </c>
      <c r="Z488" s="151" t="n">
        <f aca="false">IF(ISNUMBER(B488),IF(K488&gt;Y488,I488*'13_Mapa_Liq'!$C$18,0),0)</f>
        <v>0</v>
      </c>
      <c r="AA488" s="151" t="str">
        <f aca="false">IF(ISNUMBER(B488),B488*(1+1/'13_Mapa_Liq'!$B$18-'13_Mapa_Liq'!$B$6),"")</f>
        <v/>
      </c>
      <c r="AB488" s="151" t="n">
        <f aca="false">IF(ISNUMBER(B488),IF(L488&lt;AA488,J488*'13_Mapa_Liq'!$C$18,0),0)</f>
        <v>0</v>
      </c>
      <c r="AC488" s="151" t="str">
        <f aca="false">IF(ISNUMBER(B488),B488*(1-1/'13_Mapa_Liq'!$B$19+'13_Mapa_Liq'!$B$6),"")</f>
        <v/>
      </c>
      <c r="AD488" s="151" t="n">
        <f aca="false">IF(ISNUMBER(B488),IF(K488&gt;AC488,I488*'13_Mapa_Liq'!$C$19,0),0)</f>
        <v>0</v>
      </c>
      <c r="AE488" s="151" t="str">
        <f aca="false">IF(ISNUMBER(B488),B488*(1+1/'13_Mapa_Liq'!$B$19-'13_Mapa_Liq'!$B$6),"")</f>
        <v/>
      </c>
      <c r="AF488" s="151" t="n">
        <f aca="false">IF(ISNUMBER(B488),IF(L488&lt;AE488,J488*'13_Mapa_Liq'!$C$19,0),0)</f>
        <v>0</v>
      </c>
      <c r="AG488" s="151"/>
      <c r="AH488" s="151" t="n">
        <f aca="false">IF(ISNUMBER(B488),E488*F488*((K488&lt;=M488)*'13_Mapa_Liq'!$C$15+(K488&lt;=Q488)*'13_Mapa_Liq'!$C$16+(K488&lt;=U488)*'13_Mapa_Liq'!$C$17+(K488&lt;=Y488)*'13_Mapa_Liq'!$C$18+(K488&lt;=AC488)*'13_Mapa_Liq'!$C$19),0)</f>
        <v>0</v>
      </c>
      <c r="AI488" s="151" t="n">
        <f aca="false">IF(ISNUMBER(B488),E488*(1-F488)*((L488&gt;=O488)*'13_Mapa_Liq'!$C$15+(L488&gt;=S488)*'13_Mapa_Liq'!$C$16+(L488&gt;=W488)*'13_Mapa_Liq'!$C$17+(L488&gt;=AA488)*'13_Mapa_Liq'!$C$18+(L488&gt;=AE488)*'13_Mapa_Liq'!$C$19),0)</f>
        <v>0</v>
      </c>
    </row>
    <row r="489" customFormat="false" ht="15" hidden="false" customHeight="false" outlineLevel="0" collapsed="false">
      <c r="A489" s="151" t="str">
        <f aca="false">IF(ISNUMBER('12_Datos_5m'!F489),ROW()-4,"")</f>
        <v/>
      </c>
      <c r="B489" s="151" t="str">
        <f aca="false">IF(ISNUMBER('12_Datos_5m'!F489),'12_Datos_5m'!F489,"")</f>
        <v/>
      </c>
      <c r="C489" s="151" t="str">
        <f aca="false">IF(ISNUMBER('12_Datos_5m'!A489),'12_Datos_5m'!A489,"")</f>
        <v/>
      </c>
      <c r="D489" s="151" t="n">
        <f aca="false">IF(AND(ISNUMBER('12_Datos_5m'!I489),ISNUMBER('12_Datos_5m'!I488)),'12_Datos_5m'!I489-'12_Datos_5m'!I488,0)</f>
        <v>0</v>
      </c>
      <c r="E489" s="151" t="n">
        <f aca="false">MAX(0,D489)</f>
        <v>0</v>
      </c>
      <c r="F489" s="151" t="n">
        <f aca="false">IF(AND(ISNUMBER('12_Datos_5m'!G489),N('12_Datos_5m'!G489)&gt;0),'12_Datos_5m'!H489/'12_Datos_5m'!G489,0.5)</f>
        <v>0.5</v>
      </c>
      <c r="G489" s="151" t="n">
        <f aca="false">IF(ISNUMBER(C489),($C$2-C489)/3600000,0)</f>
        <v>0</v>
      </c>
      <c r="H489" s="151" t="n">
        <f aca="false">EXP(-G489/'13_Mapa_Liq'!$B$7)</f>
        <v>1</v>
      </c>
      <c r="I489" s="151" t="n">
        <f aca="false">E489*F489*H489</f>
        <v>0</v>
      </c>
      <c r="J489" s="151" t="n">
        <f aca="false">E489*(1-F489)*H489</f>
        <v>0</v>
      </c>
      <c r="K489" s="151" t="n">
        <f aca="false">IF(COUNT('12_Datos_5m'!E490:E$504)=0,1000000000000,MIN('12_Datos_5m'!E490:E$504))</f>
        <v>1000000000000</v>
      </c>
      <c r="L489" s="151" t="n">
        <f aca="false">IF(COUNT('12_Datos_5m'!D490:D$504)=0,0,MAX('12_Datos_5m'!D490:D$504))</f>
        <v>0</v>
      </c>
      <c r="M489" s="151" t="str">
        <f aca="false">IF(ISNUMBER(B489),B489*(1-1/'13_Mapa_Liq'!$B$15+'13_Mapa_Liq'!$B$6),"")</f>
        <v/>
      </c>
      <c r="N489" s="151" t="n">
        <f aca="false">IF(ISNUMBER(B489),IF(K489&gt;M489,I489*'13_Mapa_Liq'!$C$15,0),0)</f>
        <v>0</v>
      </c>
      <c r="O489" s="151" t="str">
        <f aca="false">IF(ISNUMBER(B489),B489*(1+1/'13_Mapa_Liq'!$B$15-'13_Mapa_Liq'!$B$6),"")</f>
        <v/>
      </c>
      <c r="P489" s="151" t="n">
        <f aca="false">IF(ISNUMBER(B489),IF(L489&lt;O489,J489*'13_Mapa_Liq'!$C$15,0),0)</f>
        <v>0</v>
      </c>
      <c r="Q489" s="151" t="str">
        <f aca="false">IF(ISNUMBER(B489),B489*(1-1/'13_Mapa_Liq'!$B$16+'13_Mapa_Liq'!$B$6),"")</f>
        <v/>
      </c>
      <c r="R489" s="151" t="n">
        <f aca="false">IF(ISNUMBER(B489),IF(K489&gt;Q489,I489*'13_Mapa_Liq'!$C$16,0),0)</f>
        <v>0</v>
      </c>
      <c r="S489" s="151" t="str">
        <f aca="false">IF(ISNUMBER(B489),B489*(1+1/'13_Mapa_Liq'!$B$16-'13_Mapa_Liq'!$B$6),"")</f>
        <v/>
      </c>
      <c r="T489" s="151" t="n">
        <f aca="false">IF(ISNUMBER(B489),IF(L489&lt;S489,J489*'13_Mapa_Liq'!$C$16,0),0)</f>
        <v>0</v>
      </c>
      <c r="U489" s="151" t="str">
        <f aca="false">IF(ISNUMBER(B489),B489*(1-1/'13_Mapa_Liq'!$B$17+'13_Mapa_Liq'!$B$6),"")</f>
        <v/>
      </c>
      <c r="V489" s="151" t="n">
        <f aca="false">IF(ISNUMBER(B489),IF(K489&gt;U489,I489*'13_Mapa_Liq'!$C$17,0),0)</f>
        <v>0</v>
      </c>
      <c r="W489" s="151" t="str">
        <f aca="false">IF(ISNUMBER(B489),B489*(1+1/'13_Mapa_Liq'!$B$17-'13_Mapa_Liq'!$B$6),"")</f>
        <v/>
      </c>
      <c r="X489" s="151" t="n">
        <f aca="false">IF(ISNUMBER(B489),IF(L489&lt;W489,J489*'13_Mapa_Liq'!$C$17,0),0)</f>
        <v>0</v>
      </c>
      <c r="Y489" s="151" t="str">
        <f aca="false">IF(ISNUMBER(B489),B489*(1-1/'13_Mapa_Liq'!$B$18+'13_Mapa_Liq'!$B$6),"")</f>
        <v/>
      </c>
      <c r="Z489" s="151" t="n">
        <f aca="false">IF(ISNUMBER(B489),IF(K489&gt;Y489,I489*'13_Mapa_Liq'!$C$18,0),0)</f>
        <v>0</v>
      </c>
      <c r="AA489" s="151" t="str">
        <f aca="false">IF(ISNUMBER(B489),B489*(1+1/'13_Mapa_Liq'!$B$18-'13_Mapa_Liq'!$B$6),"")</f>
        <v/>
      </c>
      <c r="AB489" s="151" t="n">
        <f aca="false">IF(ISNUMBER(B489),IF(L489&lt;AA489,J489*'13_Mapa_Liq'!$C$18,0),0)</f>
        <v>0</v>
      </c>
      <c r="AC489" s="151" t="str">
        <f aca="false">IF(ISNUMBER(B489),B489*(1-1/'13_Mapa_Liq'!$B$19+'13_Mapa_Liq'!$B$6),"")</f>
        <v/>
      </c>
      <c r="AD489" s="151" t="n">
        <f aca="false">IF(ISNUMBER(B489),IF(K489&gt;AC489,I489*'13_Mapa_Liq'!$C$19,0),0)</f>
        <v>0</v>
      </c>
      <c r="AE489" s="151" t="str">
        <f aca="false">IF(ISNUMBER(B489),B489*(1+1/'13_Mapa_Liq'!$B$19-'13_Mapa_Liq'!$B$6),"")</f>
        <v/>
      </c>
      <c r="AF489" s="151" t="n">
        <f aca="false">IF(ISNUMBER(B489),IF(L489&lt;AE489,J489*'13_Mapa_Liq'!$C$19,0),0)</f>
        <v>0</v>
      </c>
      <c r="AG489" s="151"/>
      <c r="AH489" s="151" t="n">
        <f aca="false">IF(ISNUMBER(B489),E489*F489*((K489&lt;=M489)*'13_Mapa_Liq'!$C$15+(K489&lt;=Q489)*'13_Mapa_Liq'!$C$16+(K489&lt;=U489)*'13_Mapa_Liq'!$C$17+(K489&lt;=Y489)*'13_Mapa_Liq'!$C$18+(K489&lt;=AC489)*'13_Mapa_Liq'!$C$19),0)</f>
        <v>0</v>
      </c>
      <c r="AI489" s="151" t="n">
        <f aca="false">IF(ISNUMBER(B489),E489*(1-F489)*((L489&gt;=O489)*'13_Mapa_Liq'!$C$15+(L489&gt;=S489)*'13_Mapa_Liq'!$C$16+(L489&gt;=W489)*'13_Mapa_Liq'!$C$17+(L489&gt;=AA489)*'13_Mapa_Liq'!$C$18+(L489&gt;=AE489)*'13_Mapa_Liq'!$C$19),0)</f>
        <v>0</v>
      </c>
    </row>
    <row r="490" customFormat="false" ht="15" hidden="false" customHeight="false" outlineLevel="0" collapsed="false">
      <c r="A490" s="151" t="str">
        <f aca="false">IF(ISNUMBER('12_Datos_5m'!F490),ROW()-4,"")</f>
        <v/>
      </c>
      <c r="B490" s="151" t="str">
        <f aca="false">IF(ISNUMBER('12_Datos_5m'!F490),'12_Datos_5m'!F490,"")</f>
        <v/>
      </c>
      <c r="C490" s="151" t="str">
        <f aca="false">IF(ISNUMBER('12_Datos_5m'!A490),'12_Datos_5m'!A490,"")</f>
        <v/>
      </c>
      <c r="D490" s="151" t="n">
        <f aca="false">IF(AND(ISNUMBER('12_Datos_5m'!I490),ISNUMBER('12_Datos_5m'!I489)),'12_Datos_5m'!I490-'12_Datos_5m'!I489,0)</f>
        <v>0</v>
      </c>
      <c r="E490" s="151" t="n">
        <f aca="false">MAX(0,D490)</f>
        <v>0</v>
      </c>
      <c r="F490" s="151" t="n">
        <f aca="false">IF(AND(ISNUMBER('12_Datos_5m'!G490),N('12_Datos_5m'!G490)&gt;0),'12_Datos_5m'!H490/'12_Datos_5m'!G490,0.5)</f>
        <v>0.5</v>
      </c>
      <c r="G490" s="151" t="n">
        <f aca="false">IF(ISNUMBER(C490),($C$2-C490)/3600000,0)</f>
        <v>0</v>
      </c>
      <c r="H490" s="151" t="n">
        <f aca="false">EXP(-G490/'13_Mapa_Liq'!$B$7)</f>
        <v>1</v>
      </c>
      <c r="I490" s="151" t="n">
        <f aca="false">E490*F490*H490</f>
        <v>0</v>
      </c>
      <c r="J490" s="151" t="n">
        <f aca="false">E490*(1-F490)*H490</f>
        <v>0</v>
      </c>
      <c r="K490" s="151" t="n">
        <f aca="false">IF(COUNT('12_Datos_5m'!E491:E$504)=0,1000000000000,MIN('12_Datos_5m'!E491:E$504))</f>
        <v>1000000000000</v>
      </c>
      <c r="L490" s="151" t="n">
        <f aca="false">IF(COUNT('12_Datos_5m'!D491:D$504)=0,0,MAX('12_Datos_5m'!D491:D$504))</f>
        <v>0</v>
      </c>
      <c r="M490" s="151" t="str">
        <f aca="false">IF(ISNUMBER(B490),B490*(1-1/'13_Mapa_Liq'!$B$15+'13_Mapa_Liq'!$B$6),"")</f>
        <v/>
      </c>
      <c r="N490" s="151" t="n">
        <f aca="false">IF(ISNUMBER(B490),IF(K490&gt;M490,I490*'13_Mapa_Liq'!$C$15,0),0)</f>
        <v>0</v>
      </c>
      <c r="O490" s="151" t="str">
        <f aca="false">IF(ISNUMBER(B490),B490*(1+1/'13_Mapa_Liq'!$B$15-'13_Mapa_Liq'!$B$6),"")</f>
        <v/>
      </c>
      <c r="P490" s="151" t="n">
        <f aca="false">IF(ISNUMBER(B490),IF(L490&lt;O490,J490*'13_Mapa_Liq'!$C$15,0),0)</f>
        <v>0</v>
      </c>
      <c r="Q490" s="151" t="str">
        <f aca="false">IF(ISNUMBER(B490),B490*(1-1/'13_Mapa_Liq'!$B$16+'13_Mapa_Liq'!$B$6),"")</f>
        <v/>
      </c>
      <c r="R490" s="151" t="n">
        <f aca="false">IF(ISNUMBER(B490),IF(K490&gt;Q490,I490*'13_Mapa_Liq'!$C$16,0),0)</f>
        <v>0</v>
      </c>
      <c r="S490" s="151" t="str">
        <f aca="false">IF(ISNUMBER(B490),B490*(1+1/'13_Mapa_Liq'!$B$16-'13_Mapa_Liq'!$B$6),"")</f>
        <v/>
      </c>
      <c r="T490" s="151" t="n">
        <f aca="false">IF(ISNUMBER(B490),IF(L490&lt;S490,J490*'13_Mapa_Liq'!$C$16,0),0)</f>
        <v>0</v>
      </c>
      <c r="U490" s="151" t="str">
        <f aca="false">IF(ISNUMBER(B490),B490*(1-1/'13_Mapa_Liq'!$B$17+'13_Mapa_Liq'!$B$6),"")</f>
        <v/>
      </c>
      <c r="V490" s="151" t="n">
        <f aca="false">IF(ISNUMBER(B490),IF(K490&gt;U490,I490*'13_Mapa_Liq'!$C$17,0),0)</f>
        <v>0</v>
      </c>
      <c r="W490" s="151" t="str">
        <f aca="false">IF(ISNUMBER(B490),B490*(1+1/'13_Mapa_Liq'!$B$17-'13_Mapa_Liq'!$B$6),"")</f>
        <v/>
      </c>
      <c r="X490" s="151" t="n">
        <f aca="false">IF(ISNUMBER(B490),IF(L490&lt;W490,J490*'13_Mapa_Liq'!$C$17,0),0)</f>
        <v>0</v>
      </c>
      <c r="Y490" s="151" t="str">
        <f aca="false">IF(ISNUMBER(B490),B490*(1-1/'13_Mapa_Liq'!$B$18+'13_Mapa_Liq'!$B$6),"")</f>
        <v/>
      </c>
      <c r="Z490" s="151" t="n">
        <f aca="false">IF(ISNUMBER(B490),IF(K490&gt;Y490,I490*'13_Mapa_Liq'!$C$18,0),0)</f>
        <v>0</v>
      </c>
      <c r="AA490" s="151" t="str">
        <f aca="false">IF(ISNUMBER(B490),B490*(1+1/'13_Mapa_Liq'!$B$18-'13_Mapa_Liq'!$B$6),"")</f>
        <v/>
      </c>
      <c r="AB490" s="151" t="n">
        <f aca="false">IF(ISNUMBER(B490),IF(L490&lt;AA490,J490*'13_Mapa_Liq'!$C$18,0),0)</f>
        <v>0</v>
      </c>
      <c r="AC490" s="151" t="str">
        <f aca="false">IF(ISNUMBER(B490),B490*(1-1/'13_Mapa_Liq'!$B$19+'13_Mapa_Liq'!$B$6),"")</f>
        <v/>
      </c>
      <c r="AD490" s="151" t="n">
        <f aca="false">IF(ISNUMBER(B490),IF(K490&gt;AC490,I490*'13_Mapa_Liq'!$C$19,0),0)</f>
        <v>0</v>
      </c>
      <c r="AE490" s="151" t="str">
        <f aca="false">IF(ISNUMBER(B490),B490*(1+1/'13_Mapa_Liq'!$B$19-'13_Mapa_Liq'!$B$6),"")</f>
        <v/>
      </c>
      <c r="AF490" s="151" t="n">
        <f aca="false">IF(ISNUMBER(B490),IF(L490&lt;AE490,J490*'13_Mapa_Liq'!$C$19,0),0)</f>
        <v>0</v>
      </c>
      <c r="AG490" s="151"/>
      <c r="AH490" s="151" t="n">
        <f aca="false">IF(ISNUMBER(B490),E490*F490*((K490&lt;=M490)*'13_Mapa_Liq'!$C$15+(K490&lt;=Q490)*'13_Mapa_Liq'!$C$16+(K490&lt;=U490)*'13_Mapa_Liq'!$C$17+(K490&lt;=Y490)*'13_Mapa_Liq'!$C$18+(K490&lt;=AC490)*'13_Mapa_Liq'!$C$19),0)</f>
        <v>0</v>
      </c>
      <c r="AI490" s="151" t="n">
        <f aca="false">IF(ISNUMBER(B490),E490*(1-F490)*((L490&gt;=O490)*'13_Mapa_Liq'!$C$15+(L490&gt;=S490)*'13_Mapa_Liq'!$C$16+(L490&gt;=W490)*'13_Mapa_Liq'!$C$17+(L490&gt;=AA490)*'13_Mapa_Liq'!$C$18+(L490&gt;=AE490)*'13_Mapa_Liq'!$C$19),0)</f>
        <v>0</v>
      </c>
    </row>
    <row r="491" customFormat="false" ht="15" hidden="false" customHeight="false" outlineLevel="0" collapsed="false">
      <c r="A491" s="151" t="str">
        <f aca="false">IF(ISNUMBER('12_Datos_5m'!F491),ROW()-4,"")</f>
        <v/>
      </c>
      <c r="B491" s="151" t="str">
        <f aca="false">IF(ISNUMBER('12_Datos_5m'!F491),'12_Datos_5m'!F491,"")</f>
        <v/>
      </c>
      <c r="C491" s="151" t="str">
        <f aca="false">IF(ISNUMBER('12_Datos_5m'!A491),'12_Datos_5m'!A491,"")</f>
        <v/>
      </c>
      <c r="D491" s="151" t="n">
        <f aca="false">IF(AND(ISNUMBER('12_Datos_5m'!I491),ISNUMBER('12_Datos_5m'!I490)),'12_Datos_5m'!I491-'12_Datos_5m'!I490,0)</f>
        <v>0</v>
      </c>
      <c r="E491" s="151" t="n">
        <f aca="false">MAX(0,D491)</f>
        <v>0</v>
      </c>
      <c r="F491" s="151" t="n">
        <f aca="false">IF(AND(ISNUMBER('12_Datos_5m'!G491),N('12_Datos_5m'!G491)&gt;0),'12_Datos_5m'!H491/'12_Datos_5m'!G491,0.5)</f>
        <v>0.5</v>
      </c>
      <c r="G491" s="151" t="n">
        <f aca="false">IF(ISNUMBER(C491),($C$2-C491)/3600000,0)</f>
        <v>0</v>
      </c>
      <c r="H491" s="151" t="n">
        <f aca="false">EXP(-G491/'13_Mapa_Liq'!$B$7)</f>
        <v>1</v>
      </c>
      <c r="I491" s="151" t="n">
        <f aca="false">E491*F491*H491</f>
        <v>0</v>
      </c>
      <c r="J491" s="151" t="n">
        <f aca="false">E491*(1-F491)*H491</f>
        <v>0</v>
      </c>
      <c r="K491" s="151" t="n">
        <f aca="false">IF(COUNT('12_Datos_5m'!E492:E$504)=0,1000000000000,MIN('12_Datos_5m'!E492:E$504))</f>
        <v>1000000000000</v>
      </c>
      <c r="L491" s="151" t="n">
        <f aca="false">IF(COUNT('12_Datos_5m'!D492:D$504)=0,0,MAX('12_Datos_5m'!D492:D$504))</f>
        <v>0</v>
      </c>
      <c r="M491" s="151" t="str">
        <f aca="false">IF(ISNUMBER(B491),B491*(1-1/'13_Mapa_Liq'!$B$15+'13_Mapa_Liq'!$B$6),"")</f>
        <v/>
      </c>
      <c r="N491" s="151" t="n">
        <f aca="false">IF(ISNUMBER(B491),IF(K491&gt;M491,I491*'13_Mapa_Liq'!$C$15,0),0)</f>
        <v>0</v>
      </c>
      <c r="O491" s="151" t="str">
        <f aca="false">IF(ISNUMBER(B491),B491*(1+1/'13_Mapa_Liq'!$B$15-'13_Mapa_Liq'!$B$6),"")</f>
        <v/>
      </c>
      <c r="P491" s="151" t="n">
        <f aca="false">IF(ISNUMBER(B491),IF(L491&lt;O491,J491*'13_Mapa_Liq'!$C$15,0),0)</f>
        <v>0</v>
      </c>
      <c r="Q491" s="151" t="str">
        <f aca="false">IF(ISNUMBER(B491),B491*(1-1/'13_Mapa_Liq'!$B$16+'13_Mapa_Liq'!$B$6),"")</f>
        <v/>
      </c>
      <c r="R491" s="151" t="n">
        <f aca="false">IF(ISNUMBER(B491),IF(K491&gt;Q491,I491*'13_Mapa_Liq'!$C$16,0),0)</f>
        <v>0</v>
      </c>
      <c r="S491" s="151" t="str">
        <f aca="false">IF(ISNUMBER(B491),B491*(1+1/'13_Mapa_Liq'!$B$16-'13_Mapa_Liq'!$B$6),"")</f>
        <v/>
      </c>
      <c r="T491" s="151" t="n">
        <f aca="false">IF(ISNUMBER(B491),IF(L491&lt;S491,J491*'13_Mapa_Liq'!$C$16,0),0)</f>
        <v>0</v>
      </c>
      <c r="U491" s="151" t="str">
        <f aca="false">IF(ISNUMBER(B491),B491*(1-1/'13_Mapa_Liq'!$B$17+'13_Mapa_Liq'!$B$6),"")</f>
        <v/>
      </c>
      <c r="V491" s="151" t="n">
        <f aca="false">IF(ISNUMBER(B491),IF(K491&gt;U491,I491*'13_Mapa_Liq'!$C$17,0),0)</f>
        <v>0</v>
      </c>
      <c r="W491" s="151" t="str">
        <f aca="false">IF(ISNUMBER(B491),B491*(1+1/'13_Mapa_Liq'!$B$17-'13_Mapa_Liq'!$B$6),"")</f>
        <v/>
      </c>
      <c r="X491" s="151" t="n">
        <f aca="false">IF(ISNUMBER(B491),IF(L491&lt;W491,J491*'13_Mapa_Liq'!$C$17,0),0)</f>
        <v>0</v>
      </c>
      <c r="Y491" s="151" t="str">
        <f aca="false">IF(ISNUMBER(B491),B491*(1-1/'13_Mapa_Liq'!$B$18+'13_Mapa_Liq'!$B$6),"")</f>
        <v/>
      </c>
      <c r="Z491" s="151" t="n">
        <f aca="false">IF(ISNUMBER(B491),IF(K491&gt;Y491,I491*'13_Mapa_Liq'!$C$18,0),0)</f>
        <v>0</v>
      </c>
      <c r="AA491" s="151" t="str">
        <f aca="false">IF(ISNUMBER(B491),B491*(1+1/'13_Mapa_Liq'!$B$18-'13_Mapa_Liq'!$B$6),"")</f>
        <v/>
      </c>
      <c r="AB491" s="151" t="n">
        <f aca="false">IF(ISNUMBER(B491),IF(L491&lt;AA491,J491*'13_Mapa_Liq'!$C$18,0),0)</f>
        <v>0</v>
      </c>
      <c r="AC491" s="151" t="str">
        <f aca="false">IF(ISNUMBER(B491),B491*(1-1/'13_Mapa_Liq'!$B$19+'13_Mapa_Liq'!$B$6),"")</f>
        <v/>
      </c>
      <c r="AD491" s="151" t="n">
        <f aca="false">IF(ISNUMBER(B491),IF(K491&gt;AC491,I491*'13_Mapa_Liq'!$C$19,0),0)</f>
        <v>0</v>
      </c>
      <c r="AE491" s="151" t="str">
        <f aca="false">IF(ISNUMBER(B491),B491*(1+1/'13_Mapa_Liq'!$B$19-'13_Mapa_Liq'!$B$6),"")</f>
        <v/>
      </c>
      <c r="AF491" s="151" t="n">
        <f aca="false">IF(ISNUMBER(B491),IF(L491&lt;AE491,J491*'13_Mapa_Liq'!$C$19,0),0)</f>
        <v>0</v>
      </c>
      <c r="AG491" s="151"/>
      <c r="AH491" s="151" t="n">
        <f aca="false">IF(ISNUMBER(B491),E491*F491*((K491&lt;=M491)*'13_Mapa_Liq'!$C$15+(K491&lt;=Q491)*'13_Mapa_Liq'!$C$16+(K491&lt;=U491)*'13_Mapa_Liq'!$C$17+(K491&lt;=Y491)*'13_Mapa_Liq'!$C$18+(K491&lt;=AC491)*'13_Mapa_Liq'!$C$19),0)</f>
        <v>0</v>
      </c>
      <c r="AI491" s="151" t="n">
        <f aca="false">IF(ISNUMBER(B491),E491*(1-F491)*((L491&gt;=O491)*'13_Mapa_Liq'!$C$15+(L491&gt;=S491)*'13_Mapa_Liq'!$C$16+(L491&gt;=W491)*'13_Mapa_Liq'!$C$17+(L491&gt;=AA491)*'13_Mapa_Liq'!$C$18+(L491&gt;=AE491)*'13_Mapa_Liq'!$C$19),0)</f>
        <v>0</v>
      </c>
    </row>
    <row r="492" customFormat="false" ht="15" hidden="false" customHeight="false" outlineLevel="0" collapsed="false">
      <c r="A492" s="151" t="str">
        <f aca="false">IF(ISNUMBER('12_Datos_5m'!F492),ROW()-4,"")</f>
        <v/>
      </c>
      <c r="B492" s="151" t="str">
        <f aca="false">IF(ISNUMBER('12_Datos_5m'!F492),'12_Datos_5m'!F492,"")</f>
        <v/>
      </c>
      <c r="C492" s="151" t="str">
        <f aca="false">IF(ISNUMBER('12_Datos_5m'!A492),'12_Datos_5m'!A492,"")</f>
        <v/>
      </c>
      <c r="D492" s="151" t="n">
        <f aca="false">IF(AND(ISNUMBER('12_Datos_5m'!I492),ISNUMBER('12_Datos_5m'!I491)),'12_Datos_5m'!I492-'12_Datos_5m'!I491,0)</f>
        <v>0</v>
      </c>
      <c r="E492" s="151" t="n">
        <f aca="false">MAX(0,D492)</f>
        <v>0</v>
      </c>
      <c r="F492" s="151" t="n">
        <f aca="false">IF(AND(ISNUMBER('12_Datos_5m'!G492),N('12_Datos_5m'!G492)&gt;0),'12_Datos_5m'!H492/'12_Datos_5m'!G492,0.5)</f>
        <v>0.5</v>
      </c>
      <c r="G492" s="151" t="n">
        <f aca="false">IF(ISNUMBER(C492),($C$2-C492)/3600000,0)</f>
        <v>0</v>
      </c>
      <c r="H492" s="151" t="n">
        <f aca="false">EXP(-G492/'13_Mapa_Liq'!$B$7)</f>
        <v>1</v>
      </c>
      <c r="I492" s="151" t="n">
        <f aca="false">E492*F492*H492</f>
        <v>0</v>
      </c>
      <c r="J492" s="151" t="n">
        <f aca="false">E492*(1-F492)*H492</f>
        <v>0</v>
      </c>
      <c r="K492" s="151" t="n">
        <f aca="false">IF(COUNT('12_Datos_5m'!E493:E$504)=0,1000000000000,MIN('12_Datos_5m'!E493:E$504))</f>
        <v>1000000000000</v>
      </c>
      <c r="L492" s="151" t="n">
        <f aca="false">IF(COUNT('12_Datos_5m'!D493:D$504)=0,0,MAX('12_Datos_5m'!D493:D$504))</f>
        <v>0</v>
      </c>
      <c r="M492" s="151" t="str">
        <f aca="false">IF(ISNUMBER(B492),B492*(1-1/'13_Mapa_Liq'!$B$15+'13_Mapa_Liq'!$B$6),"")</f>
        <v/>
      </c>
      <c r="N492" s="151" t="n">
        <f aca="false">IF(ISNUMBER(B492),IF(K492&gt;M492,I492*'13_Mapa_Liq'!$C$15,0),0)</f>
        <v>0</v>
      </c>
      <c r="O492" s="151" t="str">
        <f aca="false">IF(ISNUMBER(B492),B492*(1+1/'13_Mapa_Liq'!$B$15-'13_Mapa_Liq'!$B$6),"")</f>
        <v/>
      </c>
      <c r="P492" s="151" t="n">
        <f aca="false">IF(ISNUMBER(B492),IF(L492&lt;O492,J492*'13_Mapa_Liq'!$C$15,0),0)</f>
        <v>0</v>
      </c>
      <c r="Q492" s="151" t="str">
        <f aca="false">IF(ISNUMBER(B492),B492*(1-1/'13_Mapa_Liq'!$B$16+'13_Mapa_Liq'!$B$6),"")</f>
        <v/>
      </c>
      <c r="R492" s="151" t="n">
        <f aca="false">IF(ISNUMBER(B492),IF(K492&gt;Q492,I492*'13_Mapa_Liq'!$C$16,0),0)</f>
        <v>0</v>
      </c>
      <c r="S492" s="151" t="str">
        <f aca="false">IF(ISNUMBER(B492),B492*(1+1/'13_Mapa_Liq'!$B$16-'13_Mapa_Liq'!$B$6),"")</f>
        <v/>
      </c>
      <c r="T492" s="151" t="n">
        <f aca="false">IF(ISNUMBER(B492),IF(L492&lt;S492,J492*'13_Mapa_Liq'!$C$16,0),0)</f>
        <v>0</v>
      </c>
      <c r="U492" s="151" t="str">
        <f aca="false">IF(ISNUMBER(B492),B492*(1-1/'13_Mapa_Liq'!$B$17+'13_Mapa_Liq'!$B$6),"")</f>
        <v/>
      </c>
      <c r="V492" s="151" t="n">
        <f aca="false">IF(ISNUMBER(B492),IF(K492&gt;U492,I492*'13_Mapa_Liq'!$C$17,0),0)</f>
        <v>0</v>
      </c>
      <c r="W492" s="151" t="str">
        <f aca="false">IF(ISNUMBER(B492),B492*(1+1/'13_Mapa_Liq'!$B$17-'13_Mapa_Liq'!$B$6),"")</f>
        <v/>
      </c>
      <c r="X492" s="151" t="n">
        <f aca="false">IF(ISNUMBER(B492),IF(L492&lt;W492,J492*'13_Mapa_Liq'!$C$17,0),0)</f>
        <v>0</v>
      </c>
      <c r="Y492" s="151" t="str">
        <f aca="false">IF(ISNUMBER(B492),B492*(1-1/'13_Mapa_Liq'!$B$18+'13_Mapa_Liq'!$B$6),"")</f>
        <v/>
      </c>
      <c r="Z492" s="151" t="n">
        <f aca="false">IF(ISNUMBER(B492),IF(K492&gt;Y492,I492*'13_Mapa_Liq'!$C$18,0),0)</f>
        <v>0</v>
      </c>
      <c r="AA492" s="151" t="str">
        <f aca="false">IF(ISNUMBER(B492),B492*(1+1/'13_Mapa_Liq'!$B$18-'13_Mapa_Liq'!$B$6),"")</f>
        <v/>
      </c>
      <c r="AB492" s="151" t="n">
        <f aca="false">IF(ISNUMBER(B492),IF(L492&lt;AA492,J492*'13_Mapa_Liq'!$C$18,0),0)</f>
        <v>0</v>
      </c>
      <c r="AC492" s="151" t="str">
        <f aca="false">IF(ISNUMBER(B492),B492*(1-1/'13_Mapa_Liq'!$B$19+'13_Mapa_Liq'!$B$6),"")</f>
        <v/>
      </c>
      <c r="AD492" s="151" t="n">
        <f aca="false">IF(ISNUMBER(B492),IF(K492&gt;AC492,I492*'13_Mapa_Liq'!$C$19,0),0)</f>
        <v>0</v>
      </c>
      <c r="AE492" s="151" t="str">
        <f aca="false">IF(ISNUMBER(B492),B492*(1+1/'13_Mapa_Liq'!$B$19-'13_Mapa_Liq'!$B$6),"")</f>
        <v/>
      </c>
      <c r="AF492" s="151" t="n">
        <f aca="false">IF(ISNUMBER(B492),IF(L492&lt;AE492,J492*'13_Mapa_Liq'!$C$19,0),0)</f>
        <v>0</v>
      </c>
      <c r="AG492" s="151"/>
      <c r="AH492" s="151" t="n">
        <f aca="false">IF(ISNUMBER(B492),E492*F492*((K492&lt;=M492)*'13_Mapa_Liq'!$C$15+(K492&lt;=Q492)*'13_Mapa_Liq'!$C$16+(K492&lt;=U492)*'13_Mapa_Liq'!$C$17+(K492&lt;=Y492)*'13_Mapa_Liq'!$C$18+(K492&lt;=AC492)*'13_Mapa_Liq'!$C$19),0)</f>
        <v>0</v>
      </c>
      <c r="AI492" s="151" t="n">
        <f aca="false">IF(ISNUMBER(B492),E492*(1-F492)*((L492&gt;=O492)*'13_Mapa_Liq'!$C$15+(L492&gt;=S492)*'13_Mapa_Liq'!$C$16+(L492&gt;=W492)*'13_Mapa_Liq'!$C$17+(L492&gt;=AA492)*'13_Mapa_Liq'!$C$18+(L492&gt;=AE492)*'13_Mapa_Liq'!$C$19),0)</f>
        <v>0</v>
      </c>
    </row>
    <row r="493" customFormat="false" ht="15" hidden="false" customHeight="false" outlineLevel="0" collapsed="false">
      <c r="A493" s="151" t="str">
        <f aca="false">IF(ISNUMBER('12_Datos_5m'!F493),ROW()-4,"")</f>
        <v/>
      </c>
      <c r="B493" s="151" t="str">
        <f aca="false">IF(ISNUMBER('12_Datos_5m'!F493),'12_Datos_5m'!F493,"")</f>
        <v/>
      </c>
      <c r="C493" s="151" t="str">
        <f aca="false">IF(ISNUMBER('12_Datos_5m'!A493),'12_Datos_5m'!A493,"")</f>
        <v/>
      </c>
      <c r="D493" s="151" t="n">
        <f aca="false">IF(AND(ISNUMBER('12_Datos_5m'!I493),ISNUMBER('12_Datos_5m'!I492)),'12_Datos_5m'!I493-'12_Datos_5m'!I492,0)</f>
        <v>0</v>
      </c>
      <c r="E493" s="151" t="n">
        <f aca="false">MAX(0,D493)</f>
        <v>0</v>
      </c>
      <c r="F493" s="151" t="n">
        <f aca="false">IF(AND(ISNUMBER('12_Datos_5m'!G493),N('12_Datos_5m'!G493)&gt;0),'12_Datos_5m'!H493/'12_Datos_5m'!G493,0.5)</f>
        <v>0.5</v>
      </c>
      <c r="G493" s="151" t="n">
        <f aca="false">IF(ISNUMBER(C493),($C$2-C493)/3600000,0)</f>
        <v>0</v>
      </c>
      <c r="H493" s="151" t="n">
        <f aca="false">EXP(-G493/'13_Mapa_Liq'!$B$7)</f>
        <v>1</v>
      </c>
      <c r="I493" s="151" t="n">
        <f aca="false">E493*F493*H493</f>
        <v>0</v>
      </c>
      <c r="J493" s="151" t="n">
        <f aca="false">E493*(1-F493)*H493</f>
        <v>0</v>
      </c>
      <c r="K493" s="151" t="n">
        <f aca="false">IF(COUNT('12_Datos_5m'!E494:E$504)=0,1000000000000,MIN('12_Datos_5m'!E494:E$504))</f>
        <v>1000000000000</v>
      </c>
      <c r="L493" s="151" t="n">
        <f aca="false">IF(COUNT('12_Datos_5m'!D494:D$504)=0,0,MAX('12_Datos_5m'!D494:D$504))</f>
        <v>0</v>
      </c>
      <c r="M493" s="151" t="str">
        <f aca="false">IF(ISNUMBER(B493),B493*(1-1/'13_Mapa_Liq'!$B$15+'13_Mapa_Liq'!$B$6),"")</f>
        <v/>
      </c>
      <c r="N493" s="151" t="n">
        <f aca="false">IF(ISNUMBER(B493),IF(K493&gt;M493,I493*'13_Mapa_Liq'!$C$15,0),0)</f>
        <v>0</v>
      </c>
      <c r="O493" s="151" t="str">
        <f aca="false">IF(ISNUMBER(B493),B493*(1+1/'13_Mapa_Liq'!$B$15-'13_Mapa_Liq'!$B$6),"")</f>
        <v/>
      </c>
      <c r="P493" s="151" t="n">
        <f aca="false">IF(ISNUMBER(B493),IF(L493&lt;O493,J493*'13_Mapa_Liq'!$C$15,0),0)</f>
        <v>0</v>
      </c>
      <c r="Q493" s="151" t="str">
        <f aca="false">IF(ISNUMBER(B493),B493*(1-1/'13_Mapa_Liq'!$B$16+'13_Mapa_Liq'!$B$6),"")</f>
        <v/>
      </c>
      <c r="R493" s="151" t="n">
        <f aca="false">IF(ISNUMBER(B493),IF(K493&gt;Q493,I493*'13_Mapa_Liq'!$C$16,0),0)</f>
        <v>0</v>
      </c>
      <c r="S493" s="151" t="str">
        <f aca="false">IF(ISNUMBER(B493),B493*(1+1/'13_Mapa_Liq'!$B$16-'13_Mapa_Liq'!$B$6),"")</f>
        <v/>
      </c>
      <c r="T493" s="151" t="n">
        <f aca="false">IF(ISNUMBER(B493),IF(L493&lt;S493,J493*'13_Mapa_Liq'!$C$16,0),0)</f>
        <v>0</v>
      </c>
      <c r="U493" s="151" t="str">
        <f aca="false">IF(ISNUMBER(B493),B493*(1-1/'13_Mapa_Liq'!$B$17+'13_Mapa_Liq'!$B$6),"")</f>
        <v/>
      </c>
      <c r="V493" s="151" t="n">
        <f aca="false">IF(ISNUMBER(B493),IF(K493&gt;U493,I493*'13_Mapa_Liq'!$C$17,0),0)</f>
        <v>0</v>
      </c>
      <c r="W493" s="151" t="str">
        <f aca="false">IF(ISNUMBER(B493),B493*(1+1/'13_Mapa_Liq'!$B$17-'13_Mapa_Liq'!$B$6),"")</f>
        <v/>
      </c>
      <c r="X493" s="151" t="n">
        <f aca="false">IF(ISNUMBER(B493),IF(L493&lt;W493,J493*'13_Mapa_Liq'!$C$17,0),0)</f>
        <v>0</v>
      </c>
      <c r="Y493" s="151" t="str">
        <f aca="false">IF(ISNUMBER(B493),B493*(1-1/'13_Mapa_Liq'!$B$18+'13_Mapa_Liq'!$B$6),"")</f>
        <v/>
      </c>
      <c r="Z493" s="151" t="n">
        <f aca="false">IF(ISNUMBER(B493),IF(K493&gt;Y493,I493*'13_Mapa_Liq'!$C$18,0),0)</f>
        <v>0</v>
      </c>
      <c r="AA493" s="151" t="str">
        <f aca="false">IF(ISNUMBER(B493),B493*(1+1/'13_Mapa_Liq'!$B$18-'13_Mapa_Liq'!$B$6),"")</f>
        <v/>
      </c>
      <c r="AB493" s="151" t="n">
        <f aca="false">IF(ISNUMBER(B493),IF(L493&lt;AA493,J493*'13_Mapa_Liq'!$C$18,0),0)</f>
        <v>0</v>
      </c>
      <c r="AC493" s="151" t="str">
        <f aca="false">IF(ISNUMBER(B493),B493*(1-1/'13_Mapa_Liq'!$B$19+'13_Mapa_Liq'!$B$6),"")</f>
        <v/>
      </c>
      <c r="AD493" s="151" t="n">
        <f aca="false">IF(ISNUMBER(B493),IF(K493&gt;AC493,I493*'13_Mapa_Liq'!$C$19,0),0)</f>
        <v>0</v>
      </c>
      <c r="AE493" s="151" t="str">
        <f aca="false">IF(ISNUMBER(B493),B493*(1+1/'13_Mapa_Liq'!$B$19-'13_Mapa_Liq'!$B$6),"")</f>
        <v/>
      </c>
      <c r="AF493" s="151" t="n">
        <f aca="false">IF(ISNUMBER(B493),IF(L493&lt;AE493,J493*'13_Mapa_Liq'!$C$19,0),0)</f>
        <v>0</v>
      </c>
      <c r="AG493" s="151"/>
      <c r="AH493" s="151" t="n">
        <f aca="false">IF(ISNUMBER(B493),E493*F493*((K493&lt;=M493)*'13_Mapa_Liq'!$C$15+(K493&lt;=Q493)*'13_Mapa_Liq'!$C$16+(K493&lt;=U493)*'13_Mapa_Liq'!$C$17+(K493&lt;=Y493)*'13_Mapa_Liq'!$C$18+(K493&lt;=AC493)*'13_Mapa_Liq'!$C$19),0)</f>
        <v>0</v>
      </c>
      <c r="AI493" s="151" t="n">
        <f aca="false">IF(ISNUMBER(B493),E493*(1-F493)*((L493&gt;=O493)*'13_Mapa_Liq'!$C$15+(L493&gt;=S493)*'13_Mapa_Liq'!$C$16+(L493&gt;=W493)*'13_Mapa_Liq'!$C$17+(L493&gt;=AA493)*'13_Mapa_Liq'!$C$18+(L493&gt;=AE493)*'13_Mapa_Liq'!$C$19),0)</f>
        <v>0</v>
      </c>
    </row>
    <row r="494" customFormat="false" ht="15" hidden="false" customHeight="false" outlineLevel="0" collapsed="false">
      <c r="A494" s="151" t="str">
        <f aca="false">IF(ISNUMBER('12_Datos_5m'!F494),ROW()-4,"")</f>
        <v/>
      </c>
      <c r="B494" s="151" t="str">
        <f aca="false">IF(ISNUMBER('12_Datos_5m'!F494),'12_Datos_5m'!F494,"")</f>
        <v/>
      </c>
      <c r="C494" s="151" t="str">
        <f aca="false">IF(ISNUMBER('12_Datos_5m'!A494),'12_Datos_5m'!A494,"")</f>
        <v/>
      </c>
      <c r="D494" s="151" t="n">
        <f aca="false">IF(AND(ISNUMBER('12_Datos_5m'!I494),ISNUMBER('12_Datos_5m'!I493)),'12_Datos_5m'!I494-'12_Datos_5m'!I493,0)</f>
        <v>0</v>
      </c>
      <c r="E494" s="151" t="n">
        <f aca="false">MAX(0,D494)</f>
        <v>0</v>
      </c>
      <c r="F494" s="151" t="n">
        <f aca="false">IF(AND(ISNUMBER('12_Datos_5m'!G494),N('12_Datos_5m'!G494)&gt;0),'12_Datos_5m'!H494/'12_Datos_5m'!G494,0.5)</f>
        <v>0.5</v>
      </c>
      <c r="G494" s="151" t="n">
        <f aca="false">IF(ISNUMBER(C494),($C$2-C494)/3600000,0)</f>
        <v>0</v>
      </c>
      <c r="H494" s="151" t="n">
        <f aca="false">EXP(-G494/'13_Mapa_Liq'!$B$7)</f>
        <v>1</v>
      </c>
      <c r="I494" s="151" t="n">
        <f aca="false">E494*F494*H494</f>
        <v>0</v>
      </c>
      <c r="J494" s="151" t="n">
        <f aca="false">E494*(1-F494)*H494</f>
        <v>0</v>
      </c>
      <c r="K494" s="151" t="n">
        <f aca="false">IF(COUNT('12_Datos_5m'!E495:E$504)=0,1000000000000,MIN('12_Datos_5m'!E495:E$504))</f>
        <v>1000000000000</v>
      </c>
      <c r="L494" s="151" t="n">
        <f aca="false">IF(COUNT('12_Datos_5m'!D495:D$504)=0,0,MAX('12_Datos_5m'!D495:D$504))</f>
        <v>0</v>
      </c>
      <c r="M494" s="151" t="str">
        <f aca="false">IF(ISNUMBER(B494),B494*(1-1/'13_Mapa_Liq'!$B$15+'13_Mapa_Liq'!$B$6),"")</f>
        <v/>
      </c>
      <c r="N494" s="151" t="n">
        <f aca="false">IF(ISNUMBER(B494),IF(K494&gt;M494,I494*'13_Mapa_Liq'!$C$15,0),0)</f>
        <v>0</v>
      </c>
      <c r="O494" s="151" t="str">
        <f aca="false">IF(ISNUMBER(B494),B494*(1+1/'13_Mapa_Liq'!$B$15-'13_Mapa_Liq'!$B$6),"")</f>
        <v/>
      </c>
      <c r="P494" s="151" t="n">
        <f aca="false">IF(ISNUMBER(B494),IF(L494&lt;O494,J494*'13_Mapa_Liq'!$C$15,0),0)</f>
        <v>0</v>
      </c>
      <c r="Q494" s="151" t="str">
        <f aca="false">IF(ISNUMBER(B494),B494*(1-1/'13_Mapa_Liq'!$B$16+'13_Mapa_Liq'!$B$6),"")</f>
        <v/>
      </c>
      <c r="R494" s="151" t="n">
        <f aca="false">IF(ISNUMBER(B494),IF(K494&gt;Q494,I494*'13_Mapa_Liq'!$C$16,0),0)</f>
        <v>0</v>
      </c>
      <c r="S494" s="151" t="str">
        <f aca="false">IF(ISNUMBER(B494),B494*(1+1/'13_Mapa_Liq'!$B$16-'13_Mapa_Liq'!$B$6),"")</f>
        <v/>
      </c>
      <c r="T494" s="151" t="n">
        <f aca="false">IF(ISNUMBER(B494),IF(L494&lt;S494,J494*'13_Mapa_Liq'!$C$16,0),0)</f>
        <v>0</v>
      </c>
      <c r="U494" s="151" t="str">
        <f aca="false">IF(ISNUMBER(B494),B494*(1-1/'13_Mapa_Liq'!$B$17+'13_Mapa_Liq'!$B$6),"")</f>
        <v/>
      </c>
      <c r="V494" s="151" t="n">
        <f aca="false">IF(ISNUMBER(B494),IF(K494&gt;U494,I494*'13_Mapa_Liq'!$C$17,0),0)</f>
        <v>0</v>
      </c>
      <c r="W494" s="151" t="str">
        <f aca="false">IF(ISNUMBER(B494),B494*(1+1/'13_Mapa_Liq'!$B$17-'13_Mapa_Liq'!$B$6),"")</f>
        <v/>
      </c>
      <c r="X494" s="151" t="n">
        <f aca="false">IF(ISNUMBER(B494),IF(L494&lt;W494,J494*'13_Mapa_Liq'!$C$17,0),0)</f>
        <v>0</v>
      </c>
      <c r="Y494" s="151" t="str">
        <f aca="false">IF(ISNUMBER(B494),B494*(1-1/'13_Mapa_Liq'!$B$18+'13_Mapa_Liq'!$B$6),"")</f>
        <v/>
      </c>
      <c r="Z494" s="151" t="n">
        <f aca="false">IF(ISNUMBER(B494),IF(K494&gt;Y494,I494*'13_Mapa_Liq'!$C$18,0),0)</f>
        <v>0</v>
      </c>
      <c r="AA494" s="151" t="str">
        <f aca="false">IF(ISNUMBER(B494),B494*(1+1/'13_Mapa_Liq'!$B$18-'13_Mapa_Liq'!$B$6),"")</f>
        <v/>
      </c>
      <c r="AB494" s="151" t="n">
        <f aca="false">IF(ISNUMBER(B494),IF(L494&lt;AA494,J494*'13_Mapa_Liq'!$C$18,0),0)</f>
        <v>0</v>
      </c>
      <c r="AC494" s="151" t="str">
        <f aca="false">IF(ISNUMBER(B494),B494*(1-1/'13_Mapa_Liq'!$B$19+'13_Mapa_Liq'!$B$6),"")</f>
        <v/>
      </c>
      <c r="AD494" s="151" t="n">
        <f aca="false">IF(ISNUMBER(B494),IF(K494&gt;AC494,I494*'13_Mapa_Liq'!$C$19,0),0)</f>
        <v>0</v>
      </c>
      <c r="AE494" s="151" t="str">
        <f aca="false">IF(ISNUMBER(B494),B494*(1+1/'13_Mapa_Liq'!$B$19-'13_Mapa_Liq'!$B$6),"")</f>
        <v/>
      </c>
      <c r="AF494" s="151" t="n">
        <f aca="false">IF(ISNUMBER(B494),IF(L494&lt;AE494,J494*'13_Mapa_Liq'!$C$19,0),0)</f>
        <v>0</v>
      </c>
      <c r="AG494" s="151"/>
      <c r="AH494" s="151" t="n">
        <f aca="false">IF(ISNUMBER(B494),E494*F494*((K494&lt;=M494)*'13_Mapa_Liq'!$C$15+(K494&lt;=Q494)*'13_Mapa_Liq'!$C$16+(K494&lt;=U494)*'13_Mapa_Liq'!$C$17+(K494&lt;=Y494)*'13_Mapa_Liq'!$C$18+(K494&lt;=AC494)*'13_Mapa_Liq'!$C$19),0)</f>
        <v>0</v>
      </c>
      <c r="AI494" s="151" t="n">
        <f aca="false">IF(ISNUMBER(B494),E494*(1-F494)*((L494&gt;=O494)*'13_Mapa_Liq'!$C$15+(L494&gt;=S494)*'13_Mapa_Liq'!$C$16+(L494&gt;=W494)*'13_Mapa_Liq'!$C$17+(L494&gt;=AA494)*'13_Mapa_Liq'!$C$18+(L494&gt;=AE494)*'13_Mapa_Liq'!$C$19),0)</f>
        <v>0</v>
      </c>
    </row>
    <row r="495" customFormat="false" ht="15" hidden="false" customHeight="false" outlineLevel="0" collapsed="false">
      <c r="A495" s="151" t="str">
        <f aca="false">IF(ISNUMBER('12_Datos_5m'!F495),ROW()-4,"")</f>
        <v/>
      </c>
      <c r="B495" s="151" t="str">
        <f aca="false">IF(ISNUMBER('12_Datos_5m'!F495),'12_Datos_5m'!F495,"")</f>
        <v/>
      </c>
      <c r="C495" s="151" t="str">
        <f aca="false">IF(ISNUMBER('12_Datos_5m'!A495),'12_Datos_5m'!A495,"")</f>
        <v/>
      </c>
      <c r="D495" s="151" t="n">
        <f aca="false">IF(AND(ISNUMBER('12_Datos_5m'!I495),ISNUMBER('12_Datos_5m'!I494)),'12_Datos_5m'!I495-'12_Datos_5m'!I494,0)</f>
        <v>0</v>
      </c>
      <c r="E495" s="151" t="n">
        <f aca="false">MAX(0,D495)</f>
        <v>0</v>
      </c>
      <c r="F495" s="151" t="n">
        <f aca="false">IF(AND(ISNUMBER('12_Datos_5m'!G495),N('12_Datos_5m'!G495)&gt;0),'12_Datos_5m'!H495/'12_Datos_5m'!G495,0.5)</f>
        <v>0.5</v>
      </c>
      <c r="G495" s="151" t="n">
        <f aca="false">IF(ISNUMBER(C495),($C$2-C495)/3600000,0)</f>
        <v>0</v>
      </c>
      <c r="H495" s="151" t="n">
        <f aca="false">EXP(-G495/'13_Mapa_Liq'!$B$7)</f>
        <v>1</v>
      </c>
      <c r="I495" s="151" t="n">
        <f aca="false">E495*F495*H495</f>
        <v>0</v>
      </c>
      <c r="J495" s="151" t="n">
        <f aca="false">E495*(1-F495)*H495</f>
        <v>0</v>
      </c>
      <c r="K495" s="151" t="n">
        <f aca="false">IF(COUNT('12_Datos_5m'!E496:E$504)=0,1000000000000,MIN('12_Datos_5m'!E496:E$504))</f>
        <v>1000000000000</v>
      </c>
      <c r="L495" s="151" t="n">
        <f aca="false">IF(COUNT('12_Datos_5m'!D496:D$504)=0,0,MAX('12_Datos_5m'!D496:D$504))</f>
        <v>0</v>
      </c>
      <c r="M495" s="151" t="str">
        <f aca="false">IF(ISNUMBER(B495),B495*(1-1/'13_Mapa_Liq'!$B$15+'13_Mapa_Liq'!$B$6),"")</f>
        <v/>
      </c>
      <c r="N495" s="151" t="n">
        <f aca="false">IF(ISNUMBER(B495),IF(K495&gt;M495,I495*'13_Mapa_Liq'!$C$15,0),0)</f>
        <v>0</v>
      </c>
      <c r="O495" s="151" t="str">
        <f aca="false">IF(ISNUMBER(B495),B495*(1+1/'13_Mapa_Liq'!$B$15-'13_Mapa_Liq'!$B$6),"")</f>
        <v/>
      </c>
      <c r="P495" s="151" t="n">
        <f aca="false">IF(ISNUMBER(B495),IF(L495&lt;O495,J495*'13_Mapa_Liq'!$C$15,0),0)</f>
        <v>0</v>
      </c>
      <c r="Q495" s="151" t="str">
        <f aca="false">IF(ISNUMBER(B495),B495*(1-1/'13_Mapa_Liq'!$B$16+'13_Mapa_Liq'!$B$6),"")</f>
        <v/>
      </c>
      <c r="R495" s="151" t="n">
        <f aca="false">IF(ISNUMBER(B495),IF(K495&gt;Q495,I495*'13_Mapa_Liq'!$C$16,0),0)</f>
        <v>0</v>
      </c>
      <c r="S495" s="151" t="str">
        <f aca="false">IF(ISNUMBER(B495),B495*(1+1/'13_Mapa_Liq'!$B$16-'13_Mapa_Liq'!$B$6),"")</f>
        <v/>
      </c>
      <c r="T495" s="151" t="n">
        <f aca="false">IF(ISNUMBER(B495),IF(L495&lt;S495,J495*'13_Mapa_Liq'!$C$16,0),0)</f>
        <v>0</v>
      </c>
      <c r="U495" s="151" t="str">
        <f aca="false">IF(ISNUMBER(B495),B495*(1-1/'13_Mapa_Liq'!$B$17+'13_Mapa_Liq'!$B$6),"")</f>
        <v/>
      </c>
      <c r="V495" s="151" t="n">
        <f aca="false">IF(ISNUMBER(B495),IF(K495&gt;U495,I495*'13_Mapa_Liq'!$C$17,0),0)</f>
        <v>0</v>
      </c>
      <c r="W495" s="151" t="str">
        <f aca="false">IF(ISNUMBER(B495),B495*(1+1/'13_Mapa_Liq'!$B$17-'13_Mapa_Liq'!$B$6),"")</f>
        <v/>
      </c>
      <c r="X495" s="151" t="n">
        <f aca="false">IF(ISNUMBER(B495),IF(L495&lt;W495,J495*'13_Mapa_Liq'!$C$17,0),0)</f>
        <v>0</v>
      </c>
      <c r="Y495" s="151" t="str">
        <f aca="false">IF(ISNUMBER(B495),B495*(1-1/'13_Mapa_Liq'!$B$18+'13_Mapa_Liq'!$B$6),"")</f>
        <v/>
      </c>
      <c r="Z495" s="151" t="n">
        <f aca="false">IF(ISNUMBER(B495),IF(K495&gt;Y495,I495*'13_Mapa_Liq'!$C$18,0),0)</f>
        <v>0</v>
      </c>
      <c r="AA495" s="151" t="str">
        <f aca="false">IF(ISNUMBER(B495),B495*(1+1/'13_Mapa_Liq'!$B$18-'13_Mapa_Liq'!$B$6),"")</f>
        <v/>
      </c>
      <c r="AB495" s="151" t="n">
        <f aca="false">IF(ISNUMBER(B495),IF(L495&lt;AA495,J495*'13_Mapa_Liq'!$C$18,0),0)</f>
        <v>0</v>
      </c>
      <c r="AC495" s="151" t="str">
        <f aca="false">IF(ISNUMBER(B495),B495*(1-1/'13_Mapa_Liq'!$B$19+'13_Mapa_Liq'!$B$6),"")</f>
        <v/>
      </c>
      <c r="AD495" s="151" t="n">
        <f aca="false">IF(ISNUMBER(B495),IF(K495&gt;AC495,I495*'13_Mapa_Liq'!$C$19,0),0)</f>
        <v>0</v>
      </c>
      <c r="AE495" s="151" t="str">
        <f aca="false">IF(ISNUMBER(B495),B495*(1+1/'13_Mapa_Liq'!$B$19-'13_Mapa_Liq'!$B$6),"")</f>
        <v/>
      </c>
      <c r="AF495" s="151" t="n">
        <f aca="false">IF(ISNUMBER(B495),IF(L495&lt;AE495,J495*'13_Mapa_Liq'!$C$19,0),0)</f>
        <v>0</v>
      </c>
      <c r="AG495" s="151"/>
      <c r="AH495" s="151" t="n">
        <f aca="false">IF(ISNUMBER(B495),E495*F495*((K495&lt;=M495)*'13_Mapa_Liq'!$C$15+(K495&lt;=Q495)*'13_Mapa_Liq'!$C$16+(K495&lt;=U495)*'13_Mapa_Liq'!$C$17+(K495&lt;=Y495)*'13_Mapa_Liq'!$C$18+(K495&lt;=AC495)*'13_Mapa_Liq'!$C$19),0)</f>
        <v>0</v>
      </c>
      <c r="AI495" s="151" t="n">
        <f aca="false">IF(ISNUMBER(B495),E495*(1-F495)*((L495&gt;=O495)*'13_Mapa_Liq'!$C$15+(L495&gt;=S495)*'13_Mapa_Liq'!$C$16+(L495&gt;=W495)*'13_Mapa_Liq'!$C$17+(L495&gt;=AA495)*'13_Mapa_Liq'!$C$18+(L495&gt;=AE495)*'13_Mapa_Liq'!$C$19),0)</f>
        <v>0</v>
      </c>
    </row>
    <row r="496" customFormat="false" ht="15" hidden="false" customHeight="false" outlineLevel="0" collapsed="false">
      <c r="A496" s="151" t="str">
        <f aca="false">IF(ISNUMBER('12_Datos_5m'!F496),ROW()-4,"")</f>
        <v/>
      </c>
      <c r="B496" s="151" t="str">
        <f aca="false">IF(ISNUMBER('12_Datos_5m'!F496),'12_Datos_5m'!F496,"")</f>
        <v/>
      </c>
      <c r="C496" s="151" t="str">
        <f aca="false">IF(ISNUMBER('12_Datos_5m'!A496),'12_Datos_5m'!A496,"")</f>
        <v/>
      </c>
      <c r="D496" s="151" t="n">
        <f aca="false">IF(AND(ISNUMBER('12_Datos_5m'!I496),ISNUMBER('12_Datos_5m'!I495)),'12_Datos_5m'!I496-'12_Datos_5m'!I495,0)</f>
        <v>0</v>
      </c>
      <c r="E496" s="151" t="n">
        <f aca="false">MAX(0,D496)</f>
        <v>0</v>
      </c>
      <c r="F496" s="151" t="n">
        <f aca="false">IF(AND(ISNUMBER('12_Datos_5m'!G496),N('12_Datos_5m'!G496)&gt;0),'12_Datos_5m'!H496/'12_Datos_5m'!G496,0.5)</f>
        <v>0.5</v>
      </c>
      <c r="G496" s="151" t="n">
        <f aca="false">IF(ISNUMBER(C496),($C$2-C496)/3600000,0)</f>
        <v>0</v>
      </c>
      <c r="H496" s="151" t="n">
        <f aca="false">EXP(-G496/'13_Mapa_Liq'!$B$7)</f>
        <v>1</v>
      </c>
      <c r="I496" s="151" t="n">
        <f aca="false">E496*F496*H496</f>
        <v>0</v>
      </c>
      <c r="J496" s="151" t="n">
        <f aca="false">E496*(1-F496)*H496</f>
        <v>0</v>
      </c>
      <c r="K496" s="151" t="n">
        <f aca="false">IF(COUNT('12_Datos_5m'!E497:E$504)=0,1000000000000,MIN('12_Datos_5m'!E497:E$504))</f>
        <v>1000000000000</v>
      </c>
      <c r="L496" s="151" t="n">
        <f aca="false">IF(COUNT('12_Datos_5m'!D497:D$504)=0,0,MAX('12_Datos_5m'!D497:D$504))</f>
        <v>0</v>
      </c>
      <c r="M496" s="151" t="str">
        <f aca="false">IF(ISNUMBER(B496),B496*(1-1/'13_Mapa_Liq'!$B$15+'13_Mapa_Liq'!$B$6),"")</f>
        <v/>
      </c>
      <c r="N496" s="151" t="n">
        <f aca="false">IF(ISNUMBER(B496),IF(K496&gt;M496,I496*'13_Mapa_Liq'!$C$15,0),0)</f>
        <v>0</v>
      </c>
      <c r="O496" s="151" t="str">
        <f aca="false">IF(ISNUMBER(B496),B496*(1+1/'13_Mapa_Liq'!$B$15-'13_Mapa_Liq'!$B$6),"")</f>
        <v/>
      </c>
      <c r="P496" s="151" t="n">
        <f aca="false">IF(ISNUMBER(B496),IF(L496&lt;O496,J496*'13_Mapa_Liq'!$C$15,0),0)</f>
        <v>0</v>
      </c>
      <c r="Q496" s="151" t="str">
        <f aca="false">IF(ISNUMBER(B496),B496*(1-1/'13_Mapa_Liq'!$B$16+'13_Mapa_Liq'!$B$6),"")</f>
        <v/>
      </c>
      <c r="R496" s="151" t="n">
        <f aca="false">IF(ISNUMBER(B496),IF(K496&gt;Q496,I496*'13_Mapa_Liq'!$C$16,0),0)</f>
        <v>0</v>
      </c>
      <c r="S496" s="151" t="str">
        <f aca="false">IF(ISNUMBER(B496),B496*(1+1/'13_Mapa_Liq'!$B$16-'13_Mapa_Liq'!$B$6),"")</f>
        <v/>
      </c>
      <c r="T496" s="151" t="n">
        <f aca="false">IF(ISNUMBER(B496),IF(L496&lt;S496,J496*'13_Mapa_Liq'!$C$16,0),0)</f>
        <v>0</v>
      </c>
      <c r="U496" s="151" t="str">
        <f aca="false">IF(ISNUMBER(B496),B496*(1-1/'13_Mapa_Liq'!$B$17+'13_Mapa_Liq'!$B$6),"")</f>
        <v/>
      </c>
      <c r="V496" s="151" t="n">
        <f aca="false">IF(ISNUMBER(B496),IF(K496&gt;U496,I496*'13_Mapa_Liq'!$C$17,0),0)</f>
        <v>0</v>
      </c>
      <c r="W496" s="151" t="str">
        <f aca="false">IF(ISNUMBER(B496),B496*(1+1/'13_Mapa_Liq'!$B$17-'13_Mapa_Liq'!$B$6),"")</f>
        <v/>
      </c>
      <c r="X496" s="151" t="n">
        <f aca="false">IF(ISNUMBER(B496),IF(L496&lt;W496,J496*'13_Mapa_Liq'!$C$17,0),0)</f>
        <v>0</v>
      </c>
      <c r="Y496" s="151" t="str">
        <f aca="false">IF(ISNUMBER(B496),B496*(1-1/'13_Mapa_Liq'!$B$18+'13_Mapa_Liq'!$B$6),"")</f>
        <v/>
      </c>
      <c r="Z496" s="151" t="n">
        <f aca="false">IF(ISNUMBER(B496),IF(K496&gt;Y496,I496*'13_Mapa_Liq'!$C$18,0),0)</f>
        <v>0</v>
      </c>
      <c r="AA496" s="151" t="str">
        <f aca="false">IF(ISNUMBER(B496),B496*(1+1/'13_Mapa_Liq'!$B$18-'13_Mapa_Liq'!$B$6),"")</f>
        <v/>
      </c>
      <c r="AB496" s="151" t="n">
        <f aca="false">IF(ISNUMBER(B496),IF(L496&lt;AA496,J496*'13_Mapa_Liq'!$C$18,0),0)</f>
        <v>0</v>
      </c>
      <c r="AC496" s="151" t="str">
        <f aca="false">IF(ISNUMBER(B496),B496*(1-1/'13_Mapa_Liq'!$B$19+'13_Mapa_Liq'!$B$6),"")</f>
        <v/>
      </c>
      <c r="AD496" s="151" t="n">
        <f aca="false">IF(ISNUMBER(B496),IF(K496&gt;AC496,I496*'13_Mapa_Liq'!$C$19,0),0)</f>
        <v>0</v>
      </c>
      <c r="AE496" s="151" t="str">
        <f aca="false">IF(ISNUMBER(B496),B496*(1+1/'13_Mapa_Liq'!$B$19-'13_Mapa_Liq'!$B$6),"")</f>
        <v/>
      </c>
      <c r="AF496" s="151" t="n">
        <f aca="false">IF(ISNUMBER(B496),IF(L496&lt;AE496,J496*'13_Mapa_Liq'!$C$19,0),0)</f>
        <v>0</v>
      </c>
      <c r="AG496" s="151"/>
      <c r="AH496" s="151" t="n">
        <f aca="false">IF(ISNUMBER(B496),E496*F496*((K496&lt;=M496)*'13_Mapa_Liq'!$C$15+(K496&lt;=Q496)*'13_Mapa_Liq'!$C$16+(K496&lt;=U496)*'13_Mapa_Liq'!$C$17+(K496&lt;=Y496)*'13_Mapa_Liq'!$C$18+(K496&lt;=AC496)*'13_Mapa_Liq'!$C$19),0)</f>
        <v>0</v>
      </c>
      <c r="AI496" s="151" t="n">
        <f aca="false">IF(ISNUMBER(B496),E496*(1-F496)*((L496&gt;=O496)*'13_Mapa_Liq'!$C$15+(L496&gt;=S496)*'13_Mapa_Liq'!$C$16+(L496&gt;=W496)*'13_Mapa_Liq'!$C$17+(L496&gt;=AA496)*'13_Mapa_Liq'!$C$18+(L496&gt;=AE496)*'13_Mapa_Liq'!$C$19),0)</f>
        <v>0</v>
      </c>
    </row>
    <row r="497" customFormat="false" ht="15" hidden="false" customHeight="false" outlineLevel="0" collapsed="false">
      <c r="A497" s="151" t="str">
        <f aca="false">IF(ISNUMBER('12_Datos_5m'!F497),ROW()-4,"")</f>
        <v/>
      </c>
      <c r="B497" s="151" t="str">
        <f aca="false">IF(ISNUMBER('12_Datos_5m'!F497),'12_Datos_5m'!F497,"")</f>
        <v/>
      </c>
      <c r="C497" s="151" t="str">
        <f aca="false">IF(ISNUMBER('12_Datos_5m'!A497),'12_Datos_5m'!A497,"")</f>
        <v/>
      </c>
      <c r="D497" s="151" t="n">
        <f aca="false">IF(AND(ISNUMBER('12_Datos_5m'!I497),ISNUMBER('12_Datos_5m'!I496)),'12_Datos_5m'!I497-'12_Datos_5m'!I496,0)</f>
        <v>0</v>
      </c>
      <c r="E497" s="151" t="n">
        <f aca="false">MAX(0,D497)</f>
        <v>0</v>
      </c>
      <c r="F497" s="151" t="n">
        <f aca="false">IF(AND(ISNUMBER('12_Datos_5m'!G497),N('12_Datos_5m'!G497)&gt;0),'12_Datos_5m'!H497/'12_Datos_5m'!G497,0.5)</f>
        <v>0.5</v>
      </c>
      <c r="G497" s="151" t="n">
        <f aca="false">IF(ISNUMBER(C497),($C$2-C497)/3600000,0)</f>
        <v>0</v>
      </c>
      <c r="H497" s="151" t="n">
        <f aca="false">EXP(-G497/'13_Mapa_Liq'!$B$7)</f>
        <v>1</v>
      </c>
      <c r="I497" s="151" t="n">
        <f aca="false">E497*F497*H497</f>
        <v>0</v>
      </c>
      <c r="J497" s="151" t="n">
        <f aca="false">E497*(1-F497)*H497</f>
        <v>0</v>
      </c>
      <c r="K497" s="151" t="n">
        <f aca="false">IF(COUNT('12_Datos_5m'!E498:E$504)=0,1000000000000,MIN('12_Datos_5m'!E498:E$504))</f>
        <v>1000000000000</v>
      </c>
      <c r="L497" s="151" t="n">
        <f aca="false">IF(COUNT('12_Datos_5m'!D498:D$504)=0,0,MAX('12_Datos_5m'!D498:D$504))</f>
        <v>0</v>
      </c>
      <c r="M497" s="151" t="str">
        <f aca="false">IF(ISNUMBER(B497),B497*(1-1/'13_Mapa_Liq'!$B$15+'13_Mapa_Liq'!$B$6),"")</f>
        <v/>
      </c>
      <c r="N497" s="151" t="n">
        <f aca="false">IF(ISNUMBER(B497),IF(K497&gt;M497,I497*'13_Mapa_Liq'!$C$15,0),0)</f>
        <v>0</v>
      </c>
      <c r="O497" s="151" t="str">
        <f aca="false">IF(ISNUMBER(B497),B497*(1+1/'13_Mapa_Liq'!$B$15-'13_Mapa_Liq'!$B$6),"")</f>
        <v/>
      </c>
      <c r="P497" s="151" t="n">
        <f aca="false">IF(ISNUMBER(B497),IF(L497&lt;O497,J497*'13_Mapa_Liq'!$C$15,0),0)</f>
        <v>0</v>
      </c>
      <c r="Q497" s="151" t="str">
        <f aca="false">IF(ISNUMBER(B497),B497*(1-1/'13_Mapa_Liq'!$B$16+'13_Mapa_Liq'!$B$6),"")</f>
        <v/>
      </c>
      <c r="R497" s="151" t="n">
        <f aca="false">IF(ISNUMBER(B497),IF(K497&gt;Q497,I497*'13_Mapa_Liq'!$C$16,0),0)</f>
        <v>0</v>
      </c>
      <c r="S497" s="151" t="str">
        <f aca="false">IF(ISNUMBER(B497),B497*(1+1/'13_Mapa_Liq'!$B$16-'13_Mapa_Liq'!$B$6),"")</f>
        <v/>
      </c>
      <c r="T497" s="151" t="n">
        <f aca="false">IF(ISNUMBER(B497),IF(L497&lt;S497,J497*'13_Mapa_Liq'!$C$16,0),0)</f>
        <v>0</v>
      </c>
      <c r="U497" s="151" t="str">
        <f aca="false">IF(ISNUMBER(B497),B497*(1-1/'13_Mapa_Liq'!$B$17+'13_Mapa_Liq'!$B$6),"")</f>
        <v/>
      </c>
      <c r="V497" s="151" t="n">
        <f aca="false">IF(ISNUMBER(B497),IF(K497&gt;U497,I497*'13_Mapa_Liq'!$C$17,0),0)</f>
        <v>0</v>
      </c>
      <c r="W497" s="151" t="str">
        <f aca="false">IF(ISNUMBER(B497),B497*(1+1/'13_Mapa_Liq'!$B$17-'13_Mapa_Liq'!$B$6),"")</f>
        <v/>
      </c>
      <c r="X497" s="151" t="n">
        <f aca="false">IF(ISNUMBER(B497),IF(L497&lt;W497,J497*'13_Mapa_Liq'!$C$17,0),0)</f>
        <v>0</v>
      </c>
      <c r="Y497" s="151" t="str">
        <f aca="false">IF(ISNUMBER(B497),B497*(1-1/'13_Mapa_Liq'!$B$18+'13_Mapa_Liq'!$B$6),"")</f>
        <v/>
      </c>
      <c r="Z497" s="151" t="n">
        <f aca="false">IF(ISNUMBER(B497),IF(K497&gt;Y497,I497*'13_Mapa_Liq'!$C$18,0),0)</f>
        <v>0</v>
      </c>
      <c r="AA497" s="151" t="str">
        <f aca="false">IF(ISNUMBER(B497),B497*(1+1/'13_Mapa_Liq'!$B$18-'13_Mapa_Liq'!$B$6),"")</f>
        <v/>
      </c>
      <c r="AB497" s="151" t="n">
        <f aca="false">IF(ISNUMBER(B497),IF(L497&lt;AA497,J497*'13_Mapa_Liq'!$C$18,0),0)</f>
        <v>0</v>
      </c>
      <c r="AC497" s="151" t="str">
        <f aca="false">IF(ISNUMBER(B497),B497*(1-1/'13_Mapa_Liq'!$B$19+'13_Mapa_Liq'!$B$6),"")</f>
        <v/>
      </c>
      <c r="AD497" s="151" t="n">
        <f aca="false">IF(ISNUMBER(B497),IF(K497&gt;AC497,I497*'13_Mapa_Liq'!$C$19,0),0)</f>
        <v>0</v>
      </c>
      <c r="AE497" s="151" t="str">
        <f aca="false">IF(ISNUMBER(B497),B497*(1+1/'13_Mapa_Liq'!$B$19-'13_Mapa_Liq'!$B$6),"")</f>
        <v/>
      </c>
      <c r="AF497" s="151" t="n">
        <f aca="false">IF(ISNUMBER(B497),IF(L497&lt;AE497,J497*'13_Mapa_Liq'!$C$19,0),0)</f>
        <v>0</v>
      </c>
      <c r="AG497" s="151"/>
      <c r="AH497" s="151" t="n">
        <f aca="false">IF(ISNUMBER(B497),E497*F497*((K497&lt;=M497)*'13_Mapa_Liq'!$C$15+(K497&lt;=Q497)*'13_Mapa_Liq'!$C$16+(K497&lt;=U497)*'13_Mapa_Liq'!$C$17+(K497&lt;=Y497)*'13_Mapa_Liq'!$C$18+(K497&lt;=AC497)*'13_Mapa_Liq'!$C$19),0)</f>
        <v>0</v>
      </c>
      <c r="AI497" s="151" t="n">
        <f aca="false">IF(ISNUMBER(B497),E497*(1-F497)*((L497&gt;=O497)*'13_Mapa_Liq'!$C$15+(L497&gt;=S497)*'13_Mapa_Liq'!$C$16+(L497&gt;=W497)*'13_Mapa_Liq'!$C$17+(L497&gt;=AA497)*'13_Mapa_Liq'!$C$18+(L497&gt;=AE497)*'13_Mapa_Liq'!$C$19),0)</f>
        <v>0</v>
      </c>
    </row>
    <row r="498" customFormat="false" ht="15" hidden="false" customHeight="false" outlineLevel="0" collapsed="false">
      <c r="A498" s="151" t="str">
        <f aca="false">IF(ISNUMBER('12_Datos_5m'!F498),ROW()-4,"")</f>
        <v/>
      </c>
      <c r="B498" s="151" t="str">
        <f aca="false">IF(ISNUMBER('12_Datos_5m'!F498),'12_Datos_5m'!F498,"")</f>
        <v/>
      </c>
      <c r="C498" s="151" t="str">
        <f aca="false">IF(ISNUMBER('12_Datos_5m'!A498),'12_Datos_5m'!A498,"")</f>
        <v/>
      </c>
      <c r="D498" s="151" t="n">
        <f aca="false">IF(AND(ISNUMBER('12_Datos_5m'!I498),ISNUMBER('12_Datos_5m'!I497)),'12_Datos_5m'!I498-'12_Datos_5m'!I497,0)</f>
        <v>0</v>
      </c>
      <c r="E498" s="151" t="n">
        <f aca="false">MAX(0,D498)</f>
        <v>0</v>
      </c>
      <c r="F498" s="151" t="n">
        <f aca="false">IF(AND(ISNUMBER('12_Datos_5m'!G498),N('12_Datos_5m'!G498)&gt;0),'12_Datos_5m'!H498/'12_Datos_5m'!G498,0.5)</f>
        <v>0.5</v>
      </c>
      <c r="G498" s="151" t="n">
        <f aca="false">IF(ISNUMBER(C498),($C$2-C498)/3600000,0)</f>
        <v>0</v>
      </c>
      <c r="H498" s="151" t="n">
        <f aca="false">EXP(-G498/'13_Mapa_Liq'!$B$7)</f>
        <v>1</v>
      </c>
      <c r="I498" s="151" t="n">
        <f aca="false">E498*F498*H498</f>
        <v>0</v>
      </c>
      <c r="J498" s="151" t="n">
        <f aca="false">E498*(1-F498)*H498</f>
        <v>0</v>
      </c>
      <c r="K498" s="151" t="n">
        <f aca="false">IF(COUNT('12_Datos_5m'!E499:E$504)=0,1000000000000,MIN('12_Datos_5m'!E499:E$504))</f>
        <v>1000000000000</v>
      </c>
      <c r="L498" s="151" t="n">
        <f aca="false">IF(COUNT('12_Datos_5m'!D499:D$504)=0,0,MAX('12_Datos_5m'!D499:D$504))</f>
        <v>0</v>
      </c>
      <c r="M498" s="151" t="str">
        <f aca="false">IF(ISNUMBER(B498),B498*(1-1/'13_Mapa_Liq'!$B$15+'13_Mapa_Liq'!$B$6),"")</f>
        <v/>
      </c>
      <c r="N498" s="151" t="n">
        <f aca="false">IF(ISNUMBER(B498),IF(K498&gt;M498,I498*'13_Mapa_Liq'!$C$15,0),0)</f>
        <v>0</v>
      </c>
      <c r="O498" s="151" t="str">
        <f aca="false">IF(ISNUMBER(B498),B498*(1+1/'13_Mapa_Liq'!$B$15-'13_Mapa_Liq'!$B$6),"")</f>
        <v/>
      </c>
      <c r="P498" s="151" t="n">
        <f aca="false">IF(ISNUMBER(B498),IF(L498&lt;O498,J498*'13_Mapa_Liq'!$C$15,0),0)</f>
        <v>0</v>
      </c>
      <c r="Q498" s="151" t="str">
        <f aca="false">IF(ISNUMBER(B498),B498*(1-1/'13_Mapa_Liq'!$B$16+'13_Mapa_Liq'!$B$6),"")</f>
        <v/>
      </c>
      <c r="R498" s="151" t="n">
        <f aca="false">IF(ISNUMBER(B498),IF(K498&gt;Q498,I498*'13_Mapa_Liq'!$C$16,0),0)</f>
        <v>0</v>
      </c>
      <c r="S498" s="151" t="str">
        <f aca="false">IF(ISNUMBER(B498),B498*(1+1/'13_Mapa_Liq'!$B$16-'13_Mapa_Liq'!$B$6),"")</f>
        <v/>
      </c>
      <c r="T498" s="151" t="n">
        <f aca="false">IF(ISNUMBER(B498),IF(L498&lt;S498,J498*'13_Mapa_Liq'!$C$16,0),0)</f>
        <v>0</v>
      </c>
      <c r="U498" s="151" t="str">
        <f aca="false">IF(ISNUMBER(B498),B498*(1-1/'13_Mapa_Liq'!$B$17+'13_Mapa_Liq'!$B$6),"")</f>
        <v/>
      </c>
      <c r="V498" s="151" t="n">
        <f aca="false">IF(ISNUMBER(B498),IF(K498&gt;U498,I498*'13_Mapa_Liq'!$C$17,0),0)</f>
        <v>0</v>
      </c>
      <c r="W498" s="151" t="str">
        <f aca="false">IF(ISNUMBER(B498),B498*(1+1/'13_Mapa_Liq'!$B$17-'13_Mapa_Liq'!$B$6),"")</f>
        <v/>
      </c>
      <c r="X498" s="151" t="n">
        <f aca="false">IF(ISNUMBER(B498),IF(L498&lt;W498,J498*'13_Mapa_Liq'!$C$17,0),0)</f>
        <v>0</v>
      </c>
      <c r="Y498" s="151" t="str">
        <f aca="false">IF(ISNUMBER(B498),B498*(1-1/'13_Mapa_Liq'!$B$18+'13_Mapa_Liq'!$B$6),"")</f>
        <v/>
      </c>
      <c r="Z498" s="151" t="n">
        <f aca="false">IF(ISNUMBER(B498),IF(K498&gt;Y498,I498*'13_Mapa_Liq'!$C$18,0),0)</f>
        <v>0</v>
      </c>
      <c r="AA498" s="151" t="str">
        <f aca="false">IF(ISNUMBER(B498),B498*(1+1/'13_Mapa_Liq'!$B$18-'13_Mapa_Liq'!$B$6),"")</f>
        <v/>
      </c>
      <c r="AB498" s="151" t="n">
        <f aca="false">IF(ISNUMBER(B498),IF(L498&lt;AA498,J498*'13_Mapa_Liq'!$C$18,0),0)</f>
        <v>0</v>
      </c>
      <c r="AC498" s="151" t="str">
        <f aca="false">IF(ISNUMBER(B498),B498*(1-1/'13_Mapa_Liq'!$B$19+'13_Mapa_Liq'!$B$6),"")</f>
        <v/>
      </c>
      <c r="AD498" s="151" t="n">
        <f aca="false">IF(ISNUMBER(B498),IF(K498&gt;AC498,I498*'13_Mapa_Liq'!$C$19,0),0)</f>
        <v>0</v>
      </c>
      <c r="AE498" s="151" t="str">
        <f aca="false">IF(ISNUMBER(B498),B498*(1+1/'13_Mapa_Liq'!$B$19-'13_Mapa_Liq'!$B$6),"")</f>
        <v/>
      </c>
      <c r="AF498" s="151" t="n">
        <f aca="false">IF(ISNUMBER(B498),IF(L498&lt;AE498,J498*'13_Mapa_Liq'!$C$19,0),0)</f>
        <v>0</v>
      </c>
      <c r="AG498" s="151"/>
      <c r="AH498" s="151" t="n">
        <f aca="false">IF(ISNUMBER(B498),E498*F498*((K498&lt;=M498)*'13_Mapa_Liq'!$C$15+(K498&lt;=Q498)*'13_Mapa_Liq'!$C$16+(K498&lt;=U498)*'13_Mapa_Liq'!$C$17+(K498&lt;=Y498)*'13_Mapa_Liq'!$C$18+(K498&lt;=AC498)*'13_Mapa_Liq'!$C$19),0)</f>
        <v>0</v>
      </c>
      <c r="AI498" s="151" t="n">
        <f aca="false">IF(ISNUMBER(B498),E498*(1-F498)*((L498&gt;=O498)*'13_Mapa_Liq'!$C$15+(L498&gt;=S498)*'13_Mapa_Liq'!$C$16+(L498&gt;=W498)*'13_Mapa_Liq'!$C$17+(L498&gt;=AA498)*'13_Mapa_Liq'!$C$18+(L498&gt;=AE498)*'13_Mapa_Liq'!$C$19),0)</f>
        <v>0</v>
      </c>
    </row>
    <row r="499" customFormat="false" ht="15" hidden="false" customHeight="false" outlineLevel="0" collapsed="false">
      <c r="A499" s="151" t="str">
        <f aca="false">IF(ISNUMBER('12_Datos_5m'!F499),ROW()-4,"")</f>
        <v/>
      </c>
      <c r="B499" s="151" t="str">
        <f aca="false">IF(ISNUMBER('12_Datos_5m'!F499),'12_Datos_5m'!F499,"")</f>
        <v/>
      </c>
      <c r="C499" s="151" t="str">
        <f aca="false">IF(ISNUMBER('12_Datos_5m'!A499),'12_Datos_5m'!A499,"")</f>
        <v/>
      </c>
      <c r="D499" s="151" t="n">
        <f aca="false">IF(AND(ISNUMBER('12_Datos_5m'!I499),ISNUMBER('12_Datos_5m'!I498)),'12_Datos_5m'!I499-'12_Datos_5m'!I498,0)</f>
        <v>0</v>
      </c>
      <c r="E499" s="151" t="n">
        <f aca="false">MAX(0,D499)</f>
        <v>0</v>
      </c>
      <c r="F499" s="151" t="n">
        <f aca="false">IF(AND(ISNUMBER('12_Datos_5m'!G499),N('12_Datos_5m'!G499)&gt;0),'12_Datos_5m'!H499/'12_Datos_5m'!G499,0.5)</f>
        <v>0.5</v>
      </c>
      <c r="G499" s="151" t="n">
        <f aca="false">IF(ISNUMBER(C499),($C$2-C499)/3600000,0)</f>
        <v>0</v>
      </c>
      <c r="H499" s="151" t="n">
        <f aca="false">EXP(-G499/'13_Mapa_Liq'!$B$7)</f>
        <v>1</v>
      </c>
      <c r="I499" s="151" t="n">
        <f aca="false">E499*F499*H499</f>
        <v>0</v>
      </c>
      <c r="J499" s="151" t="n">
        <f aca="false">E499*(1-F499)*H499</f>
        <v>0</v>
      </c>
      <c r="K499" s="151" t="n">
        <f aca="false">IF(COUNT('12_Datos_5m'!E500:E$504)=0,1000000000000,MIN('12_Datos_5m'!E500:E$504))</f>
        <v>1000000000000</v>
      </c>
      <c r="L499" s="151" t="n">
        <f aca="false">IF(COUNT('12_Datos_5m'!D500:D$504)=0,0,MAX('12_Datos_5m'!D500:D$504))</f>
        <v>0</v>
      </c>
      <c r="M499" s="151" t="str">
        <f aca="false">IF(ISNUMBER(B499),B499*(1-1/'13_Mapa_Liq'!$B$15+'13_Mapa_Liq'!$B$6),"")</f>
        <v/>
      </c>
      <c r="N499" s="151" t="n">
        <f aca="false">IF(ISNUMBER(B499),IF(K499&gt;M499,I499*'13_Mapa_Liq'!$C$15,0),0)</f>
        <v>0</v>
      </c>
      <c r="O499" s="151" t="str">
        <f aca="false">IF(ISNUMBER(B499),B499*(1+1/'13_Mapa_Liq'!$B$15-'13_Mapa_Liq'!$B$6),"")</f>
        <v/>
      </c>
      <c r="P499" s="151" t="n">
        <f aca="false">IF(ISNUMBER(B499),IF(L499&lt;O499,J499*'13_Mapa_Liq'!$C$15,0),0)</f>
        <v>0</v>
      </c>
      <c r="Q499" s="151" t="str">
        <f aca="false">IF(ISNUMBER(B499),B499*(1-1/'13_Mapa_Liq'!$B$16+'13_Mapa_Liq'!$B$6),"")</f>
        <v/>
      </c>
      <c r="R499" s="151" t="n">
        <f aca="false">IF(ISNUMBER(B499),IF(K499&gt;Q499,I499*'13_Mapa_Liq'!$C$16,0),0)</f>
        <v>0</v>
      </c>
      <c r="S499" s="151" t="str">
        <f aca="false">IF(ISNUMBER(B499),B499*(1+1/'13_Mapa_Liq'!$B$16-'13_Mapa_Liq'!$B$6),"")</f>
        <v/>
      </c>
      <c r="T499" s="151" t="n">
        <f aca="false">IF(ISNUMBER(B499),IF(L499&lt;S499,J499*'13_Mapa_Liq'!$C$16,0),0)</f>
        <v>0</v>
      </c>
      <c r="U499" s="151" t="str">
        <f aca="false">IF(ISNUMBER(B499),B499*(1-1/'13_Mapa_Liq'!$B$17+'13_Mapa_Liq'!$B$6),"")</f>
        <v/>
      </c>
      <c r="V499" s="151" t="n">
        <f aca="false">IF(ISNUMBER(B499),IF(K499&gt;U499,I499*'13_Mapa_Liq'!$C$17,0),0)</f>
        <v>0</v>
      </c>
      <c r="W499" s="151" t="str">
        <f aca="false">IF(ISNUMBER(B499),B499*(1+1/'13_Mapa_Liq'!$B$17-'13_Mapa_Liq'!$B$6),"")</f>
        <v/>
      </c>
      <c r="X499" s="151" t="n">
        <f aca="false">IF(ISNUMBER(B499),IF(L499&lt;W499,J499*'13_Mapa_Liq'!$C$17,0),0)</f>
        <v>0</v>
      </c>
      <c r="Y499" s="151" t="str">
        <f aca="false">IF(ISNUMBER(B499),B499*(1-1/'13_Mapa_Liq'!$B$18+'13_Mapa_Liq'!$B$6),"")</f>
        <v/>
      </c>
      <c r="Z499" s="151" t="n">
        <f aca="false">IF(ISNUMBER(B499),IF(K499&gt;Y499,I499*'13_Mapa_Liq'!$C$18,0),0)</f>
        <v>0</v>
      </c>
      <c r="AA499" s="151" t="str">
        <f aca="false">IF(ISNUMBER(B499),B499*(1+1/'13_Mapa_Liq'!$B$18-'13_Mapa_Liq'!$B$6),"")</f>
        <v/>
      </c>
      <c r="AB499" s="151" t="n">
        <f aca="false">IF(ISNUMBER(B499),IF(L499&lt;AA499,J499*'13_Mapa_Liq'!$C$18,0),0)</f>
        <v>0</v>
      </c>
      <c r="AC499" s="151" t="str">
        <f aca="false">IF(ISNUMBER(B499),B499*(1-1/'13_Mapa_Liq'!$B$19+'13_Mapa_Liq'!$B$6),"")</f>
        <v/>
      </c>
      <c r="AD499" s="151" t="n">
        <f aca="false">IF(ISNUMBER(B499),IF(K499&gt;AC499,I499*'13_Mapa_Liq'!$C$19,0),0)</f>
        <v>0</v>
      </c>
      <c r="AE499" s="151" t="str">
        <f aca="false">IF(ISNUMBER(B499),B499*(1+1/'13_Mapa_Liq'!$B$19-'13_Mapa_Liq'!$B$6),"")</f>
        <v/>
      </c>
      <c r="AF499" s="151" t="n">
        <f aca="false">IF(ISNUMBER(B499),IF(L499&lt;AE499,J499*'13_Mapa_Liq'!$C$19,0),0)</f>
        <v>0</v>
      </c>
      <c r="AG499" s="151"/>
      <c r="AH499" s="151" t="n">
        <f aca="false">IF(ISNUMBER(B499),E499*F499*((K499&lt;=M499)*'13_Mapa_Liq'!$C$15+(K499&lt;=Q499)*'13_Mapa_Liq'!$C$16+(K499&lt;=U499)*'13_Mapa_Liq'!$C$17+(K499&lt;=Y499)*'13_Mapa_Liq'!$C$18+(K499&lt;=AC499)*'13_Mapa_Liq'!$C$19),0)</f>
        <v>0</v>
      </c>
      <c r="AI499" s="151" t="n">
        <f aca="false">IF(ISNUMBER(B499),E499*(1-F499)*((L499&gt;=O499)*'13_Mapa_Liq'!$C$15+(L499&gt;=S499)*'13_Mapa_Liq'!$C$16+(L499&gt;=W499)*'13_Mapa_Liq'!$C$17+(L499&gt;=AA499)*'13_Mapa_Liq'!$C$18+(L499&gt;=AE499)*'13_Mapa_Liq'!$C$19),0)</f>
        <v>0</v>
      </c>
    </row>
    <row r="500" customFormat="false" ht="15" hidden="false" customHeight="false" outlineLevel="0" collapsed="false">
      <c r="A500" s="151" t="str">
        <f aca="false">IF(ISNUMBER('12_Datos_5m'!F500),ROW()-4,"")</f>
        <v/>
      </c>
      <c r="B500" s="151" t="str">
        <f aca="false">IF(ISNUMBER('12_Datos_5m'!F500),'12_Datos_5m'!F500,"")</f>
        <v/>
      </c>
      <c r="C500" s="151" t="str">
        <f aca="false">IF(ISNUMBER('12_Datos_5m'!A500),'12_Datos_5m'!A500,"")</f>
        <v/>
      </c>
      <c r="D500" s="151" t="n">
        <f aca="false">IF(AND(ISNUMBER('12_Datos_5m'!I500),ISNUMBER('12_Datos_5m'!I499)),'12_Datos_5m'!I500-'12_Datos_5m'!I499,0)</f>
        <v>0</v>
      </c>
      <c r="E500" s="151" t="n">
        <f aca="false">MAX(0,D500)</f>
        <v>0</v>
      </c>
      <c r="F500" s="151" t="n">
        <f aca="false">IF(AND(ISNUMBER('12_Datos_5m'!G500),N('12_Datos_5m'!G500)&gt;0),'12_Datos_5m'!H500/'12_Datos_5m'!G500,0.5)</f>
        <v>0.5</v>
      </c>
      <c r="G500" s="151" t="n">
        <f aca="false">IF(ISNUMBER(C500),($C$2-C500)/3600000,0)</f>
        <v>0</v>
      </c>
      <c r="H500" s="151" t="n">
        <f aca="false">EXP(-G500/'13_Mapa_Liq'!$B$7)</f>
        <v>1</v>
      </c>
      <c r="I500" s="151" t="n">
        <f aca="false">E500*F500*H500</f>
        <v>0</v>
      </c>
      <c r="J500" s="151" t="n">
        <f aca="false">E500*(1-F500)*H500</f>
        <v>0</v>
      </c>
      <c r="K500" s="151" t="n">
        <f aca="false">IF(COUNT('12_Datos_5m'!E501:E$504)=0,1000000000000,MIN('12_Datos_5m'!E501:E$504))</f>
        <v>1000000000000</v>
      </c>
      <c r="L500" s="151" t="n">
        <f aca="false">IF(COUNT('12_Datos_5m'!D501:D$504)=0,0,MAX('12_Datos_5m'!D501:D$504))</f>
        <v>0</v>
      </c>
      <c r="M500" s="151" t="str">
        <f aca="false">IF(ISNUMBER(B500),B500*(1-1/'13_Mapa_Liq'!$B$15+'13_Mapa_Liq'!$B$6),"")</f>
        <v/>
      </c>
      <c r="N500" s="151" t="n">
        <f aca="false">IF(ISNUMBER(B500),IF(K500&gt;M500,I500*'13_Mapa_Liq'!$C$15,0),0)</f>
        <v>0</v>
      </c>
      <c r="O500" s="151" t="str">
        <f aca="false">IF(ISNUMBER(B500),B500*(1+1/'13_Mapa_Liq'!$B$15-'13_Mapa_Liq'!$B$6),"")</f>
        <v/>
      </c>
      <c r="P500" s="151" t="n">
        <f aca="false">IF(ISNUMBER(B500),IF(L500&lt;O500,J500*'13_Mapa_Liq'!$C$15,0),0)</f>
        <v>0</v>
      </c>
      <c r="Q500" s="151" t="str">
        <f aca="false">IF(ISNUMBER(B500),B500*(1-1/'13_Mapa_Liq'!$B$16+'13_Mapa_Liq'!$B$6),"")</f>
        <v/>
      </c>
      <c r="R500" s="151" t="n">
        <f aca="false">IF(ISNUMBER(B500),IF(K500&gt;Q500,I500*'13_Mapa_Liq'!$C$16,0),0)</f>
        <v>0</v>
      </c>
      <c r="S500" s="151" t="str">
        <f aca="false">IF(ISNUMBER(B500),B500*(1+1/'13_Mapa_Liq'!$B$16-'13_Mapa_Liq'!$B$6),"")</f>
        <v/>
      </c>
      <c r="T500" s="151" t="n">
        <f aca="false">IF(ISNUMBER(B500),IF(L500&lt;S500,J500*'13_Mapa_Liq'!$C$16,0),0)</f>
        <v>0</v>
      </c>
      <c r="U500" s="151" t="str">
        <f aca="false">IF(ISNUMBER(B500),B500*(1-1/'13_Mapa_Liq'!$B$17+'13_Mapa_Liq'!$B$6),"")</f>
        <v/>
      </c>
      <c r="V500" s="151" t="n">
        <f aca="false">IF(ISNUMBER(B500),IF(K500&gt;U500,I500*'13_Mapa_Liq'!$C$17,0),0)</f>
        <v>0</v>
      </c>
      <c r="W500" s="151" t="str">
        <f aca="false">IF(ISNUMBER(B500),B500*(1+1/'13_Mapa_Liq'!$B$17-'13_Mapa_Liq'!$B$6),"")</f>
        <v/>
      </c>
      <c r="X500" s="151" t="n">
        <f aca="false">IF(ISNUMBER(B500),IF(L500&lt;W500,J500*'13_Mapa_Liq'!$C$17,0),0)</f>
        <v>0</v>
      </c>
      <c r="Y500" s="151" t="str">
        <f aca="false">IF(ISNUMBER(B500),B500*(1-1/'13_Mapa_Liq'!$B$18+'13_Mapa_Liq'!$B$6),"")</f>
        <v/>
      </c>
      <c r="Z500" s="151" t="n">
        <f aca="false">IF(ISNUMBER(B500),IF(K500&gt;Y500,I500*'13_Mapa_Liq'!$C$18,0),0)</f>
        <v>0</v>
      </c>
      <c r="AA500" s="151" t="str">
        <f aca="false">IF(ISNUMBER(B500),B500*(1+1/'13_Mapa_Liq'!$B$18-'13_Mapa_Liq'!$B$6),"")</f>
        <v/>
      </c>
      <c r="AB500" s="151" t="n">
        <f aca="false">IF(ISNUMBER(B500),IF(L500&lt;AA500,J500*'13_Mapa_Liq'!$C$18,0),0)</f>
        <v>0</v>
      </c>
      <c r="AC500" s="151" t="str">
        <f aca="false">IF(ISNUMBER(B500),B500*(1-1/'13_Mapa_Liq'!$B$19+'13_Mapa_Liq'!$B$6),"")</f>
        <v/>
      </c>
      <c r="AD500" s="151" t="n">
        <f aca="false">IF(ISNUMBER(B500),IF(K500&gt;AC500,I500*'13_Mapa_Liq'!$C$19,0),0)</f>
        <v>0</v>
      </c>
      <c r="AE500" s="151" t="str">
        <f aca="false">IF(ISNUMBER(B500),B500*(1+1/'13_Mapa_Liq'!$B$19-'13_Mapa_Liq'!$B$6),"")</f>
        <v/>
      </c>
      <c r="AF500" s="151" t="n">
        <f aca="false">IF(ISNUMBER(B500),IF(L500&lt;AE500,J500*'13_Mapa_Liq'!$C$19,0),0)</f>
        <v>0</v>
      </c>
      <c r="AG500" s="151"/>
      <c r="AH500" s="151" t="n">
        <f aca="false">IF(ISNUMBER(B500),E500*F500*((K500&lt;=M500)*'13_Mapa_Liq'!$C$15+(K500&lt;=Q500)*'13_Mapa_Liq'!$C$16+(K500&lt;=U500)*'13_Mapa_Liq'!$C$17+(K500&lt;=Y500)*'13_Mapa_Liq'!$C$18+(K500&lt;=AC500)*'13_Mapa_Liq'!$C$19),0)</f>
        <v>0</v>
      </c>
      <c r="AI500" s="151" t="n">
        <f aca="false">IF(ISNUMBER(B500),E500*(1-F500)*((L500&gt;=O500)*'13_Mapa_Liq'!$C$15+(L500&gt;=S500)*'13_Mapa_Liq'!$C$16+(L500&gt;=W500)*'13_Mapa_Liq'!$C$17+(L500&gt;=AA500)*'13_Mapa_Liq'!$C$18+(L500&gt;=AE500)*'13_Mapa_Liq'!$C$19),0)</f>
        <v>0</v>
      </c>
    </row>
    <row r="501" customFormat="false" ht="15" hidden="false" customHeight="false" outlineLevel="0" collapsed="false">
      <c r="A501" s="151" t="str">
        <f aca="false">IF(ISNUMBER('12_Datos_5m'!F501),ROW()-4,"")</f>
        <v/>
      </c>
      <c r="B501" s="151" t="str">
        <f aca="false">IF(ISNUMBER('12_Datos_5m'!F501),'12_Datos_5m'!F501,"")</f>
        <v/>
      </c>
      <c r="C501" s="151" t="str">
        <f aca="false">IF(ISNUMBER('12_Datos_5m'!A501),'12_Datos_5m'!A501,"")</f>
        <v/>
      </c>
      <c r="D501" s="151" t="n">
        <f aca="false">IF(AND(ISNUMBER('12_Datos_5m'!I501),ISNUMBER('12_Datos_5m'!I500)),'12_Datos_5m'!I501-'12_Datos_5m'!I500,0)</f>
        <v>0</v>
      </c>
      <c r="E501" s="151" t="n">
        <f aca="false">MAX(0,D501)</f>
        <v>0</v>
      </c>
      <c r="F501" s="151" t="n">
        <f aca="false">IF(AND(ISNUMBER('12_Datos_5m'!G501),N('12_Datos_5m'!G501)&gt;0),'12_Datos_5m'!H501/'12_Datos_5m'!G501,0.5)</f>
        <v>0.5</v>
      </c>
      <c r="G501" s="151" t="n">
        <f aca="false">IF(ISNUMBER(C501),($C$2-C501)/3600000,0)</f>
        <v>0</v>
      </c>
      <c r="H501" s="151" t="n">
        <f aca="false">EXP(-G501/'13_Mapa_Liq'!$B$7)</f>
        <v>1</v>
      </c>
      <c r="I501" s="151" t="n">
        <f aca="false">E501*F501*H501</f>
        <v>0</v>
      </c>
      <c r="J501" s="151" t="n">
        <f aca="false">E501*(1-F501)*H501</f>
        <v>0</v>
      </c>
      <c r="K501" s="151" t="n">
        <f aca="false">IF(COUNT('12_Datos_5m'!E502:E$504)=0,1000000000000,MIN('12_Datos_5m'!E502:E$504))</f>
        <v>1000000000000</v>
      </c>
      <c r="L501" s="151" t="n">
        <f aca="false">IF(COUNT('12_Datos_5m'!D502:D$504)=0,0,MAX('12_Datos_5m'!D502:D$504))</f>
        <v>0</v>
      </c>
      <c r="M501" s="151" t="str">
        <f aca="false">IF(ISNUMBER(B501),B501*(1-1/'13_Mapa_Liq'!$B$15+'13_Mapa_Liq'!$B$6),"")</f>
        <v/>
      </c>
      <c r="N501" s="151" t="n">
        <f aca="false">IF(ISNUMBER(B501),IF(K501&gt;M501,I501*'13_Mapa_Liq'!$C$15,0),0)</f>
        <v>0</v>
      </c>
      <c r="O501" s="151" t="str">
        <f aca="false">IF(ISNUMBER(B501),B501*(1+1/'13_Mapa_Liq'!$B$15-'13_Mapa_Liq'!$B$6),"")</f>
        <v/>
      </c>
      <c r="P501" s="151" t="n">
        <f aca="false">IF(ISNUMBER(B501),IF(L501&lt;O501,J501*'13_Mapa_Liq'!$C$15,0),0)</f>
        <v>0</v>
      </c>
      <c r="Q501" s="151" t="str">
        <f aca="false">IF(ISNUMBER(B501),B501*(1-1/'13_Mapa_Liq'!$B$16+'13_Mapa_Liq'!$B$6),"")</f>
        <v/>
      </c>
      <c r="R501" s="151" t="n">
        <f aca="false">IF(ISNUMBER(B501),IF(K501&gt;Q501,I501*'13_Mapa_Liq'!$C$16,0),0)</f>
        <v>0</v>
      </c>
      <c r="S501" s="151" t="str">
        <f aca="false">IF(ISNUMBER(B501),B501*(1+1/'13_Mapa_Liq'!$B$16-'13_Mapa_Liq'!$B$6),"")</f>
        <v/>
      </c>
      <c r="T501" s="151" t="n">
        <f aca="false">IF(ISNUMBER(B501),IF(L501&lt;S501,J501*'13_Mapa_Liq'!$C$16,0),0)</f>
        <v>0</v>
      </c>
      <c r="U501" s="151" t="str">
        <f aca="false">IF(ISNUMBER(B501),B501*(1-1/'13_Mapa_Liq'!$B$17+'13_Mapa_Liq'!$B$6),"")</f>
        <v/>
      </c>
      <c r="V501" s="151" t="n">
        <f aca="false">IF(ISNUMBER(B501),IF(K501&gt;U501,I501*'13_Mapa_Liq'!$C$17,0),0)</f>
        <v>0</v>
      </c>
      <c r="W501" s="151" t="str">
        <f aca="false">IF(ISNUMBER(B501),B501*(1+1/'13_Mapa_Liq'!$B$17-'13_Mapa_Liq'!$B$6),"")</f>
        <v/>
      </c>
      <c r="X501" s="151" t="n">
        <f aca="false">IF(ISNUMBER(B501),IF(L501&lt;W501,J501*'13_Mapa_Liq'!$C$17,0),0)</f>
        <v>0</v>
      </c>
      <c r="Y501" s="151" t="str">
        <f aca="false">IF(ISNUMBER(B501),B501*(1-1/'13_Mapa_Liq'!$B$18+'13_Mapa_Liq'!$B$6),"")</f>
        <v/>
      </c>
      <c r="Z501" s="151" t="n">
        <f aca="false">IF(ISNUMBER(B501),IF(K501&gt;Y501,I501*'13_Mapa_Liq'!$C$18,0),0)</f>
        <v>0</v>
      </c>
      <c r="AA501" s="151" t="str">
        <f aca="false">IF(ISNUMBER(B501),B501*(1+1/'13_Mapa_Liq'!$B$18-'13_Mapa_Liq'!$B$6),"")</f>
        <v/>
      </c>
      <c r="AB501" s="151" t="n">
        <f aca="false">IF(ISNUMBER(B501),IF(L501&lt;AA501,J501*'13_Mapa_Liq'!$C$18,0),0)</f>
        <v>0</v>
      </c>
      <c r="AC501" s="151" t="str">
        <f aca="false">IF(ISNUMBER(B501),B501*(1-1/'13_Mapa_Liq'!$B$19+'13_Mapa_Liq'!$B$6),"")</f>
        <v/>
      </c>
      <c r="AD501" s="151" t="n">
        <f aca="false">IF(ISNUMBER(B501),IF(K501&gt;AC501,I501*'13_Mapa_Liq'!$C$19,0),0)</f>
        <v>0</v>
      </c>
      <c r="AE501" s="151" t="str">
        <f aca="false">IF(ISNUMBER(B501),B501*(1+1/'13_Mapa_Liq'!$B$19-'13_Mapa_Liq'!$B$6),"")</f>
        <v/>
      </c>
      <c r="AF501" s="151" t="n">
        <f aca="false">IF(ISNUMBER(B501),IF(L501&lt;AE501,J501*'13_Mapa_Liq'!$C$19,0),0)</f>
        <v>0</v>
      </c>
      <c r="AG501" s="151"/>
      <c r="AH501" s="151" t="n">
        <f aca="false">IF(ISNUMBER(B501),E501*F501*((K501&lt;=M501)*'13_Mapa_Liq'!$C$15+(K501&lt;=Q501)*'13_Mapa_Liq'!$C$16+(K501&lt;=U501)*'13_Mapa_Liq'!$C$17+(K501&lt;=Y501)*'13_Mapa_Liq'!$C$18+(K501&lt;=AC501)*'13_Mapa_Liq'!$C$19),0)</f>
        <v>0</v>
      </c>
      <c r="AI501" s="151" t="n">
        <f aca="false">IF(ISNUMBER(B501),E501*(1-F501)*((L501&gt;=O501)*'13_Mapa_Liq'!$C$15+(L501&gt;=S501)*'13_Mapa_Liq'!$C$16+(L501&gt;=W501)*'13_Mapa_Liq'!$C$17+(L501&gt;=AA501)*'13_Mapa_Liq'!$C$18+(L501&gt;=AE501)*'13_Mapa_Liq'!$C$19),0)</f>
        <v>0</v>
      </c>
    </row>
    <row r="502" customFormat="false" ht="15" hidden="false" customHeight="false" outlineLevel="0" collapsed="false">
      <c r="A502" s="151" t="str">
        <f aca="false">IF(ISNUMBER('12_Datos_5m'!F502),ROW()-4,"")</f>
        <v/>
      </c>
      <c r="B502" s="151" t="str">
        <f aca="false">IF(ISNUMBER('12_Datos_5m'!F502),'12_Datos_5m'!F502,"")</f>
        <v/>
      </c>
      <c r="C502" s="151" t="str">
        <f aca="false">IF(ISNUMBER('12_Datos_5m'!A502),'12_Datos_5m'!A502,"")</f>
        <v/>
      </c>
      <c r="D502" s="151" t="n">
        <f aca="false">IF(AND(ISNUMBER('12_Datos_5m'!I502),ISNUMBER('12_Datos_5m'!I501)),'12_Datos_5m'!I502-'12_Datos_5m'!I501,0)</f>
        <v>0</v>
      </c>
      <c r="E502" s="151" t="n">
        <f aca="false">MAX(0,D502)</f>
        <v>0</v>
      </c>
      <c r="F502" s="151" t="n">
        <f aca="false">IF(AND(ISNUMBER('12_Datos_5m'!G502),N('12_Datos_5m'!G502)&gt;0),'12_Datos_5m'!H502/'12_Datos_5m'!G502,0.5)</f>
        <v>0.5</v>
      </c>
      <c r="G502" s="151" t="n">
        <f aca="false">IF(ISNUMBER(C502),($C$2-C502)/3600000,0)</f>
        <v>0</v>
      </c>
      <c r="H502" s="151" t="n">
        <f aca="false">EXP(-G502/'13_Mapa_Liq'!$B$7)</f>
        <v>1</v>
      </c>
      <c r="I502" s="151" t="n">
        <f aca="false">E502*F502*H502</f>
        <v>0</v>
      </c>
      <c r="J502" s="151" t="n">
        <f aca="false">E502*(1-F502)*H502</f>
        <v>0</v>
      </c>
      <c r="K502" s="151" t="n">
        <f aca="false">IF(COUNT('12_Datos_5m'!E503:E$504)=0,1000000000000,MIN('12_Datos_5m'!E503:E$504))</f>
        <v>1000000000000</v>
      </c>
      <c r="L502" s="151" t="n">
        <f aca="false">IF(COUNT('12_Datos_5m'!D503:D$504)=0,0,MAX('12_Datos_5m'!D503:D$504))</f>
        <v>0</v>
      </c>
      <c r="M502" s="151" t="str">
        <f aca="false">IF(ISNUMBER(B502),B502*(1-1/'13_Mapa_Liq'!$B$15+'13_Mapa_Liq'!$B$6),"")</f>
        <v/>
      </c>
      <c r="N502" s="151" t="n">
        <f aca="false">IF(ISNUMBER(B502),IF(K502&gt;M502,I502*'13_Mapa_Liq'!$C$15,0),0)</f>
        <v>0</v>
      </c>
      <c r="O502" s="151" t="str">
        <f aca="false">IF(ISNUMBER(B502),B502*(1+1/'13_Mapa_Liq'!$B$15-'13_Mapa_Liq'!$B$6),"")</f>
        <v/>
      </c>
      <c r="P502" s="151" t="n">
        <f aca="false">IF(ISNUMBER(B502),IF(L502&lt;O502,J502*'13_Mapa_Liq'!$C$15,0),0)</f>
        <v>0</v>
      </c>
      <c r="Q502" s="151" t="str">
        <f aca="false">IF(ISNUMBER(B502),B502*(1-1/'13_Mapa_Liq'!$B$16+'13_Mapa_Liq'!$B$6),"")</f>
        <v/>
      </c>
      <c r="R502" s="151" t="n">
        <f aca="false">IF(ISNUMBER(B502),IF(K502&gt;Q502,I502*'13_Mapa_Liq'!$C$16,0),0)</f>
        <v>0</v>
      </c>
      <c r="S502" s="151" t="str">
        <f aca="false">IF(ISNUMBER(B502),B502*(1+1/'13_Mapa_Liq'!$B$16-'13_Mapa_Liq'!$B$6),"")</f>
        <v/>
      </c>
      <c r="T502" s="151" t="n">
        <f aca="false">IF(ISNUMBER(B502),IF(L502&lt;S502,J502*'13_Mapa_Liq'!$C$16,0),0)</f>
        <v>0</v>
      </c>
      <c r="U502" s="151" t="str">
        <f aca="false">IF(ISNUMBER(B502),B502*(1-1/'13_Mapa_Liq'!$B$17+'13_Mapa_Liq'!$B$6),"")</f>
        <v/>
      </c>
      <c r="V502" s="151" t="n">
        <f aca="false">IF(ISNUMBER(B502),IF(K502&gt;U502,I502*'13_Mapa_Liq'!$C$17,0),0)</f>
        <v>0</v>
      </c>
      <c r="W502" s="151" t="str">
        <f aca="false">IF(ISNUMBER(B502),B502*(1+1/'13_Mapa_Liq'!$B$17-'13_Mapa_Liq'!$B$6),"")</f>
        <v/>
      </c>
      <c r="X502" s="151" t="n">
        <f aca="false">IF(ISNUMBER(B502),IF(L502&lt;W502,J502*'13_Mapa_Liq'!$C$17,0),0)</f>
        <v>0</v>
      </c>
      <c r="Y502" s="151" t="str">
        <f aca="false">IF(ISNUMBER(B502),B502*(1-1/'13_Mapa_Liq'!$B$18+'13_Mapa_Liq'!$B$6),"")</f>
        <v/>
      </c>
      <c r="Z502" s="151" t="n">
        <f aca="false">IF(ISNUMBER(B502),IF(K502&gt;Y502,I502*'13_Mapa_Liq'!$C$18,0),0)</f>
        <v>0</v>
      </c>
      <c r="AA502" s="151" t="str">
        <f aca="false">IF(ISNUMBER(B502),B502*(1+1/'13_Mapa_Liq'!$B$18-'13_Mapa_Liq'!$B$6),"")</f>
        <v/>
      </c>
      <c r="AB502" s="151" t="n">
        <f aca="false">IF(ISNUMBER(B502),IF(L502&lt;AA502,J502*'13_Mapa_Liq'!$C$18,0),0)</f>
        <v>0</v>
      </c>
      <c r="AC502" s="151" t="str">
        <f aca="false">IF(ISNUMBER(B502),B502*(1-1/'13_Mapa_Liq'!$B$19+'13_Mapa_Liq'!$B$6),"")</f>
        <v/>
      </c>
      <c r="AD502" s="151" t="n">
        <f aca="false">IF(ISNUMBER(B502),IF(K502&gt;AC502,I502*'13_Mapa_Liq'!$C$19,0),0)</f>
        <v>0</v>
      </c>
      <c r="AE502" s="151" t="str">
        <f aca="false">IF(ISNUMBER(B502),B502*(1+1/'13_Mapa_Liq'!$B$19-'13_Mapa_Liq'!$B$6),"")</f>
        <v/>
      </c>
      <c r="AF502" s="151" t="n">
        <f aca="false">IF(ISNUMBER(B502),IF(L502&lt;AE502,J502*'13_Mapa_Liq'!$C$19,0),0)</f>
        <v>0</v>
      </c>
      <c r="AG502" s="151"/>
      <c r="AH502" s="151" t="n">
        <f aca="false">IF(ISNUMBER(B502),E502*F502*((K502&lt;=M502)*'13_Mapa_Liq'!$C$15+(K502&lt;=Q502)*'13_Mapa_Liq'!$C$16+(K502&lt;=U502)*'13_Mapa_Liq'!$C$17+(K502&lt;=Y502)*'13_Mapa_Liq'!$C$18+(K502&lt;=AC502)*'13_Mapa_Liq'!$C$19),0)</f>
        <v>0</v>
      </c>
      <c r="AI502" s="151" t="n">
        <f aca="false">IF(ISNUMBER(B502),E502*(1-F502)*((L502&gt;=O502)*'13_Mapa_Liq'!$C$15+(L502&gt;=S502)*'13_Mapa_Liq'!$C$16+(L502&gt;=W502)*'13_Mapa_Liq'!$C$17+(L502&gt;=AA502)*'13_Mapa_Liq'!$C$18+(L502&gt;=AE502)*'13_Mapa_Liq'!$C$19),0)</f>
        <v>0</v>
      </c>
    </row>
    <row r="503" customFormat="false" ht="15" hidden="false" customHeight="false" outlineLevel="0" collapsed="false">
      <c r="A503" s="151" t="str">
        <f aca="false">IF(ISNUMBER('12_Datos_5m'!F503),ROW()-4,"")</f>
        <v/>
      </c>
      <c r="B503" s="151" t="str">
        <f aca="false">IF(ISNUMBER('12_Datos_5m'!F503),'12_Datos_5m'!F503,"")</f>
        <v/>
      </c>
      <c r="C503" s="151" t="str">
        <f aca="false">IF(ISNUMBER('12_Datos_5m'!A503),'12_Datos_5m'!A503,"")</f>
        <v/>
      </c>
      <c r="D503" s="151" t="n">
        <f aca="false">IF(AND(ISNUMBER('12_Datos_5m'!I503),ISNUMBER('12_Datos_5m'!I502)),'12_Datos_5m'!I503-'12_Datos_5m'!I502,0)</f>
        <v>0</v>
      </c>
      <c r="E503" s="151" t="n">
        <f aca="false">MAX(0,D503)</f>
        <v>0</v>
      </c>
      <c r="F503" s="151" t="n">
        <f aca="false">IF(AND(ISNUMBER('12_Datos_5m'!G503),N('12_Datos_5m'!G503)&gt;0),'12_Datos_5m'!H503/'12_Datos_5m'!G503,0.5)</f>
        <v>0.5</v>
      </c>
      <c r="G503" s="151" t="n">
        <f aca="false">IF(ISNUMBER(C503),($C$2-C503)/3600000,0)</f>
        <v>0</v>
      </c>
      <c r="H503" s="151" t="n">
        <f aca="false">EXP(-G503/'13_Mapa_Liq'!$B$7)</f>
        <v>1</v>
      </c>
      <c r="I503" s="151" t="n">
        <f aca="false">E503*F503*H503</f>
        <v>0</v>
      </c>
      <c r="J503" s="151" t="n">
        <f aca="false">E503*(1-F503)*H503</f>
        <v>0</v>
      </c>
      <c r="K503" s="151" t="n">
        <f aca="false">IF(COUNT('12_Datos_5m'!E504:E$504)=0,1000000000000,MIN('12_Datos_5m'!E504:E$504))</f>
        <v>1000000000000</v>
      </c>
      <c r="L503" s="151" t="n">
        <f aca="false">IF(COUNT('12_Datos_5m'!D504:D$504)=0,0,MAX('12_Datos_5m'!D504:D$504))</f>
        <v>0</v>
      </c>
      <c r="M503" s="151" t="str">
        <f aca="false">IF(ISNUMBER(B503),B503*(1-1/'13_Mapa_Liq'!$B$15+'13_Mapa_Liq'!$B$6),"")</f>
        <v/>
      </c>
      <c r="N503" s="151" t="n">
        <f aca="false">IF(ISNUMBER(B503),IF(K503&gt;M503,I503*'13_Mapa_Liq'!$C$15,0),0)</f>
        <v>0</v>
      </c>
      <c r="O503" s="151" t="str">
        <f aca="false">IF(ISNUMBER(B503),B503*(1+1/'13_Mapa_Liq'!$B$15-'13_Mapa_Liq'!$B$6),"")</f>
        <v/>
      </c>
      <c r="P503" s="151" t="n">
        <f aca="false">IF(ISNUMBER(B503),IF(L503&lt;O503,J503*'13_Mapa_Liq'!$C$15,0),0)</f>
        <v>0</v>
      </c>
      <c r="Q503" s="151" t="str">
        <f aca="false">IF(ISNUMBER(B503),B503*(1-1/'13_Mapa_Liq'!$B$16+'13_Mapa_Liq'!$B$6),"")</f>
        <v/>
      </c>
      <c r="R503" s="151" t="n">
        <f aca="false">IF(ISNUMBER(B503),IF(K503&gt;Q503,I503*'13_Mapa_Liq'!$C$16,0),0)</f>
        <v>0</v>
      </c>
      <c r="S503" s="151" t="str">
        <f aca="false">IF(ISNUMBER(B503),B503*(1+1/'13_Mapa_Liq'!$B$16-'13_Mapa_Liq'!$B$6),"")</f>
        <v/>
      </c>
      <c r="T503" s="151" t="n">
        <f aca="false">IF(ISNUMBER(B503),IF(L503&lt;S503,J503*'13_Mapa_Liq'!$C$16,0),0)</f>
        <v>0</v>
      </c>
      <c r="U503" s="151" t="str">
        <f aca="false">IF(ISNUMBER(B503),B503*(1-1/'13_Mapa_Liq'!$B$17+'13_Mapa_Liq'!$B$6),"")</f>
        <v/>
      </c>
      <c r="V503" s="151" t="n">
        <f aca="false">IF(ISNUMBER(B503),IF(K503&gt;U503,I503*'13_Mapa_Liq'!$C$17,0),0)</f>
        <v>0</v>
      </c>
      <c r="W503" s="151" t="str">
        <f aca="false">IF(ISNUMBER(B503),B503*(1+1/'13_Mapa_Liq'!$B$17-'13_Mapa_Liq'!$B$6),"")</f>
        <v/>
      </c>
      <c r="X503" s="151" t="n">
        <f aca="false">IF(ISNUMBER(B503),IF(L503&lt;W503,J503*'13_Mapa_Liq'!$C$17,0),0)</f>
        <v>0</v>
      </c>
      <c r="Y503" s="151" t="str">
        <f aca="false">IF(ISNUMBER(B503),B503*(1-1/'13_Mapa_Liq'!$B$18+'13_Mapa_Liq'!$B$6),"")</f>
        <v/>
      </c>
      <c r="Z503" s="151" t="n">
        <f aca="false">IF(ISNUMBER(B503),IF(K503&gt;Y503,I503*'13_Mapa_Liq'!$C$18,0),0)</f>
        <v>0</v>
      </c>
      <c r="AA503" s="151" t="str">
        <f aca="false">IF(ISNUMBER(B503),B503*(1+1/'13_Mapa_Liq'!$B$18-'13_Mapa_Liq'!$B$6),"")</f>
        <v/>
      </c>
      <c r="AB503" s="151" t="n">
        <f aca="false">IF(ISNUMBER(B503),IF(L503&lt;AA503,J503*'13_Mapa_Liq'!$C$18,0),0)</f>
        <v>0</v>
      </c>
      <c r="AC503" s="151" t="str">
        <f aca="false">IF(ISNUMBER(B503),B503*(1-1/'13_Mapa_Liq'!$B$19+'13_Mapa_Liq'!$B$6),"")</f>
        <v/>
      </c>
      <c r="AD503" s="151" t="n">
        <f aca="false">IF(ISNUMBER(B503),IF(K503&gt;AC503,I503*'13_Mapa_Liq'!$C$19,0),0)</f>
        <v>0</v>
      </c>
      <c r="AE503" s="151" t="str">
        <f aca="false">IF(ISNUMBER(B503),B503*(1+1/'13_Mapa_Liq'!$B$19-'13_Mapa_Liq'!$B$6),"")</f>
        <v/>
      </c>
      <c r="AF503" s="151" t="n">
        <f aca="false">IF(ISNUMBER(B503),IF(L503&lt;AE503,J503*'13_Mapa_Liq'!$C$19,0),0)</f>
        <v>0</v>
      </c>
      <c r="AG503" s="151"/>
      <c r="AH503" s="151" t="n">
        <f aca="false">IF(ISNUMBER(B503),E503*F503*((K503&lt;=M503)*'13_Mapa_Liq'!$C$15+(K503&lt;=Q503)*'13_Mapa_Liq'!$C$16+(K503&lt;=U503)*'13_Mapa_Liq'!$C$17+(K503&lt;=Y503)*'13_Mapa_Liq'!$C$18+(K503&lt;=AC503)*'13_Mapa_Liq'!$C$19),0)</f>
        <v>0</v>
      </c>
      <c r="AI503" s="151" t="n">
        <f aca="false">IF(ISNUMBER(B503),E503*(1-F503)*((L503&gt;=O503)*'13_Mapa_Liq'!$C$15+(L503&gt;=S503)*'13_Mapa_Liq'!$C$16+(L503&gt;=W503)*'13_Mapa_Liq'!$C$17+(L503&gt;=AA503)*'13_Mapa_Liq'!$C$18+(L503&gt;=AE503)*'13_Mapa_Liq'!$C$19),0)</f>
        <v>0</v>
      </c>
    </row>
    <row r="504" customFormat="false" ht="15" hidden="false" customHeight="false" outlineLevel="0" collapsed="false">
      <c r="A504" s="151" t="str">
        <f aca="false">IF(ISNUMBER('12_Datos_5m'!F504),ROW()-4,"")</f>
        <v/>
      </c>
      <c r="B504" s="151" t="str">
        <f aca="false">IF(ISNUMBER('12_Datos_5m'!F504),'12_Datos_5m'!F504,"")</f>
        <v/>
      </c>
      <c r="C504" s="151" t="str">
        <f aca="false">IF(ISNUMBER('12_Datos_5m'!A504),'12_Datos_5m'!A504,"")</f>
        <v/>
      </c>
      <c r="D504" s="151" t="n">
        <f aca="false">IF(AND(ISNUMBER('12_Datos_5m'!I504),ISNUMBER('12_Datos_5m'!I503)),'12_Datos_5m'!I504-'12_Datos_5m'!I503,0)</f>
        <v>0</v>
      </c>
      <c r="E504" s="151" t="n">
        <f aca="false">MAX(0,D504)</f>
        <v>0</v>
      </c>
      <c r="F504" s="151" t="n">
        <f aca="false">IF(AND(ISNUMBER('12_Datos_5m'!G504),N('12_Datos_5m'!G504)&gt;0),'12_Datos_5m'!H504/'12_Datos_5m'!G504,0.5)</f>
        <v>0.5</v>
      </c>
      <c r="G504" s="151" t="n">
        <f aca="false">IF(ISNUMBER(C504),($C$2-C504)/3600000,0)</f>
        <v>0</v>
      </c>
      <c r="H504" s="151" t="n">
        <f aca="false">EXP(-G504/'13_Mapa_Liq'!$B$7)</f>
        <v>1</v>
      </c>
      <c r="I504" s="151" t="n">
        <f aca="false">E504*F504*H504</f>
        <v>0</v>
      </c>
      <c r="J504" s="151" t="n">
        <f aca="false">E504*(1-F504)*H504</f>
        <v>0</v>
      </c>
      <c r="K504" s="151" t="n">
        <f aca="false">1000000000000</f>
        <v>1000000000000</v>
      </c>
      <c r="L504" s="151" t="n">
        <f aca="false">0</f>
        <v>0</v>
      </c>
      <c r="M504" s="151" t="str">
        <f aca="false">IF(ISNUMBER(B504),B504*(1-1/'13_Mapa_Liq'!$B$15+'13_Mapa_Liq'!$B$6),"")</f>
        <v/>
      </c>
      <c r="N504" s="151" t="n">
        <f aca="false">IF(ISNUMBER(B504),IF(K504&gt;M504,I504*'13_Mapa_Liq'!$C$15,0),0)</f>
        <v>0</v>
      </c>
      <c r="O504" s="151" t="str">
        <f aca="false">IF(ISNUMBER(B504),B504*(1+1/'13_Mapa_Liq'!$B$15-'13_Mapa_Liq'!$B$6),"")</f>
        <v/>
      </c>
      <c r="P504" s="151" t="n">
        <f aca="false">IF(ISNUMBER(B504),IF(L504&lt;O504,J504*'13_Mapa_Liq'!$C$15,0),0)</f>
        <v>0</v>
      </c>
      <c r="Q504" s="151" t="str">
        <f aca="false">IF(ISNUMBER(B504),B504*(1-1/'13_Mapa_Liq'!$B$16+'13_Mapa_Liq'!$B$6),"")</f>
        <v/>
      </c>
      <c r="R504" s="151" t="n">
        <f aca="false">IF(ISNUMBER(B504),IF(K504&gt;Q504,I504*'13_Mapa_Liq'!$C$16,0),0)</f>
        <v>0</v>
      </c>
      <c r="S504" s="151" t="str">
        <f aca="false">IF(ISNUMBER(B504),B504*(1+1/'13_Mapa_Liq'!$B$16-'13_Mapa_Liq'!$B$6),"")</f>
        <v/>
      </c>
      <c r="T504" s="151" t="n">
        <f aca="false">IF(ISNUMBER(B504),IF(L504&lt;S504,J504*'13_Mapa_Liq'!$C$16,0),0)</f>
        <v>0</v>
      </c>
      <c r="U504" s="151" t="str">
        <f aca="false">IF(ISNUMBER(B504),B504*(1-1/'13_Mapa_Liq'!$B$17+'13_Mapa_Liq'!$B$6),"")</f>
        <v/>
      </c>
      <c r="V504" s="151" t="n">
        <f aca="false">IF(ISNUMBER(B504),IF(K504&gt;U504,I504*'13_Mapa_Liq'!$C$17,0),0)</f>
        <v>0</v>
      </c>
      <c r="W504" s="151" t="str">
        <f aca="false">IF(ISNUMBER(B504),B504*(1+1/'13_Mapa_Liq'!$B$17-'13_Mapa_Liq'!$B$6),"")</f>
        <v/>
      </c>
      <c r="X504" s="151" t="n">
        <f aca="false">IF(ISNUMBER(B504),IF(L504&lt;W504,J504*'13_Mapa_Liq'!$C$17,0),0)</f>
        <v>0</v>
      </c>
      <c r="Y504" s="151" t="str">
        <f aca="false">IF(ISNUMBER(B504),B504*(1-1/'13_Mapa_Liq'!$B$18+'13_Mapa_Liq'!$B$6),"")</f>
        <v/>
      </c>
      <c r="Z504" s="151" t="n">
        <f aca="false">IF(ISNUMBER(B504),IF(K504&gt;Y504,I504*'13_Mapa_Liq'!$C$18,0),0)</f>
        <v>0</v>
      </c>
      <c r="AA504" s="151" t="str">
        <f aca="false">IF(ISNUMBER(B504),B504*(1+1/'13_Mapa_Liq'!$B$18-'13_Mapa_Liq'!$B$6),"")</f>
        <v/>
      </c>
      <c r="AB504" s="151" t="n">
        <f aca="false">IF(ISNUMBER(B504),IF(L504&lt;AA504,J504*'13_Mapa_Liq'!$C$18,0),0)</f>
        <v>0</v>
      </c>
      <c r="AC504" s="151" t="str">
        <f aca="false">IF(ISNUMBER(B504),B504*(1-1/'13_Mapa_Liq'!$B$19+'13_Mapa_Liq'!$B$6),"")</f>
        <v/>
      </c>
      <c r="AD504" s="151" t="n">
        <f aca="false">IF(ISNUMBER(B504),IF(K504&gt;AC504,I504*'13_Mapa_Liq'!$C$19,0),0)</f>
        <v>0</v>
      </c>
      <c r="AE504" s="151" t="str">
        <f aca="false">IF(ISNUMBER(B504),B504*(1+1/'13_Mapa_Liq'!$B$19-'13_Mapa_Liq'!$B$6),"")</f>
        <v/>
      </c>
      <c r="AF504" s="151" t="n">
        <f aca="false">IF(ISNUMBER(B504),IF(L504&lt;AE504,J504*'13_Mapa_Liq'!$C$19,0),0)</f>
        <v>0</v>
      </c>
      <c r="AG504" s="151"/>
      <c r="AH504" s="151" t="n">
        <f aca="false">IF(ISNUMBER(B504),E504*F504*((K504&lt;=M504)*'13_Mapa_Liq'!$C$15+(K504&lt;=Q504)*'13_Mapa_Liq'!$C$16+(K504&lt;=U504)*'13_Mapa_Liq'!$C$17+(K504&lt;=Y504)*'13_Mapa_Liq'!$C$18+(K504&lt;=AC504)*'13_Mapa_Liq'!$C$19),0)</f>
        <v>0</v>
      </c>
      <c r="AI504" s="151" t="n">
        <f aca="false">IF(ISNUMBER(B504),E504*(1-F504)*((L504&gt;=O504)*'13_Mapa_Liq'!$C$15+(L504&gt;=S504)*'13_Mapa_Liq'!$C$16+(L504&gt;=W504)*'13_Mapa_Liq'!$C$17+(L504&gt;=AA504)*'13_Mapa_Liq'!$C$18+(L504&gt;=AE504)*'13_Mapa_Liq'!$C$19),0)</f>
        <v>0</v>
      </c>
    </row>
  </sheetData>
  <mergeCells count="1">
    <mergeCell ref="A1:A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2026-08-28T21:10:37Z</dcterms:created>
  <dc:creator>openpyxl</dc:creator>
  <dc:description/>
  <dc:language>en-US</dc:language>
  <cp:lastModifiedBy/>
  <dcterms:modified xsi:type="dcterms:W3CDTF">2026-09-21T13:35:26Z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